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<sst xmlns="http://schemas.openxmlformats.org/spreadsheetml/2006/main" count="49" uniqueCount="34">
  <si>
    <t>Input-Output Table</t>
  </si>
  <si>
    <t>1990 [Mio $]</t>
  </si>
  <si>
    <t>Soy Agriculture</t>
  </si>
  <si>
    <t>Tofu Production</t>
  </si>
  <si>
    <t>Cow Farming</t>
  </si>
  <si>
    <t>Beef Processing</t>
  </si>
  <si>
    <t>Y_Houshold</t>
  </si>
  <si>
    <t>Y_Government</t>
  </si>
  <si>
    <t>Y_Total_Demand</t>
  </si>
  <si>
    <t xml:space="preserve">X_Total Output </t>
  </si>
  <si>
    <t>Value Added</t>
  </si>
  <si>
    <t>GDP</t>
  </si>
  <si>
    <t>Sum Inter Industry Input</t>
  </si>
  <si>
    <t>X_Total_Industry_Input</t>
  </si>
  <si>
    <t>Environmental Multiplyers</t>
  </si>
  <si>
    <t>Mass Multiplyer [$/kg]</t>
  </si>
  <si>
    <t>GHG Multiplyer [CO2e kg /kg]</t>
  </si>
  <si>
    <t>Land Use Multiplyer [m^2*year/kg]</t>
  </si>
  <si>
    <t>Environmental Extensions (scope 1) - M Matrix</t>
  </si>
  <si>
    <t>Mass [Mio t]</t>
  </si>
  <si>
    <t>GHG Emmisons [Mio t]</t>
  </si>
  <si>
    <t>Land Use [Mio m^2*year]</t>
  </si>
  <si>
    <t>1/x hat Matrix [1/ Mio $]</t>
  </si>
  <si>
    <t xml:space="preserve"> </t>
  </si>
  <si>
    <t>Technical Coeficient Matrix A [no dim]</t>
  </si>
  <si>
    <t>Leonthief Inverse Matrix L [no dim]</t>
  </si>
  <si>
    <t>Identity Matrix 1</t>
  </si>
  <si>
    <t>Environmental Coeficient Matrix F [mio (t,t,m^2)/ mio $]</t>
  </si>
  <si>
    <t>Mass [Mio t/ mio $]</t>
  </si>
  <si>
    <t>GHG Emmisons [Mio t/ mio$]</t>
  </si>
  <si>
    <t>Land Use [Mio m^2*year/ mio$]</t>
  </si>
  <si>
    <t>Environmental Footprint (F*L*y-hat)</t>
  </si>
  <si>
    <t>1-A</t>
  </si>
  <si>
    <t>y-hat Matrix [1/ Mio $]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</si>
</sst>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/>
    </xf>
    <xf borderId="0" fillId="5" fontId="2" numFmtId="0" xfId="0" applyAlignment="1" applyFill="1" applyFont="1">
      <alignment readingOrder="0" vertical="bottom"/>
    </xf>
    <xf borderId="0" fillId="6" fontId="2" numFmtId="0" xfId="0" applyAlignment="1" applyFill="1" applyFont="1">
      <alignment horizontal="right" readingOrder="0" vertical="bottom"/>
    </xf>
    <xf borderId="0" fillId="6" fontId="2" numFmtId="0" xfId="0" applyAlignment="1" applyFont="1">
      <alignment horizontal="right" vertical="bottom"/>
    </xf>
    <xf borderId="0" fillId="7" fontId="2" numFmtId="0" xfId="0" applyAlignment="1" applyFill="1" applyFont="1">
      <alignment horizontal="right" readingOrder="0" vertical="bottom"/>
    </xf>
    <xf borderId="0" fillId="3" fontId="3" numFmtId="0" xfId="0" applyFont="1"/>
    <xf borderId="0" fillId="8" fontId="2" numFmtId="0" xfId="0" applyAlignment="1" applyFill="1" applyFont="1">
      <alignment horizontal="right" vertical="bottom"/>
    </xf>
    <xf borderId="0" fillId="7" fontId="2" numFmtId="0" xfId="0" applyAlignment="1" applyFont="1">
      <alignment horizontal="right" vertical="bottom"/>
    </xf>
    <xf borderId="0" fillId="9" fontId="2" numFmtId="0" xfId="0" applyAlignment="1" applyFill="1" applyFont="1">
      <alignment readingOrder="0" vertical="bottom"/>
    </xf>
    <xf borderId="0" fillId="10" fontId="2" numFmtId="0" xfId="0" applyAlignment="1" applyFill="1" applyFont="1">
      <alignment horizontal="right" vertical="bottom"/>
    </xf>
    <xf borderId="0" fillId="9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11" fontId="2" numFmtId="0" xfId="0" applyAlignment="1" applyFill="1" applyFont="1">
      <alignment readingOrder="0" vertical="bottom"/>
    </xf>
    <xf borderId="0" fillId="12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5" fontId="3" numFmtId="0" xfId="0" applyAlignment="1" applyFont="1">
      <alignment readingOrder="0"/>
    </xf>
    <xf borderId="0" fillId="8" fontId="3" numFmtId="0" xfId="0" applyFont="1"/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5" fontId="3" numFmtId="0" xfId="0" applyAlignment="1" applyFont="1">
      <alignment horizontal="right"/>
    </xf>
    <xf borderId="0" fillId="14" fontId="4" numFmtId="0" xfId="0" applyAlignment="1" applyFont="1">
      <alignment horizontal="left" readingOrder="0" shrinkToFit="0" wrapText="1"/>
    </xf>
    <xf borderId="0" fillId="15" fontId="4" numFmtId="0" xfId="0" applyAlignment="1" applyFont="1">
      <alignment horizontal="right" readingOrder="0" shrinkToFit="0" wrapText="1"/>
    </xf>
    <xf borderId="0" fillId="13" fontId="3" numFmtId="0" xfId="0" applyFont="1"/>
    <xf borderId="0" fillId="14" fontId="2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wrapText="1"/>
    </xf>
    <xf borderId="0" fillId="16" fontId="3" numFmtId="0" xfId="0" applyAlignment="1" applyFill="1" applyFont="1">
      <alignment readingOrder="0"/>
    </xf>
    <xf borderId="0" fillId="13" fontId="1" numFmtId="0" xfId="0" applyAlignment="1" applyFont="1">
      <alignment readingOrder="0"/>
    </xf>
    <xf borderId="0" fillId="13" fontId="1" numFmtId="0" xfId="0" applyAlignment="1" applyFont="1">
      <alignment horizontal="center" readingOrder="0"/>
    </xf>
    <xf borderId="0" fillId="17" fontId="3" numFmtId="0" xfId="0" applyFill="1" applyFont="1"/>
    <xf borderId="0" fillId="18" fontId="3" numFmtId="0" xfId="0" applyFill="1" applyFont="1"/>
    <xf borderId="0" fillId="15" fontId="3" numFmtId="0" xfId="0" applyFont="1"/>
    <xf borderId="0" fillId="3" fontId="3" numFmtId="0" xfId="0" applyAlignment="1" applyFont="1">
      <alignment readingOrder="0"/>
    </xf>
    <xf borderId="0" fillId="7" fontId="3" numFmtId="0" xfId="0" applyFont="1"/>
    <xf borderId="0" fillId="16" fontId="3" numFmtId="0" xfId="0" applyFont="1"/>
    <xf borderId="0" fillId="3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Tabellenblatt1!$E$14:$E$18</c:f>
              <c:numCache/>
            </c:numRef>
          </c:val>
        </c:ser>
        <c:axId val="1678134076"/>
        <c:axId val="2011346653"/>
      </c:barChart>
      <c:catAx>
        <c:axId val="1678134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346653"/>
      </c:catAx>
      <c:valAx>
        <c:axId val="201134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134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Tabellenblatt1!$E$42:$E$45</c:f>
              <c:numCache/>
            </c:numRef>
          </c:val>
        </c:ser>
        <c:axId val="1209198978"/>
        <c:axId val="495356394"/>
      </c:barChart>
      <c:catAx>
        <c:axId val="1209198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356394"/>
      </c:catAx>
      <c:valAx>
        <c:axId val="495356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198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Tabellenblatt1!$A$14:$A$18</c:f>
            </c:strRef>
          </c:cat>
          <c:val>
            <c:numRef>
              <c:f>Tabellenblatt1!$E$14:$E$18</c:f>
              <c:numCache/>
            </c:numRef>
          </c:val>
        </c:ser>
        <c:overlap val="100"/>
        <c:axId val="1727758063"/>
        <c:axId val="1524751229"/>
      </c:barChart>
      <c:catAx>
        <c:axId val="1727758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751229"/>
      </c:catAx>
      <c:valAx>
        <c:axId val="1524751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758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Tabellenblatt1!$A$42:$A$45</c:f>
            </c:strRef>
          </c:cat>
          <c:val>
            <c:numRef>
              <c:f>Tabellenblatt1!$E$42:$E$45</c:f>
              <c:numCache/>
            </c:numRef>
          </c:val>
        </c:ser>
        <c:overlap val="100"/>
        <c:axId val="1021139542"/>
        <c:axId val="529593772"/>
      </c:barChart>
      <c:catAx>
        <c:axId val="1021139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593772"/>
      </c:catAx>
      <c:valAx>
        <c:axId val="529593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139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8">
        <v>4.0</v>
      </c>
      <c r="D3" s="7">
        <v>8.0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17</v>
      </c>
    </row>
    <row r="4">
      <c r="A4" s="3" t="s">
        <v>3</v>
      </c>
      <c r="B4" s="8">
        <v>0.0</v>
      </c>
      <c r="C4" s="8">
        <v>1.0</v>
      </c>
      <c r="D4" s="8">
        <v>1.0</v>
      </c>
      <c r="E4" s="8">
        <v>1.0</v>
      </c>
      <c r="F4" s="12">
        <v>3.0</v>
      </c>
      <c r="G4" s="9">
        <v>0.0</v>
      </c>
      <c r="H4" s="10">
        <f t="shared" si="1"/>
        <v>3</v>
      </c>
      <c r="I4" s="11">
        <f t="shared" si="2"/>
        <v>6</v>
      </c>
    </row>
    <row r="5">
      <c r="A5" s="3" t="s">
        <v>4</v>
      </c>
      <c r="B5" s="8">
        <v>1.0</v>
      </c>
      <c r="C5" s="8">
        <v>0.0</v>
      </c>
      <c r="D5" s="8">
        <v>2.0</v>
      </c>
      <c r="E5" s="8">
        <v>7.0</v>
      </c>
      <c r="F5" s="9">
        <v>0.0</v>
      </c>
      <c r="G5" s="9">
        <v>2.0</v>
      </c>
      <c r="H5" s="10">
        <f t="shared" si="1"/>
        <v>2</v>
      </c>
      <c r="I5" s="11">
        <f t="shared" si="2"/>
        <v>12</v>
      </c>
    </row>
    <row r="6">
      <c r="A6" s="3" t="s">
        <v>5</v>
      </c>
      <c r="B6" s="8">
        <v>0.0</v>
      </c>
      <c r="C6" s="8">
        <v>0.0</v>
      </c>
      <c r="D6" s="8">
        <v>0.0</v>
      </c>
      <c r="E6" s="8">
        <v>3.0</v>
      </c>
      <c r="F6" s="12">
        <v>11.0</v>
      </c>
      <c r="G6" s="9">
        <v>0.0</v>
      </c>
      <c r="H6" s="10">
        <f t="shared" si="1"/>
        <v>11</v>
      </c>
      <c r="I6" s="11">
        <f t="shared" si="2"/>
        <v>14</v>
      </c>
    </row>
    <row r="7">
      <c r="A7" s="13" t="s">
        <v>10</v>
      </c>
      <c r="B7" s="14">
        <f>I3-B8</f>
        <v>11</v>
      </c>
      <c r="C7" s="14">
        <f>I4-C8</f>
        <v>1</v>
      </c>
      <c r="D7" s="14">
        <f>I5-D8</f>
        <v>1</v>
      </c>
      <c r="E7" s="14">
        <f>I6-E8</f>
        <v>3</v>
      </c>
      <c r="F7" s="15">
        <f>SUM(B7:E7)</f>
        <v>16</v>
      </c>
      <c r="G7" s="13" t="s">
        <v>11</v>
      </c>
      <c r="H7" s="16"/>
    </row>
    <row r="8">
      <c r="A8" s="17" t="s">
        <v>12</v>
      </c>
      <c r="B8" s="18">
        <f t="shared" ref="B8:E8" si="3">SUM(B2:B6)</f>
        <v>6</v>
      </c>
      <c r="C8" s="18">
        <f t="shared" si="3"/>
        <v>5</v>
      </c>
      <c r="D8" s="18">
        <f t="shared" si="3"/>
        <v>11</v>
      </c>
      <c r="E8" s="18">
        <f t="shared" si="3"/>
        <v>11</v>
      </c>
      <c r="F8" s="19"/>
      <c r="G8" s="16"/>
      <c r="H8" s="16"/>
    </row>
    <row r="9">
      <c r="A9" s="20" t="s">
        <v>13</v>
      </c>
      <c r="B9" s="21">
        <f t="shared" ref="B9:E9" si="4">SUM(B3:B7)</f>
        <v>17</v>
      </c>
      <c r="C9" s="21">
        <f t="shared" si="4"/>
        <v>6</v>
      </c>
      <c r="D9" s="21">
        <f t="shared" si="4"/>
        <v>12</v>
      </c>
      <c r="E9" s="21">
        <f t="shared" si="4"/>
        <v>14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24.28571429</v>
      </c>
      <c r="C15" s="25">
        <f t="shared" si="5"/>
        <v>2</v>
      </c>
      <c r="D15" s="25">
        <f t="shared" si="5"/>
        <v>2.4</v>
      </c>
      <c r="E15" s="25">
        <f t="shared" si="5"/>
        <v>0.875</v>
      </c>
      <c r="F15" s="22"/>
    </row>
    <row r="16">
      <c r="A16" s="23" t="s">
        <v>20</v>
      </c>
      <c r="B16" s="25">
        <f t="shared" ref="B16:E16" si="6">B15*B12</f>
        <v>7.285714286</v>
      </c>
      <c r="C16" s="25">
        <f t="shared" si="6"/>
        <v>0.4</v>
      </c>
      <c r="D16" s="25">
        <f t="shared" si="6"/>
        <v>45.6</v>
      </c>
      <c r="E16" s="25">
        <f t="shared" si="6"/>
        <v>0.875</v>
      </c>
      <c r="F16" s="22"/>
    </row>
    <row r="17">
      <c r="A17" s="26" t="s">
        <v>21</v>
      </c>
      <c r="B17" s="27">
        <f t="shared" ref="B17:E17" si="7">B15*B13</f>
        <v>21.85714286</v>
      </c>
      <c r="C17" s="27">
        <f t="shared" si="7"/>
        <v>5.2</v>
      </c>
      <c r="D17" s="27">
        <f t="shared" si="7"/>
        <v>84</v>
      </c>
      <c r="E17" s="27">
        <f t="shared" si="7"/>
        <v>49.875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0.05882352941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0.1666666667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0.08333333333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0.07142857143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0.2941176471</v>
      </c>
      <c r="C28" s="34">
        <v>0.6666666666666666</v>
      </c>
      <c r="D28" s="34">
        <v>0.6666666666666666</v>
      </c>
      <c r="E28" s="34">
        <v>0.0</v>
      </c>
    </row>
    <row r="29">
      <c r="B29" s="34">
        <v>0.0</v>
      </c>
      <c r="C29" s="34">
        <v>0.16666666666666666</v>
      </c>
      <c r="D29" s="34">
        <v>0.08333333333333333</v>
      </c>
      <c r="E29" s="34">
        <v>0.07142857142857142</v>
      </c>
    </row>
    <row r="30">
      <c r="B30" s="34">
        <v>0.058823529411764705</v>
      </c>
      <c r="C30" s="34">
        <v>0.0</v>
      </c>
      <c r="D30" s="34">
        <v>0.16666666666666666</v>
      </c>
      <c r="E30" s="34">
        <v>0.5</v>
      </c>
    </row>
    <row r="31">
      <c r="B31" s="34">
        <v>0.0</v>
      </c>
      <c r="C31" s="34">
        <v>0.0</v>
      </c>
      <c r="D31" s="34">
        <v>0.0</v>
      </c>
      <c r="E31" s="34">
        <v>0.21428571428571427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1.528776978</v>
      </c>
      <c r="C33" s="35">
        <v>1.223021582733813</v>
      </c>
      <c r="D33" s="35">
        <v>1.3453237410071943</v>
      </c>
      <c r="E33" s="35">
        <v>0.9672988881621974</v>
      </c>
    </row>
    <row r="34">
      <c r="B34" s="35">
        <v>0.010791366906474819</v>
      </c>
      <c r="C34" s="35">
        <v>1.2086330935251797</v>
      </c>
      <c r="D34" s="35">
        <v>0.12949640287769784</v>
      </c>
      <c r="E34" s="35">
        <v>0.19228253760627856</v>
      </c>
    </row>
    <row r="35">
      <c r="B35" s="35">
        <v>0.10791366906474821</v>
      </c>
      <c r="C35" s="35">
        <v>0.08633093525179855</v>
      </c>
      <c r="D35" s="35">
        <v>1.2949640287769784</v>
      </c>
      <c r="E35" s="35">
        <v>0.8319162851536951</v>
      </c>
    </row>
    <row r="36">
      <c r="B36" s="35">
        <v>0.0</v>
      </c>
      <c r="C36" s="35">
        <v>0.0</v>
      </c>
      <c r="D36" s="35">
        <v>0.0</v>
      </c>
      <c r="E36" s="35">
        <v>1.2727272727272727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0.19999999999999998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1.285714285714286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6.5019527235354575</v>
      </c>
      <c r="D42" s="38">
        <v>4.448098663926002</v>
      </c>
      <c r="E42" s="38">
        <v>18.610662898252826</v>
      </c>
      <c r="G42" s="39">
        <f t="shared" ref="G42:J42" si="8">G37-B28</f>
        <v>0.7058823529</v>
      </c>
      <c r="H42" s="39">
        <f t="shared" si="8"/>
        <v>-0.6666666667</v>
      </c>
      <c r="I42" s="39">
        <f t="shared" si="8"/>
        <v>-0.6666666667</v>
      </c>
      <c r="J42" s="39">
        <f t="shared" si="8"/>
        <v>0</v>
      </c>
    </row>
    <row r="43">
      <c r="A43" s="37" t="s">
        <v>20</v>
      </c>
      <c r="B43" s="38">
        <v>0.0</v>
      </c>
      <c r="C43" s="38">
        <v>2.798355601233299</v>
      </c>
      <c r="D43" s="38">
        <v>11.012127440904418</v>
      </c>
      <c r="E43" s="38">
        <v>40.35023124357656</v>
      </c>
      <c r="G43" s="39">
        <f t="shared" ref="G43:J43" si="9">G38-B29</f>
        <v>0</v>
      </c>
      <c r="H43" s="39">
        <f t="shared" si="9"/>
        <v>0.8333333333</v>
      </c>
      <c r="I43" s="39">
        <f t="shared" si="9"/>
        <v>-0.08333333333</v>
      </c>
      <c r="J43" s="39">
        <f t="shared" si="9"/>
        <v>-0.07142857143</v>
      </c>
    </row>
    <row r="44">
      <c r="A44" s="40" t="s">
        <v>21</v>
      </c>
      <c r="B44" s="38">
        <v>0.0</v>
      </c>
      <c r="C44" s="38">
        <v>9.672764645426515</v>
      </c>
      <c r="D44" s="38">
        <v>21.813360739979448</v>
      </c>
      <c r="E44" s="38">
        <v>129.4460174717369</v>
      </c>
      <c r="G44" s="39">
        <f t="shared" ref="G44:J44" si="10">G39-B30</f>
        <v>-0.05882352941</v>
      </c>
      <c r="H44" s="39">
        <f t="shared" si="10"/>
        <v>0</v>
      </c>
      <c r="I44" s="39">
        <f t="shared" si="10"/>
        <v>0.8333333333</v>
      </c>
      <c r="J44" s="39">
        <f t="shared" si="10"/>
        <v>-0.5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0.7857142857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11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