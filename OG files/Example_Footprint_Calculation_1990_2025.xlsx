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94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29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58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102.xml"/>
  <Override ContentType="application/vnd.openxmlformats-officedocument.drawingml.chart+xml" PartName="/xl/charts/chart92.xml"/>
  <Override ContentType="application/vnd.openxmlformats-officedocument.drawingml.chart+xml" PartName="/xl/charts/chart5.xml"/>
  <Override ContentType="application/vnd.openxmlformats-officedocument.drawingml.chart+xml" PartName="/xl/charts/chart88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91.xml"/>
  <Override ContentType="application/vnd.openxmlformats-officedocument.drawingml.chart+xml" PartName="/xl/charts/chart118.xml"/>
  <Override ContentType="application/vnd.openxmlformats-officedocument.drawingml.chart+xml" PartName="/xl/charts/chart143.xml"/>
  <Override ContentType="application/vnd.openxmlformats-officedocument.drawingml.chart+xml" PartName="/xl/charts/chart55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98.xml"/>
  <Override ContentType="application/vnd.openxmlformats-officedocument.drawingml.chart+xml" PartName="/xl/charts/chart85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111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37.xml"/>
  <Override ContentType="application/vnd.openxmlformats-officedocument.drawingml.chart+xml" PartName="/xl/charts/chart40.xml"/>
  <Override ContentType="application/vnd.openxmlformats-officedocument.drawingml.chart+xml" PartName="/xl/charts/chart96.xml"/>
  <Override ContentType="application/vnd.openxmlformats-officedocument.drawingml.chart+xml" PartName="/xl/charts/chart107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95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26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42.xml"/>
  <Override ContentType="application/vnd.openxmlformats-officedocument.drawingml.chart+xml" PartName="/xl/charts/chart113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89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93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128.xml"/>
  <Override ContentType="application/vnd.openxmlformats-officedocument.drawingml.chart+xml" PartName="/xl/charts/chart65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142.xml"/>
  <Override ContentType="application/vnd.openxmlformats-officedocument.drawingml.chart+xml" PartName="/xl/charts/chart82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25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2.xml"/>
  <Override ContentType="application/vnd.openxmlformats-officedocument.drawingml.chart+xml" PartName="/xl/charts/chart56.xml"/>
  <Override ContentType="application/vnd.openxmlformats-officedocument.drawingml.chart+xml" PartName="/xl/charts/chart108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41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123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106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110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1.xml"/>
  <Override ContentType="application/vnd.openxmlformats-officedocument.drawingml.chart+xml" PartName="/xl/charts/chart119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0" sheetId="1" r:id="rId5"/>
    <sheet state="visible" name="1991" sheetId="2" r:id="rId6"/>
    <sheet state="visible" name="1992" sheetId="3" r:id="rId7"/>
    <sheet state="visible" name="1993" sheetId="4" r:id="rId8"/>
    <sheet state="visible" name="1994" sheetId="5" r:id="rId9"/>
    <sheet state="visible" name="1995" sheetId="6" r:id="rId10"/>
    <sheet state="visible" name="1996" sheetId="7" r:id="rId11"/>
    <sheet state="visible" name="1997" sheetId="8" r:id="rId12"/>
    <sheet state="visible" name="1998" sheetId="9" r:id="rId13"/>
    <sheet state="visible" name="1999" sheetId="10" r:id="rId14"/>
    <sheet state="visible" name="2000" sheetId="11" r:id="rId15"/>
    <sheet state="visible" name="2001" sheetId="12" r:id="rId16"/>
    <sheet state="visible" name="2002" sheetId="13" r:id="rId17"/>
    <sheet state="visible" name="2003" sheetId="14" r:id="rId18"/>
    <sheet state="visible" name="2004" sheetId="15" r:id="rId19"/>
    <sheet state="visible" name="2005" sheetId="16" r:id="rId20"/>
    <sheet state="visible" name="2006" sheetId="17" r:id="rId21"/>
    <sheet state="visible" name="2007" sheetId="18" r:id="rId22"/>
    <sheet state="visible" name="2008" sheetId="19" r:id="rId23"/>
    <sheet state="visible" name="2009" sheetId="20" r:id="rId24"/>
    <sheet state="visible" name="2010" sheetId="21" r:id="rId25"/>
    <sheet state="visible" name="2011" sheetId="22" r:id="rId26"/>
    <sheet state="visible" name="2012" sheetId="23" r:id="rId27"/>
    <sheet state="visible" name="2013" sheetId="24" r:id="rId28"/>
    <sheet state="visible" name="2014" sheetId="25" r:id="rId29"/>
    <sheet state="visible" name="2015" sheetId="26" r:id="rId30"/>
    <sheet state="visible" name="2016" sheetId="27" r:id="rId31"/>
    <sheet state="visible" name="2017" sheetId="28" r:id="rId32"/>
    <sheet state="visible" name="2018" sheetId="29" r:id="rId33"/>
    <sheet state="visible" name="2019" sheetId="30" r:id="rId34"/>
    <sheet state="visible" name="2020" sheetId="31" r:id="rId35"/>
    <sheet state="visible" name="2021" sheetId="32" r:id="rId36"/>
    <sheet state="visible" name="2022" sheetId="33" r:id="rId37"/>
    <sheet state="visible" name="2023" sheetId="34" r:id="rId38"/>
    <sheet state="visible" name="2024" sheetId="35" r:id="rId39"/>
    <sheet state="visible" name="2025" sheetId="36" r:id="rId40"/>
  </sheets>
  <definedNames/>
  <calcPr/>
</workbook>
</file>

<file path=xl/sharedStrings.xml><?xml version="1.0" encoding="utf-8"?>
<sst xmlns="http://schemas.openxmlformats.org/spreadsheetml/2006/main" count="1784" uniqueCount="82">
  <si>
    <t>Input-Output Table</t>
  </si>
  <si>
    <t>1990 [Mio $]</t>
  </si>
  <si>
    <t>Soy Agriculture</t>
  </si>
  <si>
    <t>Tofu Production</t>
  </si>
  <si>
    <t>Cow Farming</t>
  </si>
  <si>
    <t>Beef Processing</t>
  </si>
  <si>
    <t>Y_Houshold</t>
  </si>
  <si>
    <t>Y_Government</t>
  </si>
  <si>
    <t>Y_Total_Demand</t>
  </si>
  <si>
    <t xml:space="preserve">X_Total Output </t>
  </si>
  <si>
    <t>Value Added</t>
  </si>
  <si>
    <t>GDP</t>
  </si>
  <si>
    <t>Sum Inter Industry Input</t>
  </si>
  <si>
    <t>X_Total_Industry_Input (Output)</t>
  </si>
  <si>
    <t>Environmental Multiplyers</t>
  </si>
  <si>
    <t>Mass Multiplyer [$/kg]</t>
  </si>
  <si>
    <t>GHG Multiplyer [CO2e kg /kg]</t>
  </si>
  <si>
    <t>Land Use Multiplyer [m^2*year/kg]</t>
  </si>
  <si>
    <t>Environmental Extensions (scope 1) - M Matrix</t>
  </si>
  <si>
    <t>Mass [Mio t]</t>
  </si>
  <si>
    <t>GHG Emmisons [Mio t]</t>
  </si>
  <si>
    <t>Land Use [Mio m^2*year]</t>
  </si>
  <si>
    <t>1/x hat Matrix [1/ Mio $]</t>
  </si>
  <si>
    <t xml:space="preserve"> </t>
  </si>
  <si>
    <t>Technical Coeficient Matrix A [no dim]</t>
  </si>
  <si>
    <t>Leonthief Inverse Matrix L [no dim]</t>
  </si>
  <si>
    <t>Identity Matrix 1</t>
  </si>
  <si>
    <t>Environmental Coeficient Matrix F [mio (t,t,m^2)/ mio $]</t>
  </si>
  <si>
    <t>Mass [Mio t/ mio $]</t>
  </si>
  <si>
    <t>GHG Emmisons [Mio t/ mio$]</t>
  </si>
  <si>
    <t>Land Use [Mio m^2*year/ mio$]</t>
  </si>
  <si>
    <t>Environmental Footprint (F*L*y-hat)</t>
  </si>
  <si>
    <t>1-A</t>
  </si>
  <si>
    <t>y-hat Matrix [1/ Mio $]</t>
  </si>
  <si>
    <t>1991 [Mio $]</t>
  </si>
  <si>
    <t>3.42</t>
  </si>
  <si>
    <t>4.56</t>
  </si>
  <si>
    <t>9.13</t>
  </si>
  <si>
    <t>1.14</t>
  </si>
  <si>
    <t>2.28</t>
  </si>
  <si>
    <t>7.98</t>
  </si>
  <si>
    <t>12.54</t>
  </si>
  <si>
    <t>X_Total_Industry_Input</t>
  </si>
  <si>
    <t>1992 [Mio $]</t>
  </si>
  <si>
    <t>3.18</t>
  </si>
  <si>
    <t>4.24</t>
  </si>
  <si>
    <t>8.48</t>
  </si>
  <si>
    <t>7.42</t>
  </si>
  <si>
    <t>11.66</t>
  </si>
  <si>
    <t>1993 [Mio $]</t>
  </si>
  <si>
    <t>1994 [Mio $]</t>
  </si>
  <si>
    <t>1995 [Mio $]</t>
  </si>
  <si>
    <t>1996 [Mio $]</t>
  </si>
  <si>
    <t>1997 [Mio $]</t>
  </si>
  <si>
    <t>1998 [Mio $]</t>
  </si>
  <si>
    <t>1999 [Mio $]</t>
  </si>
  <si>
    <t>2000 [Mio $]</t>
  </si>
  <si>
    <t>2001 [Mio $]</t>
  </si>
  <si>
    <t>2002 [Mio $]</t>
  </si>
  <si>
    <t>2003 [Mio $]</t>
  </si>
  <si>
    <t>2004 [Mio $]</t>
  </si>
  <si>
    <t>2005 [Mio $]</t>
  </si>
  <si>
    <t>2006 [Mio $]</t>
  </si>
  <si>
    <t>2007 [Mio $]</t>
  </si>
  <si>
    <t>2008 [Mio $]</t>
  </si>
  <si>
    <t>2009 [Mio $]</t>
  </si>
  <si>
    <t>2010 [Mio $]</t>
  </si>
  <si>
    <t>2011 [Mio $]</t>
  </si>
  <si>
    <t>2012 [Mio $]</t>
  </si>
  <si>
    <t>2013 [Mio $]</t>
  </si>
  <si>
    <t>2014 [Mio $]</t>
  </si>
  <si>
    <t>2015 [Mio $]</t>
  </si>
  <si>
    <t>2016 [Mio $]</t>
  </si>
  <si>
    <t>2017 [Mio $]</t>
  </si>
  <si>
    <t>2018 [Mio $]</t>
  </si>
  <si>
    <t>2019 [Mio $]</t>
  </si>
  <si>
    <t>2020 [Mio $]</t>
  </si>
  <si>
    <t>2021 [Mio $]</t>
  </si>
  <si>
    <t>2022 [Mio $]</t>
  </si>
  <si>
    <t>2023 [Mio $]</t>
  </si>
  <si>
    <t>2024 [Mio $]</t>
  </si>
  <si>
    <t>2025 [Mio $]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</si>
</sst>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/>
    </xf>
    <xf borderId="0" fillId="5" fontId="2" numFmtId="0" xfId="0" applyAlignment="1" applyFill="1" applyFont="1">
      <alignment readingOrder="0" vertical="bottom"/>
    </xf>
    <xf borderId="0" fillId="6" fontId="2" numFmtId="0" xfId="0" applyAlignment="1" applyFill="1" applyFont="1">
      <alignment horizontal="right" readingOrder="0" vertical="bottom"/>
    </xf>
    <xf borderId="0" fillId="6" fontId="2" numFmtId="0" xfId="0" applyAlignment="1" applyFont="1">
      <alignment horizontal="right" vertical="bottom"/>
    </xf>
    <xf borderId="0" fillId="7" fontId="2" numFmtId="0" xfId="0" applyAlignment="1" applyFill="1" applyFont="1">
      <alignment horizontal="right" readingOrder="0" vertical="bottom"/>
    </xf>
    <xf borderId="0" fillId="3" fontId="3" numFmtId="0" xfId="0" applyFont="1"/>
    <xf borderId="0" fillId="8" fontId="2" numFmtId="0" xfId="0" applyAlignment="1" applyFill="1" applyFont="1">
      <alignment horizontal="right" vertical="bottom"/>
    </xf>
    <xf borderId="0" fillId="7" fontId="2" numFmtId="0" xfId="0" applyAlignment="1" applyFont="1">
      <alignment horizontal="right" vertical="bottom"/>
    </xf>
    <xf borderId="0" fillId="9" fontId="2" numFmtId="0" xfId="0" applyAlignment="1" applyFill="1" applyFont="1">
      <alignment readingOrder="0" vertical="bottom"/>
    </xf>
    <xf borderId="0" fillId="10" fontId="2" numFmtId="0" xfId="0" applyAlignment="1" applyFill="1" applyFont="1">
      <alignment horizontal="right" vertical="bottom"/>
    </xf>
    <xf borderId="0" fillId="9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11" fontId="2" numFmtId="0" xfId="0" applyAlignment="1" applyFill="1" applyFont="1">
      <alignment readingOrder="0" vertical="bottom"/>
    </xf>
    <xf borderId="0" fillId="12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5" fontId="3" numFmtId="0" xfId="0" applyAlignment="1" applyFont="1">
      <alignment readingOrder="0"/>
    </xf>
    <xf borderId="0" fillId="8" fontId="3" numFmtId="0" xfId="0" applyFont="1"/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5" fontId="3" numFmtId="0" xfId="0" applyAlignment="1" applyFont="1">
      <alignment horizontal="right"/>
    </xf>
    <xf borderId="0" fillId="14" fontId="4" numFmtId="0" xfId="0" applyAlignment="1" applyFont="1">
      <alignment horizontal="left" readingOrder="0" shrinkToFit="0" wrapText="1"/>
    </xf>
    <xf borderId="0" fillId="15" fontId="4" numFmtId="0" xfId="0" applyAlignment="1" applyFont="1">
      <alignment horizontal="right" readingOrder="0" shrinkToFit="0" wrapText="1"/>
    </xf>
    <xf borderId="0" fillId="13" fontId="3" numFmtId="0" xfId="0" applyFont="1"/>
    <xf borderId="0" fillId="14" fontId="2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wrapText="1"/>
    </xf>
    <xf borderId="0" fillId="16" fontId="3" numFmtId="0" xfId="0" applyAlignment="1" applyFill="1" applyFont="1">
      <alignment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horizontal="center" readingOrder="0"/>
    </xf>
    <xf borderId="0" fillId="17" fontId="3" numFmtId="0" xfId="0" applyFill="1" applyFont="1"/>
    <xf borderId="0" fillId="18" fontId="3" numFmtId="0" xfId="0" applyFill="1" applyFont="1"/>
    <xf borderId="0" fillId="15" fontId="3" numFmtId="0" xfId="0" applyFont="1"/>
    <xf borderId="0" fillId="3" fontId="3" numFmtId="0" xfId="0" applyAlignment="1" applyFont="1">
      <alignment readingOrder="0"/>
    </xf>
    <xf borderId="0" fillId="7" fontId="3" numFmtId="0" xfId="0" applyFont="1"/>
    <xf borderId="0" fillId="16" fontId="3" numFmtId="0" xfId="0" applyFont="1"/>
    <xf borderId="0" fillId="3" fontId="4" numFmtId="0" xfId="0" applyAlignment="1" applyFont="1">
      <alignment horizontal="left" readingOrder="0" shrinkToFit="0" wrapText="1"/>
    </xf>
    <xf borderId="0" fillId="6" fontId="2" numFmtId="4" xfId="0" applyAlignment="1" applyFont="1" applyNumberFormat="1">
      <alignment horizontal="right" readingOrder="0" vertical="bottom"/>
    </xf>
    <xf borderId="0" fillId="8" fontId="2" numFmtId="4" xfId="0" applyAlignment="1" applyFont="1" applyNumberFormat="1">
      <alignment horizontal="right" vertical="bottom"/>
    </xf>
    <xf borderId="0" fillId="10" fontId="2" numFmtId="4" xfId="0" applyAlignment="1" applyFont="1" applyNumberFormat="1">
      <alignment horizontal="right" vertical="bottom"/>
    </xf>
    <xf borderId="0" fillId="9" fontId="2" numFmtId="4" xfId="0" applyAlignment="1" applyFont="1" applyNumberFormat="1">
      <alignment horizontal="right" vertical="bottom"/>
    </xf>
    <xf borderId="0" fillId="8" fontId="3" numFmtId="4" xfId="0" applyFont="1" applyNumberFormat="1"/>
    <xf borderId="0" fillId="0" fontId="6" numFmtId="0" xfId="0" applyAlignment="1" applyFon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8" fontId="2" numFmtId="164" xfId="0" applyAlignment="1" applyFont="1" applyNumberFormat="1">
      <alignment horizontal="right" vertical="bottom"/>
    </xf>
    <xf borderId="0" fillId="10" fontId="2" numFmtId="164" xfId="0" applyAlignment="1" applyFont="1" applyNumberFormat="1">
      <alignment horizontal="right" vertical="bottom"/>
    </xf>
    <xf borderId="0" fillId="16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'1990'!$B$14:$B$19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'1990'!$C$14:$C$19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'1990'!$D$14:$D$19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'1990'!$E$14:$E$19</c:f>
              <c:numCache/>
            </c:numRef>
          </c:val>
        </c:ser>
        <c:axId val="1484822224"/>
        <c:axId val="80406273"/>
      </c:barChart>
      <c:catAx>
        <c:axId val="148482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06273"/>
      </c:catAx>
      <c:valAx>
        <c:axId val="80406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822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'1990'!$E$42:$E$45</c:f>
              <c:numCache/>
            </c:numRef>
          </c:val>
        </c:ser>
        <c:axId val="373390916"/>
        <c:axId val="2137263408"/>
      </c:barChart>
      <c:catAx>
        <c:axId val="373390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263408"/>
      </c:catAx>
      <c:valAx>
        <c:axId val="2137263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390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'1990'!$B$14:$B$19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'1990'!$C$14:$C$19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'1990'!$D$14:$D$19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'1990'!$E$14:$E$19</c:f>
              <c:numCache/>
            </c:numRef>
          </c:val>
        </c:ser>
        <c:overlap val="100"/>
        <c:axId val="73528043"/>
        <c:axId val="1187186053"/>
      </c:barChart>
      <c:catAx>
        <c:axId val="73528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186053"/>
      </c:catAx>
      <c:valAx>
        <c:axId val="1187186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28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'1990'!$E$42:$E$45</c:f>
              <c:numCache/>
            </c:numRef>
          </c:val>
        </c:ser>
        <c:overlap val="100"/>
        <c:axId val="460138396"/>
        <c:axId val="444575878"/>
      </c:barChart>
      <c:catAx>
        <c:axId val="460138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575878"/>
      </c:catAx>
      <c:valAx>
        <c:axId val="444575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138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'1991'!$E$14:$E$18</c:f>
              <c:numCache/>
            </c:numRef>
          </c:val>
        </c:ser>
        <c:axId val="2074057248"/>
        <c:axId val="1061541476"/>
      </c:barChart>
      <c:catAx>
        <c:axId val="207405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541476"/>
      </c:catAx>
      <c:valAx>
        <c:axId val="1061541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057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'1991'!$A$41:$A$45</c:f>
            </c:strRef>
          </c:cat>
          <c:val>
            <c:numRef>
              <c:f>'1991'!$B$41:$B$45</c:f>
              <c:numCache/>
            </c:numRef>
          </c:val>
        </c:ser>
        <c:ser>
          <c:idx val="1"/>
          <c:order val="1"/>
          <c:cat>
            <c:strRef>
              <c:f>'1991'!$A$41:$A$45</c:f>
            </c:strRef>
          </c:cat>
          <c:val>
            <c:numRef>
              <c:f>'1991'!$C$41:$C$45</c:f>
              <c:numCache/>
            </c:numRef>
          </c:val>
        </c:ser>
        <c:ser>
          <c:idx val="2"/>
          <c:order val="2"/>
          <c:cat>
            <c:strRef>
              <c:f>'1991'!$A$41:$A$45</c:f>
            </c:strRef>
          </c:cat>
          <c:val>
            <c:numRef>
              <c:f>'1991'!$D$41:$D$45</c:f>
              <c:numCache/>
            </c:numRef>
          </c:val>
        </c:ser>
        <c:ser>
          <c:idx val="3"/>
          <c:order val="3"/>
          <c:cat>
            <c:strRef>
              <c:f>'1991'!$A$41:$A$45</c:f>
            </c:strRef>
          </c:cat>
          <c:val>
            <c:numRef>
              <c:f>'1991'!$E$41:$E$45</c:f>
              <c:numCache/>
            </c:numRef>
          </c:val>
        </c:ser>
        <c:axId val="8623261"/>
        <c:axId val="1428975966"/>
      </c:barChart>
      <c:catAx>
        <c:axId val="8623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975966"/>
      </c:catAx>
      <c:valAx>
        <c:axId val="14289759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23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'1991'!$E$14:$E$18</c:f>
              <c:numCache/>
            </c:numRef>
          </c:val>
        </c:ser>
        <c:overlap val="100"/>
        <c:axId val="1379722665"/>
        <c:axId val="1621282050"/>
      </c:barChart>
      <c:catAx>
        <c:axId val="1379722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282050"/>
      </c:catAx>
      <c:valAx>
        <c:axId val="1621282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722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cat>
            <c:strRef>
              <c:f>'1991'!$A$41:$A$45</c:f>
            </c:strRef>
          </c:cat>
          <c:val>
            <c:numRef>
              <c:f>'1991'!$B$41:$B$45</c:f>
              <c:numCache/>
            </c:numRef>
          </c:val>
        </c:ser>
        <c:ser>
          <c:idx val="1"/>
          <c:order val="1"/>
          <c:cat>
            <c:strRef>
              <c:f>'1991'!$A$41:$A$45</c:f>
            </c:strRef>
          </c:cat>
          <c:val>
            <c:numRef>
              <c:f>'1991'!$C$41:$C$45</c:f>
              <c:numCache/>
            </c:numRef>
          </c:val>
        </c:ser>
        <c:ser>
          <c:idx val="2"/>
          <c:order val="2"/>
          <c:cat>
            <c:strRef>
              <c:f>'1991'!$A$41:$A$45</c:f>
            </c:strRef>
          </c:cat>
          <c:val>
            <c:numRef>
              <c:f>'1991'!$D$41:$D$45</c:f>
              <c:numCache/>
            </c:numRef>
          </c:val>
        </c:ser>
        <c:ser>
          <c:idx val="3"/>
          <c:order val="3"/>
          <c:cat>
            <c:strRef>
              <c:f>'1991'!$A$41:$A$45</c:f>
            </c:strRef>
          </c:cat>
          <c:val>
            <c:numRef>
              <c:f>'1991'!$E$41:$E$45</c:f>
              <c:numCache/>
            </c:numRef>
          </c:val>
        </c:ser>
        <c:overlap val="100"/>
        <c:axId val="87877291"/>
        <c:axId val="1305948964"/>
      </c:barChart>
      <c:catAx>
        <c:axId val="87877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948964"/>
      </c:catAx>
      <c:valAx>
        <c:axId val="130594896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7877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'1992'!$E$14:$E$18</c:f>
              <c:numCache/>
            </c:numRef>
          </c:val>
        </c:ser>
        <c:axId val="1360556236"/>
        <c:axId val="1445761599"/>
      </c:barChart>
      <c:catAx>
        <c:axId val="1360556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761599"/>
      </c:catAx>
      <c:valAx>
        <c:axId val="1445761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556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'1992'!$A$41:$A$45</c:f>
            </c:strRef>
          </c:cat>
          <c:val>
            <c:numRef>
              <c:f>'1992'!$B$41:$B$45</c:f>
              <c:numCache/>
            </c:numRef>
          </c:val>
        </c:ser>
        <c:ser>
          <c:idx val="1"/>
          <c:order val="1"/>
          <c:cat>
            <c:strRef>
              <c:f>'1992'!$A$41:$A$45</c:f>
            </c:strRef>
          </c:cat>
          <c:val>
            <c:numRef>
              <c:f>'1992'!$C$41:$C$45</c:f>
              <c:numCache/>
            </c:numRef>
          </c:val>
        </c:ser>
        <c:ser>
          <c:idx val="2"/>
          <c:order val="2"/>
          <c:cat>
            <c:strRef>
              <c:f>'1992'!$A$41:$A$45</c:f>
            </c:strRef>
          </c:cat>
          <c:val>
            <c:numRef>
              <c:f>'1992'!$D$41:$D$45</c:f>
              <c:numCache/>
            </c:numRef>
          </c:val>
        </c:ser>
        <c:ser>
          <c:idx val="3"/>
          <c:order val="3"/>
          <c:cat>
            <c:strRef>
              <c:f>'1992'!$A$41:$A$45</c:f>
            </c:strRef>
          </c:cat>
          <c:val>
            <c:numRef>
              <c:f>'1992'!$E$41:$E$45</c:f>
              <c:numCache/>
            </c:numRef>
          </c:val>
        </c:ser>
        <c:axId val="2069022399"/>
        <c:axId val="1659436865"/>
      </c:barChart>
      <c:catAx>
        <c:axId val="206902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436865"/>
      </c:catAx>
      <c:valAx>
        <c:axId val="165943686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69022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'1992'!$E$14:$E$18</c:f>
              <c:numCache/>
            </c:numRef>
          </c:val>
        </c:ser>
        <c:overlap val="100"/>
        <c:axId val="829407347"/>
        <c:axId val="1640216567"/>
      </c:barChart>
      <c:catAx>
        <c:axId val="829407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216567"/>
      </c:catAx>
      <c:valAx>
        <c:axId val="1640216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407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cat>
            <c:strRef>
              <c:f>'1992'!$A$41:$A$45</c:f>
            </c:strRef>
          </c:cat>
          <c:val>
            <c:numRef>
              <c:f>'1992'!$B$41:$B$45</c:f>
              <c:numCache/>
            </c:numRef>
          </c:val>
        </c:ser>
        <c:ser>
          <c:idx val="1"/>
          <c:order val="1"/>
          <c:cat>
            <c:strRef>
              <c:f>'1992'!$A$41:$A$45</c:f>
            </c:strRef>
          </c:cat>
          <c:val>
            <c:numRef>
              <c:f>'1992'!$C$41:$C$45</c:f>
              <c:numCache/>
            </c:numRef>
          </c:val>
        </c:ser>
        <c:ser>
          <c:idx val="2"/>
          <c:order val="2"/>
          <c:cat>
            <c:strRef>
              <c:f>'1992'!$A$41:$A$45</c:f>
            </c:strRef>
          </c:cat>
          <c:val>
            <c:numRef>
              <c:f>'1992'!$D$41:$D$45</c:f>
              <c:numCache/>
            </c:numRef>
          </c:val>
        </c:ser>
        <c:ser>
          <c:idx val="3"/>
          <c:order val="3"/>
          <c:cat>
            <c:strRef>
              <c:f>'1992'!$A$41:$A$45</c:f>
            </c:strRef>
          </c:cat>
          <c:val>
            <c:numRef>
              <c:f>'1992'!$E$41:$E$45</c:f>
              <c:numCache/>
            </c:numRef>
          </c:val>
        </c:ser>
        <c:overlap val="100"/>
        <c:axId val="987261860"/>
        <c:axId val="1756644060"/>
      </c:barChart>
      <c:catAx>
        <c:axId val="987261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644060"/>
      </c:catAx>
      <c:valAx>
        <c:axId val="17566440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7261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'1993'!$E$14:$E$18</c:f>
              <c:numCache/>
            </c:numRef>
          </c:val>
        </c:ser>
        <c:axId val="1017095519"/>
        <c:axId val="2118886277"/>
      </c:barChart>
      <c:catAx>
        <c:axId val="1017095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886277"/>
      </c:catAx>
      <c:valAx>
        <c:axId val="2118886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095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'1993'!$E$42:$E$45</c:f>
              <c:numCache/>
            </c:numRef>
          </c:val>
        </c:ser>
        <c:axId val="523707881"/>
        <c:axId val="202226262"/>
      </c:barChart>
      <c:catAx>
        <c:axId val="523707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26262"/>
      </c:catAx>
      <c:valAx>
        <c:axId val="202226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707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'1993'!$E$14:$E$18</c:f>
              <c:numCache/>
            </c:numRef>
          </c:val>
        </c:ser>
        <c:overlap val="100"/>
        <c:axId val="140227080"/>
        <c:axId val="1672167900"/>
      </c:barChart>
      <c:catAx>
        <c:axId val="140227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167900"/>
      </c:catAx>
      <c:valAx>
        <c:axId val="1672167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27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'1993'!$E$42:$E$45</c:f>
              <c:numCache/>
            </c:numRef>
          </c:val>
        </c:ser>
        <c:overlap val="100"/>
        <c:axId val="2048636902"/>
        <c:axId val="811387858"/>
      </c:barChart>
      <c:catAx>
        <c:axId val="2048636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387858"/>
      </c:catAx>
      <c:valAx>
        <c:axId val="811387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636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'1994'!$E$14:$E$18</c:f>
              <c:numCache/>
            </c:numRef>
          </c:val>
        </c:ser>
        <c:axId val="829937358"/>
        <c:axId val="1855110849"/>
      </c:barChart>
      <c:catAx>
        <c:axId val="829937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110849"/>
      </c:catAx>
      <c:valAx>
        <c:axId val="1855110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937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'1994'!$E$42:$E$45</c:f>
              <c:numCache/>
            </c:numRef>
          </c:val>
        </c:ser>
        <c:axId val="1688645012"/>
        <c:axId val="1041777877"/>
      </c:barChart>
      <c:catAx>
        <c:axId val="1688645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777877"/>
      </c:catAx>
      <c:valAx>
        <c:axId val="1041777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645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'1994'!$E$14:$E$18</c:f>
              <c:numCache/>
            </c:numRef>
          </c:val>
        </c:ser>
        <c:overlap val="100"/>
        <c:axId val="802710186"/>
        <c:axId val="1302440169"/>
      </c:barChart>
      <c:catAx>
        <c:axId val="802710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440169"/>
      </c:catAx>
      <c:valAx>
        <c:axId val="1302440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710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'1994'!$E$42:$E$45</c:f>
              <c:numCache/>
            </c:numRef>
          </c:val>
        </c:ser>
        <c:overlap val="100"/>
        <c:axId val="1345801800"/>
        <c:axId val="672147710"/>
      </c:barChart>
      <c:catAx>
        <c:axId val="1345801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147710"/>
      </c:catAx>
      <c:valAx>
        <c:axId val="672147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801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'1995'!$E$14:$E$18</c:f>
              <c:numCache/>
            </c:numRef>
          </c:val>
        </c:ser>
        <c:axId val="692334544"/>
        <c:axId val="1637808758"/>
      </c:barChart>
      <c:catAx>
        <c:axId val="692334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808758"/>
      </c:catAx>
      <c:valAx>
        <c:axId val="1637808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334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'1995'!$E$42:$E$45</c:f>
              <c:numCache/>
            </c:numRef>
          </c:val>
        </c:ser>
        <c:axId val="1662596868"/>
        <c:axId val="1357485099"/>
      </c:barChart>
      <c:catAx>
        <c:axId val="1662596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485099"/>
      </c:catAx>
      <c:valAx>
        <c:axId val="1357485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596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'1995'!$E$14:$E$18</c:f>
              <c:numCache/>
            </c:numRef>
          </c:val>
        </c:ser>
        <c:overlap val="100"/>
        <c:axId val="41143478"/>
        <c:axId val="1574835692"/>
      </c:barChart>
      <c:catAx>
        <c:axId val="41143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835692"/>
      </c:catAx>
      <c:valAx>
        <c:axId val="1574835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43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'1995'!$E$42:$E$45</c:f>
              <c:numCache/>
            </c:numRef>
          </c:val>
        </c:ser>
        <c:overlap val="100"/>
        <c:axId val="1583560455"/>
        <c:axId val="1212979500"/>
      </c:barChart>
      <c:catAx>
        <c:axId val="1583560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979500"/>
      </c:catAx>
      <c:valAx>
        <c:axId val="1212979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560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'1996'!$E$14:$E$18</c:f>
              <c:numCache/>
            </c:numRef>
          </c:val>
        </c:ser>
        <c:axId val="3132546"/>
        <c:axId val="961578822"/>
      </c:barChart>
      <c:catAx>
        <c:axId val="3132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578822"/>
      </c:catAx>
      <c:valAx>
        <c:axId val="961578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2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'1996'!$E$42:$E$45</c:f>
              <c:numCache/>
            </c:numRef>
          </c:val>
        </c:ser>
        <c:axId val="272329017"/>
        <c:axId val="654948826"/>
      </c:barChart>
      <c:catAx>
        <c:axId val="272329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948826"/>
      </c:catAx>
      <c:valAx>
        <c:axId val="654948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329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'1996'!$E$14:$E$18</c:f>
              <c:numCache/>
            </c:numRef>
          </c:val>
        </c:ser>
        <c:overlap val="100"/>
        <c:axId val="1900395517"/>
        <c:axId val="1765096999"/>
      </c:barChart>
      <c:catAx>
        <c:axId val="1900395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096999"/>
      </c:catAx>
      <c:valAx>
        <c:axId val="1765096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395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'1996'!$E$42:$E$45</c:f>
              <c:numCache/>
            </c:numRef>
          </c:val>
        </c:ser>
        <c:overlap val="100"/>
        <c:axId val="1693032476"/>
        <c:axId val="478879050"/>
      </c:barChart>
      <c:catAx>
        <c:axId val="1693032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879050"/>
      </c:catAx>
      <c:valAx>
        <c:axId val="478879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032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'1997'!$E$14:$E$18</c:f>
              <c:numCache/>
            </c:numRef>
          </c:val>
        </c:ser>
        <c:axId val="273720551"/>
        <c:axId val="1907571332"/>
      </c:barChart>
      <c:catAx>
        <c:axId val="273720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571332"/>
      </c:catAx>
      <c:valAx>
        <c:axId val="1907571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720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'1997'!$E$42:$E$45</c:f>
              <c:numCache/>
            </c:numRef>
          </c:val>
        </c:ser>
        <c:axId val="1908254955"/>
        <c:axId val="288421013"/>
      </c:barChart>
      <c:catAx>
        <c:axId val="1908254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421013"/>
      </c:catAx>
      <c:valAx>
        <c:axId val="288421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254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'1997'!$E$14:$E$18</c:f>
              <c:numCache/>
            </c:numRef>
          </c:val>
        </c:ser>
        <c:overlap val="100"/>
        <c:axId val="1150900814"/>
        <c:axId val="447092215"/>
      </c:barChart>
      <c:catAx>
        <c:axId val="1150900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092215"/>
      </c:catAx>
      <c:valAx>
        <c:axId val="447092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900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'1997'!$E$42:$E$45</c:f>
              <c:numCache/>
            </c:numRef>
          </c:val>
        </c:ser>
        <c:overlap val="100"/>
        <c:axId val="352874821"/>
        <c:axId val="627806184"/>
      </c:barChart>
      <c:catAx>
        <c:axId val="352874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806184"/>
      </c:catAx>
      <c:valAx>
        <c:axId val="627806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874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'1998'!$E$14:$E$18</c:f>
              <c:numCache/>
            </c:numRef>
          </c:val>
        </c:ser>
        <c:axId val="860364590"/>
        <c:axId val="1727575957"/>
      </c:barChart>
      <c:catAx>
        <c:axId val="860364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575957"/>
      </c:catAx>
      <c:valAx>
        <c:axId val="1727575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364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'1998'!$E$42:$E$45</c:f>
              <c:numCache/>
            </c:numRef>
          </c:val>
        </c:ser>
        <c:axId val="549390496"/>
        <c:axId val="1333186673"/>
      </c:barChart>
      <c:catAx>
        <c:axId val="54939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186673"/>
      </c:catAx>
      <c:valAx>
        <c:axId val="1333186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390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'1998'!$E$14:$E$18</c:f>
              <c:numCache/>
            </c:numRef>
          </c:val>
        </c:ser>
        <c:overlap val="100"/>
        <c:axId val="231893754"/>
        <c:axId val="1511048274"/>
      </c:barChart>
      <c:catAx>
        <c:axId val="231893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048274"/>
      </c:catAx>
      <c:valAx>
        <c:axId val="1511048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893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'1998'!$E$42:$E$45</c:f>
              <c:numCache/>
            </c:numRef>
          </c:val>
        </c:ser>
        <c:overlap val="100"/>
        <c:axId val="1221754834"/>
        <c:axId val="108070740"/>
      </c:barChart>
      <c:catAx>
        <c:axId val="1221754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70740"/>
      </c:catAx>
      <c:valAx>
        <c:axId val="108070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754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'1999'!$E$14:$E$18</c:f>
              <c:numCache/>
            </c:numRef>
          </c:val>
        </c:ser>
        <c:axId val="1403241983"/>
        <c:axId val="1342710497"/>
      </c:barChart>
      <c:catAx>
        <c:axId val="140324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710497"/>
      </c:catAx>
      <c:valAx>
        <c:axId val="1342710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241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'1999'!$E$42:$E$45</c:f>
              <c:numCache/>
            </c:numRef>
          </c:val>
        </c:ser>
        <c:axId val="1110165363"/>
        <c:axId val="1901727054"/>
      </c:barChart>
      <c:catAx>
        <c:axId val="1110165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727054"/>
      </c:catAx>
      <c:valAx>
        <c:axId val="1901727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0165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'1999'!$E$14:$E$18</c:f>
              <c:numCache/>
            </c:numRef>
          </c:val>
        </c:ser>
        <c:overlap val="100"/>
        <c:axId val="712996037"/>
        <c:axId val="1105810242"/>
      </c:barChart>
      <c:catAx>
        <c:axId val="712996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810242"/>
      </c:catAx>
      <c:valAx>
        <c:axId val="1105810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996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'1999'!$E$42:$E$45</c:f>
              <c:numCache/>
            </c:numRef>
          </c:val>
        </c:ser>
        <c:overlap val="100"/>
        <c:axId val="1492867865"/>
        <c:axId val="613457730"/>
      </c:barChart>
      <c:catAx>
        <c:axId val="1492867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457730"/>
      </c:catAx>
      <c:valAx>
        <c:axId val="613457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8678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'2000'!$E$14:$E$18</c:f>
              <c:numCache/>
            </c:numRef>
          </c:val>
        </c:ser>
        <c:axId val="1134782548"/>
        <c:axId val="148845064"/>
      </c:barChart>
      <c:catAx>
        <c:axId val="1134782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45064"/>
      </c:catAx>
      <c:valAx>
        <c:axId val="148845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782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'2000'!$E$42:$E$45</c:f>
              <c:numCache/>
            </c:numRef>
          </c:val>
        </c:ser>
        <c:axId val="1263896898"/>
        <c:axId val="252375371"/>
      </c:barChart>
      <c:catAx>
        <c:axId val="1263896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375371"/>
      </c:catAx>
      <c:valAx>
        <c:axId val="252375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896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'2000'!$E$14:$E$18</c:f>
              <c:numCache/>
            </c:numRef>
          </c:val>
        </c:ser>
        <c:overlap val="100"/>
        <c:axId val="1023048196"/>
        <c:axId val="762495784"/>
      </c:barChart>
      <c:catAx>
        <c:axId val="1023048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495784"/>
      </c:catAx>
      <c:valAx>
        <c:axId val="762495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048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'2000'!$E$42:$E$45</c:f>
              <c:numCache/>
            </c:numRef>
          </c:val>
        </c:ser>
        <c:overlap val="100"/>
        <c:axId val="22036324"/>
        <c:axId val="438396827"/>
      </c:barChart>
      <c:catAx>
        <c:axId val="22036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396827"/>
      </c:catAx>
      <c:valAx>
        <c:axId val="438396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36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'2001'!$E$14:$E$18</c:f>
              <c:numCache/>
            </c:numRef>
          </c:val>
        </c:ser>
        <c:axId val="429475326"/>
        <c:axId val="1686910408"/>
      </c:barChart>
      <c:catAx>
        <c:axId val="429475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910408"/>
      </c:catAx>
      <c:valAx>
        <c:axId val="1686910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475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'2001'!$E$42:$E$45</c:f>
              <c:numCache/>
            </c:numRef>
          </c:val>
        </c:ser>
        <c:axId val="297369876"/>
        <c:axId val="1003598838"/>
      </c:barChart>
      <c:catAx>
        <c:axId val="29736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598838"/>
      </c:catAx>
      <c:valAx>
        <c:axId val="1003598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369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'2001'!$E$14:$E$18</c:f>
              <c:numCache/>
            </c:numRef>
          </c:val>
        </c:ser>
        <c:overlap val="100"/>
        <c:axId val="219189245"/>
        <c:axId val="1518843623"/>
      </c:barChart>
      <c:catAx>
        <c:axId val="219189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843623"/>
      </c:catAx>
      <c:valAx>
        <c:axId val="1518843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189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'2001'!$E$42:$E$45</c:f>
              <c:numCache/>
            </c:numRef>
          </c:val>
        </c:ser>
        <c:overlap val="100"/>
        <c:axId val="1786240030"/>
        <c:axId val="1426880622"/>
      </c:barChart>
      <c:catAx>
        <c:axId val="1786240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880622"/>
      </c:catAx>
      <c:valAx>
        <c:axId val="1426880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240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'2002'!$E$14:$E$18</c:f>
              <c:numCache/>
            </c:numRef>
          </c:val>
        </c:ser>
        <c:axId val="273507451"/>
        <c:axId val="668289597"/>
      </c:barChart>
      <c:catAx>
        <c:axId val="273507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289597"/>
      </c:catAx>
      <c:valAx>
        <c:axId val="668289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507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'2002'!$E$42:$E$45</c:f>
              <c:numCache/>
            </c:numRef>
          </c:val>
        </c:ser>
        <c:axId val="1356823192"/>
        <c:axId val="622542756"/>
      </c:barChart>
      <c:catAx>
        <c:axId val="1356823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542756"/>
      </c:catAx>
      <c:valAx>
        <c:axId val="622542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823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'2002'!$E$14:$E$18</c:f>
              <c:numCache/>
            </c:numRef>
          </c:val>
        </c:ser>
        <c:overlap val="100"/>
        <c:axId val="849784728"/>
        <c:axId val="1607005935"/>
      </c:barChart>
      <c:catAx>
        <c:axId val="849784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005935"/>
      </c:catAx>
      <c:valAx>
        <c:axId val="1607005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784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'2002'!$E$42:$E$45</c:f>
              <c:numCache/>
            </c:numRef>
          </c:val>
        </c:ser>
        <c:overlap val="100"/>
        <c:axId val="870943943"/>
        <c:axId val="154483254"/>
      </c:barChart>
      <c:catAx>
        <c:axId val="870943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83254"/>
      </c:catAx>
      <c:valAx>
        <c:axId val="154483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943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'2003'!$E$14:$E$18</c:f>
              <c:numCache/>
            </c:numRef>
          </c:val>
        </c:ser>
        <c:axId val="561572742"/>
        <c:axId val="294424215"/>
      </c:barChart>
      <c:catAx>
        <c:axId val="561572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424215"/>
      </c:catAx>
      <c:valAx>
        <c:axId val="294424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572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'2003'!$E$42:$E$45</c:f>
              <c:numCache/>
            </c:numRef>
          </c:val>
        </c:ser>
        <c:axId val="1403653892"/>
        <c:axId val="1092115079"/>
      </c:barChart>
      <c:catAx>
        <c:axId val="1403653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115079"/>
      </c:catAx>
      <c:valAx>
        <c:axId val="1092115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653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'2003'!$E$14:$E$18</c:f>
              <c:numCache/>
            </c:numRef>
          </c:val>
        </c:ser>
        <c:overlap val="100"/>
        <c:axId val="1437218051"/>
        <c:axId val="635806267"/>
      </c:barChart>
      <c:catAx>
        <c:axId val="1437218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806267"/>
      </c:catAx>
      <c:valAx>
        <c:axId val="635806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218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'2003'!$E$42:$E$45</c:f>
              <c:numCache/>
            </c:numRef>
          </c:val>
        </c:ser>
        <c:overlap val="100"/>
        <c:axId val="914290135"/>
        <c:axId val="1174667175"/>
      </c:barChart>
      <c:catAx>
        <c:axId val="914290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667175"/>
      </c:catAx>
      <c:valAx>
        <c:axId val="1174667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290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'2004'!$E$14:$E$18</c:f>
              <c:numCache/>
            </c:numRef>
          </c:val>
        </c:ser>
        <c:axId val="434858259"/>
        <c:axId val="746180575"/>
      </c:barChart>
      <c:catAx>
        <c:axId val="434858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180575"/>
      </c:catAx>
      <c:valAx>
        <c:axId val="746180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858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'2004'!$E$42:$E$45</c:f>
              <c:numCache/>
            </c:numRef>
          </c:val>
        </c:ser>
        <c:axId val="1917237021"/>
        <c:axId val="1544449310"/>
      </c:barChart>
      <c:catAx>
        <c:axId val="1917237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449310"/>
      </c:catAx>
      <c:valAx>
        <c:axId val="1544449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237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'2004'!$E$14:$E$18</c:f>
              <c:numCache/>
            </c:numRef>
          </c:val>
        </c:ser>
        <c:overlap val="100"/>
        <c:axId val="1499719215"/>
        <c:axId val="51527120"/>
      </c:barChart>
      <c:catAx>
        <c:axId val="149971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27120"/>
      </c:catAx>
      <c:valAx>
        <c:axId val="51527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719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'2004'!$E$42:$E$45</c:f>
              <c:numCache/>
            </c:numRef>
          </c:val>
        </c:ser>
        <c:overlap val="100"/>
        <c:axId val="1918144015"/>
        <c:axId val="1619474233"/>
      </c:barChart>
      <c:catAx>
        <c:axId val="1918144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474233"/>
      </c:catAx>
      <c:valAx>
        <c:axId val="1619474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144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'2005'!$E$14:$E$18</c:f>
              <c:numCache/>
            </c:numRef>
          </c:val>
        </c:ser>
        <c:axId val="1314281219"/>
        <c:axId val="526036990"/>
      </c:barChart>
      <c:catAx>
        <c:axId val="1314281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036990"/>
      </c:catAx>
      <c:valAx>
        <c:axId val="526036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281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'2005'!$E$42:$E$45</c:f>
              <c:numCache/>
            </c:numRef>
          </c:val>
        </c:ser>
        <c:axId val="1488576437"/>
        <c:axId val="2037522042"/>
      </c:barChart>
      <c:catAx>
        <c:axId val="1488576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522042"/>
      </c:catAx>
      <c:valAx>
        <c:axId val="2037522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576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'2005'!$E$14:$E$18</c:f>
              <c:numCache/>
            </c:numRef>
          </c:val>
        </c:ser>
        <c:overlap val="100"/>
        <c:axId val="718937400"/>
        <c:axId val="718970485"/>
      </c:barChart>
      <c:catAx>
        <c:axId val="718937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970485"/>
      </c:catAx>
      <c:valAx>
        <c:axId val="718970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937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'2005'!$E$42:$E$45</c:f>
              <c:numCache/>
            </c:numRef>
          </c:val>
        </c:ser>
        <c:overlap val="100"/>
        <c:axId val="776810566"/>
        <c:axId val="1009900324"/>
      </c:barChart>
      <c:catAx>
        <c:axId val="776810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900324"/>
      </c:catAx>
      <c:valAx>
        <c:axId val="1009900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810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'2006'!$E$14:$E$18</c:f>
              <c:numCache/>
            </c:numRef>
          </c:val>
        </c:ser>
        <c:axId val="1000954657"/>
        <c:axId val="488179576"/>
      </c:barChart>
      <c:catAx>
        <c:axId val="100095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179576"/>
      </c:catAx>
      <c:valAx>
        <c:axId val="488179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954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'2006'!$E$42:$E$45</c:f>
              <c:numCache/>
            </c:numRef>
          </c:val>
        </c:ser>
        <c:axId val="965891261"/>
        <c:axId val="661706929"/>
      </c:barChart>
      <c:catAx>
        <c:axId val="965891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706929"/>
      </c:catAx>
      <c:valAx>
        <c:axId val="661706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891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'2006'!$E$14:$E$18</c:f>
              <c:numCache/>
            </c:numRef>
          </c:val>
        </c:ser>
        <c:overlap val="100"/>
        <c:axId val="732588991"/>
        <c:axId val="1435850929"/>
      </c:barChart>
      <c:catAx>
        <c:axId val="73258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850929"/>
      </c:catAx>
      <c:valAx>
        <c:axId val="1435850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588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'2006'!$E$42:$E$45</c:f>
              <c:numCache/>
            </c:numRef>
          </c:val>
        </c:ser>
        <c:overlap val="100"/>
        <c:axId val="830952677"/>
        <c:axId val="1433950"/>
      </c:barChart>
      <c:catAx>
        <c:axId val="830952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950"/>
      </c:catAx>
      <c:valAx>
        <c:axId val="1433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952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'2007'!$E$14:$E$18</c:f>
              <c:numCache/>
            </c:numRef>
          </c:val>
        </c:ser>
        <c:axId val="1635394818"/>
        <c:axId val="1926576177"/>
      </c:barChart>
      <c:catAx>
        <c:axId val="1635394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576177"/>
      </c:catAx>
      <c:valAx>
        <c:axId val="1926576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394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'2007'!$E$42:$E$45</c:f>
              <c:numCache/>
            </c:numRef>
          </c:val>
        </c:ser>
        <c:axId val="666728462"/>
        <c:axId val="1932346983"/>
      </c:barChart>
      <c:catAx>
        <c:axId val="666728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346983"/>
      </c:catAx>
      <c:valAx>
        <c:axId val="1932346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728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'2007'!$E$14:$E$18</c:f>
              <c:numCache/>
            </c:numRef>
          </c:val>
        </c:ser>
        <c:overlap val="100"/>
        <c:axId val="321806909"/>
        <c:axId val="342675257"/>
      </c:barChart>
      <c:catAx>
        <c:axId val="321806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675257"/>
      </c:catAx>
      <c:valAx>
        <c:axId val="342675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806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'2007'!$E$42:$E$45</c:f>
              <c:numCache/>
            </c:numRef>
          </c:val>
        </c:ser>
        <c:overlap val="100"/>
        <c:axId val="1533785975"/>
        <c:axId val="1335536540"/>
      </c:barChart>
      <c:catAx>
        <c:axId val="1533785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536540"/>
      </c:catAx>
      <c:valAx>
        <c:axId val="1335536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785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'2008'!$E$14:$E$18</c:f>
              <c:numCache/>
            </c:numRef>
          </c:val>
        </c:ser>
        <c:axId val="1128516761"/>
        <c:axId val="1929716737"/>
      </c:barChart>
      <c:catAx>
        <c:axId val="1128516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716737"/>
      </c:catAx>
      <c:valAx>
        <c:axId val="1929716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516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'2008'!$E$42:$E$45</c:f>
              <c:numCache/>
            </c:numRef>
          </c:val>
        </c:ser>
        <c:axId val="1960529400"/>
        <c:axId val="1206975795"/>
      </c:barChart>
      <c:catAx>
        <c:axId val="1960529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975795"/>
      </c:catAx>
      <c:valAx>
        <c:axId val="1206975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529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'2008'!$E$14:$E$18</c:f>
              <c:numCache/>
            </c:numRef>
          </c:val>
        </c:ser>
        <c:overlap val="100"/>
        <c:axId val="88880059"/>
        <c:axId val="1693807927"/>
      </c:barChart>
      <c:catAx>
        <c:axId val="88880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807927"/>
      </c:catAx>
      <c:valAx>
        <c:axId val="1693807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80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'2008'!$E$42:$E$45</c:f>
              <c:numCache/>
            </c:numRef>
          </c:val>
        </c:ser>
        <c:overlap val="100"/>
        <c:axId val="766572434"/>
        <c:axId val="1571780444"/>
      </c:barChart>
      <c:catAx>
        <c:axId val="766572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780444"/>
      </c:catAx>
      <c:valAx>
        <c:axId val="1571780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572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'2009'!$E$14:$E$18</c:f>
              <c:numCache/>
            </c:numRef>
          </c:val>
        </c:ser>
        <c:axId val="337676782"/>
        <c:axId val="530336514"/>
      </c:barChart>
      <c:catAx>
        <c:axId val="337676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336514"/>
      </c:catAx>
      <c:valAx>
        <c:axId val="530336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676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'2009'!$E$42:$E$45</c:f>
              <c:numCache/>
            </c:numRef>
          </c:val>
        </c:ser>
        <c:axId val="610124540"/>
        <c:axId val="475826595"/>
      </c:barChart>
      <c:catAx>
        <c:axId val="61012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826595"/>
      </c:catAx>
      <c:valAx>
        <c:axId val="47582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124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'2009'!$E$14:$E$18</c:f>
              <c:numCache/>
            </c:numRef>
          </c:val>
        </c:ser>
        <c:overlap val="100"/>
        <c:axId val="1871772045"/>
        <c:axId val="4269454"/>
      </c:barChart>
      <c:catAx>
        <c:axId val="1871772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9454"/>
      </c:catAx>
      <c:valAx>
        <c:axId val="426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772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'2009'!$E$42:$E$45</c:f>
              <c:numCache/>
            </c:numRef>
          </c:val>
        </c:ser>
        <c:overlap val="100"/>
        <c:axId val="690857104"/>
        <c:axId val="243675705"/>
      </c:barChart>
      <c:catAx>
        <c:axId val="69085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675705"/>
      </c:catAx>
      <c:valAx>
        <c:axId val="243675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857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'2010'!$E$14:$E$18</c:f>
              <c:numCache/>
            </c:numRef>
          </c:val>
        </c:ser>
        <c:axId val="350991335"/>
        <c:axId val="1624097401"/>
      </c:barChart>
      <c:catAx>
        <c:axId val="350991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097401"/>
      </c:catAx>
      <c:valAx>
        <c:axId val="1624097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991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'2010'!$E$42:$E$45</c:f>
              <c:numCache/>
            </c:numRef>
          </c:val>
        </c:ser>
        <c:axId val="354222694"/>
        <c:axId val="868099886"/>
      </c:barChart>
      <c:catAx>
        <c:axId val="354222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099886"/>
      </c:catAx>
      <c:valAx>
        <c:axId val="868099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222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'2010'!$E$14:$E$18</c:f>
              <c:numCache/>
            </c:numRef>
          </c:val>
        </c:ser>
        <c:overlap val="100"/>
        <c:axId val="1783184572"/>
        <c:axId val="1130632021"/>
      </c:barChart>
      <c:catAx>
        <c:axId val="1783184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632021"/>
      </c:catAx>
      <c:valAx>
        <c:axId val="1130632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184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'2010'!$E$42:$E$45</c:f>
              <c:numCache/>
            </c:numRef>
          </c:val>
        </c:ser>
        <c:overlap val="100"/>
        <c:axId val="2013034476"/>
        <c:axId val="864023527"/>
      </c:barChart>
      <c:catAx>
        <c:axId val="2013034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023527"/>
      </c:catAx>
      <c:valAx>
        <c:axId val="864023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034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'2011'!$E$14:$E$18</c:f>
              <c:numCache/>
            </c:numRef>
          </c:val>
        </c:ser>
        <c:axId val="1476695743"/>
        <c:axId val="426784819"/>
      </c:barChart>
      <c:catAx>
        <c:axId val="1476695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784819"/>
      </c:catAx>
      <c:valAx>
        <c:axId val="426784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695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'2011'!$E$42:$E$45</c:f>
              <c:numCache/>
            </c:numRef>
          </c:val>
        </c:ser>
        <c:axId val="443000189"/>
        <c:axId val="49600445"/>
      </c:barChart>
      <c:catAx>
        <c:axId val="443000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00445"/>
      </c:catAx>
      <c:valAx>
        <c:axId val="49600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0001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'2011'!$E$14:$E$18</c:f>
              <c:numCache/>
            </c:numRef>
          </c:val>
        </c:ser>
        <c:overlap val="100"/>
        <c:axId val="198092473"/>
        <c:axId val="574744403"/>
      </c:barChart>
      <c:catAx>
        <c:axId val="198092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744403"/>
      </c:catAx>
      <c:valAx>
        <c:axId val="574744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92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'2011'!$E$42:$E$45</c:f>
              <c:numCache/>
            </c:numRef>
          </c:val>
        </c:ser>
        <c:overlap val="100"/>
        <c:axId val="116813765"/>
        <c:axId val="632333727"/>
      </c:barChart>
      <c:catAx>
        <c:axId val="116813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333727"/>
      </c:catAx>
      <c:valAx>
        <c:axId val="632333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13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'2012'!$E$14:$E$18</c:f>
              <c:numCache/>
            </c:numRef>
          </c:val>
        </c:ser>
        <c:axId val="1579138443"/>
        <c:axId val="1032765488"/>
      </c:barChart>
      <c:catAx>
        <c:axId val="1579138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765488"/>
      </c:catAx>
      <c:valAx>
        <c:axId val="1032765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138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'2012'!$E$42:$E$45</c:f>
              <c:numCache/>
            </c:numRef>
          </c:val>
        </c:ser>
        <c:axId val="2105978696"/>
        <c:axId val="1291042183"/>
      </c:barChart>
      <c:catAx>
        <c:axId val="2105978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042183"/>
      </c:catAx>
      <c:valAx>
        <c:axId val="129104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978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'2012'!$E$14:$E$18</c:f>
              <c:numCache/>
            </c:numRef>
          </c:val>
        </c:ser>
        <c:overlap val="100"/>
        <c:axId val="821112852"/>
        <c:axId val="612618875"/>
      </c:barChart>
      <c:catAx>
        <c:axId val="821112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618875"/>
      </c:catAx>
      <c:valAx>
        <c:axId val="612618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112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'2012'!$E$42:$E$45</c:f>
              <c:numCache/>
            </c:numRef>
          </c:val>
        </c:ser>
        <c:overlap val="100"/>
        <c:axId val="247705616"/>
        <c:axId val="1918956106"/>
      </c:barChart>
      <c:catAx>
        <c:axId val="24770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956106"/>
      </c:catAx>
      <c:valAx>
        <c:axId val="1918956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705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'2013'!$E$14:$E$18</c:f>
              <c:numCache/>
            </c:numRef>
          </c:val>
        </c:ser>
        <c:axId val="569612928"/>
        <c:axId val="1812375670"/>
      </c:barChart>
      <c:catAx>
        <c:axId val="56961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375670"/>
      </c:catAx>
      <c:valAx>
        <c:axId val="1812375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612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'2013'!$E$42:$E$45</c:f>
              <c:numCache/>
            </c:numRef>
          </c:val>
        </c:ser>
        <c:axId val="1737875589"/>
        <c:axId val="1459524801"/>
      </c:barChart>
      <c:catAx>
        <c:axId val="1737875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524801"/>
      </c:catAx>
      <c:valAx>
        <c:axId val="1459524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875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'2013'!$E$14:$E$18</c:f>
              <c:numCache/>
            </c:numRef>
          </c:val>
        </c:ser>
        <c:overlap val="100"/>
        <c:axId val="1849987395"/>
        <c:axId val="758094679"/>
      </c:barChart>
      <c:catAx>
        <c:axId val="1849987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094679"/>
      </c:catAx>
      <c:valAx>
        <c:axId val="758094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987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'2013'!$E$42:$E$45</c:f>
              <c:numCache/>
            </c:numRef>
          </c:val>
        </c:ser>
        <c:overlap val="100"/>
        <c:axId val="1018401308"/>
        <c:axId val="384706082"/>
      </c:barChart>
      <c:catAx>
        <c:axId val="1018401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706082"/>
      </c:catAx>
      <c:valAx>
        <c:axId val="384706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401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'2014'!$E$14:$E$18</c:f>
              <c:numCache/>
            </c:numRef>
          </c:val>
        </c:ser>
        <c:axId val="82347502"/>
        <c:axId val="1210546861"/>
      </c:barChart>
      <c:catAx>
        <c:axId val="82347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546861"/>
      </c:catAx>
      <c:valAx>
        <c:axId val="1210546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47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'2014'!$E$42:$E$45</c:f>
              <c:numCache/>
            </c:numRef>
          </c:val>
        </c:ser>
        <c:axId val="156325969"/>
        <c:axId val="596867472"/>
      </c:barChart>
      <c:catAx>
        <c:axId val="156325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867472"/>
      </c:catAx>
      <c:valAx>
        <c:axId val="596867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25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'2014'!$E$14:$E$18</c:f>
              <c:numCache/>
            </c:numRef>
          </c:val>
        </c:ser>
        <c:overlap val="100"/>
        <c:axId val="219516098"/>
        <c:axId val="322760549"/>
      </c:barChart>
      <c:catAx>
        <c:axId val="219516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760549"/>
      </c:catAx>
      <c:valAx>
        <c:axId val="322760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516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'2014'!$E$42:$E$45</c:f>
              <c:numCache/>
            </c:numRef>
          </c:val>
        </c:ser>
        <c:overlap val="100"/>
        <c:axId val="1872713119"/>
        <c:axId val="916338574"/>
      </c:barChart>
      <c:catAx>
        <c:axId val="1872713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338574"/>
      </c:catAx>
      <c:valAx>
        <c:axId val="916338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713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'2015'!$E$14:$E$18</c:f>
              <c:numCache/>
            </c:numRef>
          </c:val>
        </c:ser>
        <c:axId val="1423156465"/>
        <c:axId val="589573334"/>
      </c:barChart>
      <c:catAx>
        <c:axId val="1423156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573334"/>
      </c:catAx>
      <c:valAx>
        <c:axId val="589573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156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'2015'!$E$42:$E$45</c:f>
              <c:numCache/>
            </c:numRef>
          </c:val>
        </c:ser>
        <c:axId val="1280372470"/>
        <c:axId val="1876386892"/>
      </c:barChart>
      <c:catAx>
        <c:axId val="1280372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386892"/>
      </c:catAx>
      <c:valAx>
        <c:axId val="1876386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372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'2015'!$E$14:$E$18</c:f>
              <c:numCache/>
            </c:numRef>
          </c:val>
        </c:ser>
        <c:overlap val="100"/>
        <c:axId val="2078426297"/>
        <c:axId val="708981668"/>
      </c:barChart>
      <c:catAx>
        <c:axId val="2078426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981668"/>
      </c:catAx>
      <c:valAx>
        <c:axId val="708981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426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'2015'!$E$42:$E$45</c:f>
              <c:numCache/>
            </c:numRef>
          </c:val>
        </c:ser>
        <c:overlap val="100"/>
        <c:axId val="27963504"/>
        <c:axId val="881443256"/>
      </c:barChart>
      <c:catAx>
        <c:axId val="2796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443256"/>
      </c:catAx>
      <c:valAx>
        <c:axId val="88144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63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'2016'!$E$14:$E$18</c:f>
              <c:numCache/>
            </c:numRef>
          </c:val>
        </c:ser>
        <c:axId val="653959674"/>
        <c:axId val="980153898"/>
      </c:barChart>
      <c:catAx>
        <c:axId val="653959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153898"/>
      </c:catAx>
      <c:valAx>
        <c:axId val="980153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959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'2016'!$E$42:$E$45</c:f>
              <c:numCache/>
            </c:numRef>
          </c:val>
        </c:ser>
        <c:axId val="946030952"/>
        <c:axId val="1531098368"/>
      </c:barChart>
      <c:catAx>
        <c:axId val="946030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098368"/>
      </c:catAx>
      <c:valAx>
        <c:axId val="1531098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030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'2016'!$E$14:$E$18</c:f>
              <c:numCache/>
            </c:numRef>
          </c:val>
        </c:ser>
        <c:overlap val="100"/>
        <c:axId val="986917564"/>
        <c:axId val="1273819082"/>
      </c:barChart>
      <c:catAx>
        <c:axId val="986917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819082"/>
      </c:catAx>
      <c:valAx>
        <c:axId val="1273819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917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'2016'!$E$42:$E$45</c:f>
              <c:numCache/>
            </c:numRef>
          </c:val>
        </c:ser>
        <c:overlap val="100"/>
        <c:axId val="804341023"/>
        <c:axId val="51814424"/>
      </c:barChart>
      <c:catAx>
        <c:axId val="80434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14424"/>
      </c:catAx>
      <c:valAx>
        <c:axId val="51814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341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'2017'!$E$14:$E$18</c:f>
              <c:numCache/>
            </c:numRef>
          </c:val>
        </c:ser>
        <c:axId val="682818445"/>
        <c:axId val="1087264218"/>
      </c:barChart>
      <c:catAx>
        <c:axId val="68281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264218"/>
      </c:catAx>
      <c:valAx>
        <c:axId val="1087264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818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'2017'!$E$42:$E$45</c:f>
              <c:numCache/>
            </c:numRef>
          </c:val>
        </c:ser>
        <c:axId val="262385683"/>
        <c:axId val="437755625"/>
      </c:barChart>
      <c:catAx>
        <c:axId val="262385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755625"/>
      </c:catAx>
      <c:valAx>
        <c:axId val="437755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385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'2017'!$E$14:$E$18</c:f>
              <c:numCache/>
            </c:numRef>
          </c:val>
        </c:ser>
        <c:overlap val="100"/>
        <c:axId val="986992485"/>
        <c:axId val="60487382"/>
      </c:barChart>
      <c:catAx>
        <c:axId val="986992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87382"/>
      </c:catAx>
      <c:valAx>
        <c:axId val="60487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992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'2017'!$E$42:$E$45</c:f>
              <c:numCache/>
            </c:numRef>
          </c:val>
        </c:ser>
        <c:overlap val="100"/>
        <c:axId val="640333791"/>
        <c:axId val="1950058012"/>
      </c:barChart>
      <c:catAx>
        <c:axId val="64033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058012"/>
      </c:catAx>
      <c:valAx>
        <c:axId val="1950058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333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'2018'!$E$14:$E$18</c:f>
              <c:numCache/>
            </c:numRef>
          </c:val>
        </c:ser>
        <c:axId val="559464942"/>
        <c:axId val="438858459"/>
      </c:barChart>
      <c:catAx>
        <c:axId val="55946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858459"/>
      </c:catAx>
      <c:valAx>
        <c:axId val="438858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464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'2018'!$E$42:$E$45</c:f>
              <c:numCache/>
            </c:numRef>
          </c:val>
        </c:ser>
        <c:axId val="1857127158"/>
        <c:axId val="1771789722"/>
      </c:barChart>
      <c:catAx>
        <c:axId val="1857127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789722"/>
      </c:catAx>
      <c:valAx>
        <c:axId val="1771789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127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'2018'!$E$14:$E$18</c:f>
              <c:numCache/>
            </c:numRef>
          </c:val>
        </c:ser>
        <c:overlap val="100"/>
        <c:axId val="1774704619"/>
        <c:axId val="1453324874"/>
      </c:barChart>
      <c:catAx>
        <c:axId val="1774704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324874"/>
      </c:catAx>
      <c:valAx>
        <c:axId val="1453324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704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'2018'!$E$42:$E$45</c:f>
              <c:numCache/>
            </c:numRef>
          </c:val>
        </c:ser>
        <c:overlap val="100"/>
        <c:axId val="1903424073"/>
        <c:axId val="63491567"/>
      </c:barChart>
      <c:catAx>
        <c:axId val="1903424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91567"/>
      </c:catAx>
      <c:valAx>
        <c:axId val="63491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424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'2019'!$E$14:$E$18</c:f>
              <c:numCache/>
            </c:numRef>
          </c:val>
        </c:ser>
        <c:axId val="1530983392"/>
        <c:axId val="136311902"/>
      </c:barChart>
      <c:catAx>
        <c:axId val="153098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11902"/>
      </c:catAx>
      <c:valAx>
        <c:axId val="136311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983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'2019'!$E$42:$E$45</c:f>
              <c:numCache/>
            </c:numRef>
          </c:val>
        </c:ser>
        <c:axId val="2074874499"/>
        <c:axId val="312535909"/>
      </c:barChart>
      <c:catAx>
        <c:axId val="2074874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535909"/>
      </c:catAx>
      <c:valAx>
        <c:axId val="312535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874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'2019'!$E$14:$E$18</c:f>
              <c:numCache/>
            </c:numRef>
          </c:val>
        </c:ser>
        <c:overlap val="100"/>
        <c:axId val="2084251769"/>
        <c:axId val="1472928624"/>
      </c:barChart>
      <c:catAx>
        <c:axId val="2084251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928624"/>
      </c:catAx>
      <c:valAx>
        <c:axId val="1472928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251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'2019'!$E$42:$E$45</c:f>
              <c:numCache/>
            </c:numRef>
          </c:val>
        </c:ser>
        <c:overlap val="100"/>
        <c:axId val="588543938"/>
        <c:axId val="1430431909"/>
      </c:barChart>
      <c:catAx>
        <c:axId val="588543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431909"/>
      </c:catAx>
      <c:valAx>
        <c:axId val="1430431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543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'2020'!$E$14:$E$18</c:f>
              <c:numCache/>
            </c:numRef>
          </c:val>
        </c:ser>
        <c:axId val="771744338"/>
        <c:axId val="1392105389"/>
      </c:barChart>
      <c:catAx>
        <c:axId val="771744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105389"/>
      </c:catAx>
      <c:valAx>
        <c:axId val="1392105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744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'2020'!$E$42:$E$45</c:f>
              <c:numCache/>
            </c:numRef>
          </c:val>
        </c:ser>
        <c:axId val="347828295"/>
        <c:axId val="355473676"/>
      </c:barChart>
      <c:catAx>
        <c:axId val="347828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473676"/>
      </c:catAx>
      <c:valAx>
        <c:axId val="355473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828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'2020'!$E$14:$E$18</c:f>
              <c:numCache/>
            </c:numRef>
          </c:val>
        </c:ser>
        <c:overlap val="100"/>
        <c:axId val="960577451"/>
        <c:axId val="1608361138"/>
      </c:barChart>
      <c:catAx>
        <c:axId val="960577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361138"/>
      </c:catAx>
      <c:valAx>
        <c:axId val="1608361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577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'2020'!$E$42:$E$45</c:f>
              <c:numCache/>
            </c:numRef>
          </c:val>
        </c:ser>
        <c:overlap val="100"/>
        <c:axId val="443598824"/>
        <c:axId val="380464077"/>
      </c:barChart>
      <c:catAx>
        <c:axId val="44359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464077"/>
      </c:catAx>
      <c:valAx>
        <c:axId val="380464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598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'2021'!$E$14:$E$18</c:f>
              <c:numCache/>
            </c:numRef>
          </c:val>
        </c:ser>
        <c:axId val="1944847249"/>
        <c:axId val="518148570"/>
      </c:barChart>
      <c:catAx>
        <c:axId val="1944847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148570"/>
      </c:catAx>
      <c:valAx>
        <c:axId val="518148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847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'2021'!$E$42:$E$45</c:f>
              <c:numCache/>
            </c:numRef>
          </c:val>
        </c:ser>
        <c:axId val="1415997791"/>
        <c:axId val="573781787"/>
      </c:barChart>
      <c:catAx>
        <c:axId val="1415997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781787"/>
      </c:catAx>
      <c:valAx>
        <c:axId val="573781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997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'2021'!$E$14:$E$18</c:f>
              <c:numCache/>
            </c:numRef>
          </c:val>
        </c:ser>
        <c:overlap val="100"/>
        <c:axId val="331572186"/>
        <c:axId val="760875699"/>
      </c:barChart>
      <c:catAx>
        <c:axId val="331572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875699"/>
      </c:catAx>
      <c:valAx>
        <c:axId val="760875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572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'2021'!$E$42:$E$45</c:f>
              <c:numCache/>
            </c:numRef>
          </c:val>
        </c:ser>
        <c:overlap val="100"/>
        <c:axId val="1497811359"/>
        <c:axId val="568451371"/>
      </c:barChart>
      <c:catAx>
        <c:axId val="149781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451371"/>
      </c:catAx>
      <c:valAx>
        <c:axId val="568451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811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'2022'!$E$14:$E$18</c:f>
              <c:numCache/>
            </c:numRef>
          </c:val>
        </c:ser>
        <c:axId val="1185537971"/>
        <c:axId val="1405517009"/>
      </c:barChart>
      <c:catAx>
        <c:axId val="118553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517009"/>
      </c:catAx>
      <c:valAx>
        <c:axId val="1405517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537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'2022'!$E$42:$E$45</c:f>
              <c:numCache/>
            </c:numRef>
          </c:val>
        </c:ser>
        <c:axId val="776092649"/>
        <c:axId val="1323032310"/>
      </c:barChart>
      <c:catAx>
        <c:axId val="776092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032310"/>
      </c:catAx>
      <c:valAx>
        <c:axId val="1323032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092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'2022'!$E$14:$E$18</c:f>
              <c:numCache/>
            </c:numRef>
          </c:val>
        </c:ser>
        <c:overlap val="100"/>
        <c:axId val="2144891512"/>
        <c:axId val="218642970"/>
      </c:barChart>
      <c:catAx>
        <c:axId val="2144891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642970"/>
      </c:catAx>
      <c:valAx>
        <c:axId val="218642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891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'2022'!$E$42:$E$45</c:f>
              <c:numCache/>
            </c:numRef>
          </c:val>
        </c:ser>
        <c:overlap val="100"/>
        <c:axId val="1952743422"/>
        <c:axId val="946678074"/>
      </c:barChart>
      <c:catAx>
        <c:axId val="1952743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678074"/>
      </c:catAx>
      <c:valAx>
        <c:axId val="946678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743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'2023'!$E$14:$E$18</c:f>
              <c:numCache/>
            </c:numRef>
          </c:val>
        </c:ser>
        <c:axId val="176449480"/>
        <c:axId val="583357179"/>
      </c:barChart>
      <c:catAx>
        <c:axId val="176449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357179"/>
      </c:catAx>
      <c:valAx>
        <c:axId val="583357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49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'2023'!$E$42:$E$45</c:f>
              <c:numCache/>
            </c:numRef>
          </c:val>
        </c:ser>
        <c:axId val="653574553"/>
        <c:axId val="1142621356"/>
      </c:barChart>
      <c:catAx>
        <c:axId val="653574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621356"/>
      </c:catAx>
      <c:valAx>
        <c:axId val="1142621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574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'2023'!$E$14:$E$18</c:f>
              <c:numCache/>
            </c:numRef>
          </c:val>
        </c:ser>
        <c:overlap val="100"/>
        <c:axId val="2028896708"/>
        <c:axId val="74176051"/>
      </c:barChart>
      <c:catAx>
        <c:axId val="2028896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76051"/>
      </c:catAx>
      <c:valAx>
        <c:axId val="74176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896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'2023'!$E$42:$E$45</c:f>
              <c:numCache/>
            </c:numRef>
          </c:val>
        </c:ser>
        <c:overlap val="100"/>
        <c:axId val="604846087"/>
        <c:axId val="1495879954"/>
      </c:barChart>
      <c:catAx>
        <c:axId val="604846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879954"/>
      </c:catAx>
      <c:valAx>
        <c:axId val="1495879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4846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'2024'!$E$14:$E$18</c:f>
              <c:numCache/>
            </c:numRef>
          </c:val>
        </c:ser>
        <c:axId val="1492599138"/>
        <c:axId val="648202632"/>
      </c:barChart>
      <c:catAx>
        <c:axId val="1492599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202632"/>
      </c:catAx>
      <c:valAx>
        <c:axId val="648202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599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'2024'!$E$42:$E$45</c:f>
              <c:numCache/>
            </c:numRef>
          </c:val>
        </c:ser>
        <c:axId val="835306097"/>
        <c:axId val="1986767528"/>
      </c:barChart>
      <c:catAx>
        <c:axId val="835306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767528"/>
      </c:catAx>
      <c:valAx>
        <c:axId val="1986767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3060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'2024'!$E$14:$E$18</c:f>
              <c:numCache/>
            </c:numRef>
          </c:val>
        </c:ser>
        <c:overlap val="100"/>
        <c:axId val="127054588"/>
        <c:axId val="1575074265"/>
      </c:barChart>
      <c:catAx>
        <c:axId val="127054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074265"/>
      </c:catAx>
      <c:valAx>
        <c:axId val="1575074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54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'2024'!$E$42:$E$45</c:f>
              <c:numCache/>
            </c:numRef>
          </c:val>
        </c:ser>
        <c:overlap val="100"/>
        <c:axId val="1821017947"/>
        <c:axId val="976547885"/>
      </c:barChart>
      <c:catAx>
        <c:axId val="1821017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547885"/>
      </c:catAx>
      <c:valAx>
        <c:axId val="976547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0179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'2025'!$E$14:$E$18</c:f>
              <c:numCache/>
            </c:numRef>
          </c:val>
        </c:ser>
        <c:axId val="1886284911"/>
        <c:axId val="991256896"/>
      </c:barChart>
      <c:catAx>
        <c:axId val="1886284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256896"/>
      </c:catAx>
      <c:valAx>
        <c:axId val="991256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284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'2025'!$E$42:$E$45</c:f>
              <c:numCache/>
            </c:numRef>
          </c:val>
        </c:ser>
        <c:axId val="333773783"/>
        <c:axId val="425574508"/>
      </c:barChart>
      <c:catAx>
        <c:axId val="333773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574508"/>
      </c:catAx>
      <c:valAx>
        <c:axId val="425574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773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'2025'!$E$14:$E$18</c:f>
              <c:numCache/>
            </c:numRef>
          </c:val>
        </c:ser>
        <c:overlap val="100"/>
        <c:axId val="1259271989"/>
        <c:axId val="1018747394"/>
      </c:barChart>
      <c:catAx>
        <c:axId val="1259271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747394"/>
      </c:catAx>
      <c:valAx>
        <c:axId val="1018747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271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'2025'!$E$42:$E$45</c:f>
              <c:numCache/>
            </c:numRef>
          </c:val>
        </c:ser>
        <c:overlap val="100"/>
        <c:axId val="1914991461"/>
        <c:axId val="2093492927"/>
      </c:barChart>
      <c:catAx>
        <c:axId val="1914991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492927"/>
      </c:catAx>
      <c:valAx>
        <c:axId val="2093492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991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Relationship Id="rId4" Type="http://schemas.openxmlformats.org/officeDocument/2006/relationships/chart" Target="../charts/chart4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Relationship Id="rId4" Type="http://schemas.openxmlformats.org/officeDocument/2006/relationships/chart" Target="../charts/chart6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Relationship Id="rId4" Type="http://schemas.openxmlformats.org/officeDocument/2006/relationships/chart" Target="../charts/chart6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<Relationship Id="rId3" Type="http://schemas.openxmlformats.org/officeDocument/2006/relationships/chart" Target="../charts/chart71.xml"/><Relationship Id="rId4" Type="http://schemas.openxmlformats.org/officeDocument/2006/relationships/chart" Target="../charts/chart72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7.xml"/><Relationship Id="rId2" Type="http://schemas.openxmlformats.org/officeDocument/2006/relationships/chart" Target="../charts/chart78.xml"/><Relationship Id="rId3" Type="http://schemas.openxmlformats.org/officeDocument/2006/relationships/chart" Target="../charts/chart79.xml"/><Relationship Id="rId4" Type="http://schemas.openxmlformats.org/officeDocument/2006/relationships/chart" Target="../charts/chart80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<Relationship Id="rId3" Type="http://schemas.openxmlformats.org/officeDocument/2006/relationships/chart" Target="../charts/chart83.xml"/><Relationship Id="rId4" Type="http://schemas.openxmlformats.org/officeDocument/2006/relationships/chart" Target="../charts/chart84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Relationship Id="rId4" Type="http://schemas.openxmlformats.org/officeDocument/2006/relationships/chart" Target="../charts/chart88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9.xml"/><Relationship Id="rId2" Type="http://schemas.openxmlformats.org/officeDocument/2006/relationships/chart" Target="../charts/chart90.xml"/><Relationship Id="rId3" Type="http://schemas.openxmlformats.org/officeDocument/2006/relationships/chart" Target="../charts/chart91.xml"/><Relationship Id="rId4" Type="http://schemas.openxmlformats.org/officeDocument/2006/relationships/chart" Target="../charts/chart9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<Relationship Id="rId3" Type="http://schemas.openxmlformats.org/officeDocument/2006/relationships/chart" Target="../charts/chart95.xml"/><Relationship Id="rId4" Type="http://schemas.openxmlformats.org/officeDocument/2006/relationships/chart" Target="../charts/chart96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<Relationship Id="rId3" Type="http://schemas.openxmlformats.org/officeDocument/2006/relationships/chart" Target="../charts/chart99.xml"/><Relationship Id="rId4" Type="http://schemas.openxmlformats.org/officeDocument/2006/relationships/chart" Target="../charts/chart100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1.xml"/><Relationship Id="rId2" Type="http://schemas.openxmlformats.org/officeDocument/2006/relationships/chart" Target="../charts/chart102.xml"/><Relationship Id="rId3" Type="http://schemas.openxmlformats.org/officeDocument/2006/relationships/chart" Target="../charts/chart103.xml"/><Relationship Id="rId4" Type="http://schemas.openxmlformats.org/officeDocument/2006/relationships/chart" Target="../charts/chart104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5.xml"/><Relationship Id="rId2" Type="http://schemas.openxmlformats.org/officeDocument/2006/relationships/chart" Target="../charts/chart106.xml"/><Relationship Id="rId3" Type="http://schemas.openxmlformats.org/officeDocument/2006/relationships/chart" Target="../charts/chart107.xml"/><Relationship Id="rId4" Type="http://schemas.openxmlformats.org/officeDocument/2006/relationships/chart" Target="../charts/chart108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9.xml"/><Relationship Id="rId2" Type="http://schemas.openxmlformats.org/officeDocument/2006/relationships/chart" Target="../charts/chart110.xml"/><Relationship Id="rId3" Type="http://schemas.openxmlformats.org/officeDocument/2006/relationships/chart" Target="../charts/chart111.xml"/><Relationship Id="rId4" Type="http://schemas.openxmlformats.org/officeDocument/2006/relationships/chart" Target="../charts/chart112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3.xml"/><Relationship Id="rId2" Type="http://schemas.openxmlformats.org/officeDocument/2006/relationships/chart" Target="../charts/chart114.xml"/><Relationship Id="rId3" Type="http://schemas.openxmlformats.org/officeDocument/2006/relationships/chart" Target="../charts/chart115.xml"/><Relationship Id="rId4" Type="http://schemas.openxmlformats.org/officeDocument/2006/relationships/chart" Target="../charts/chart116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7.xml"/><Relationship Id="rId2" Type="http://schemas.openxmlformats.org/officeDocument/2006/relationships/chart" Target="../charts/chart118.xml"/><Relationship Id="rId3" Type="http://schemas.openxmlformats.org/officeDocument/2006/relationships/chart" Target="../charts/chart119.xml"/><Relationship Id="rId4" Type="http://schemas.openxmlformats.org/officeDocument/2006/relationships/chart" Target="../charts/chart120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1.xml"/><Relationship Id="rId2" Type="http://schemas.openxmlformats.org/officeDocument/2006/relationships/chart" Target="../charts/chart122.xml"/><Relationship Id="rId3" Type="http://schemas.openxmlformats.org/officeDocument/2006/relationships/chart" Target="../charts/chart123.xml"/><Relationship Id="rId4" Type="http://schemas.openxmlformats.org/officeDocument/2006/relationships/chart" Target="../charts/chart124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5.xml"/><Relationship Id="rId2" Type="http://schemas.openxmlformats.org/officeDocument/2006/relationships/chart" Target="../charts/chart126.xml"/><Relationship Id="rId3" Type="http://schemas.openxmlformats.org/officeDocument/2006/relationships/chart" Target="../charts/chart127.xml"/><Relationship Id="rId4" Type="http://schemas.openxmlformats.org/officeDocument/2006/relationships/chart" Target="../charts/chart128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9.xml"/><Relationship Id="rId2" Type="http://schemas.openxmlformats.org/officeDocument/2006/relationships/chart" Target="../charts/chart130.xml"/><Relationship Id="rId3" Type="http://schemas.openxmlformats.org/officeDocument/2006/relationships/chart" Target="../charts/chart131.xml"/><Relationship Id="rId4" Type="http://schemas.openxmlformats.org/officeDocument/2006/relationships/chart" Target="../charts/chart132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3.xml"/><Relationship Id="rId2" Type="http://schemas.openxmlformats.org/officeDocument/2006/relationships/chart" Target="../charts/chart134.xml"/><Relationship Id="rId3" Type="http://schemas.openxmlformats.org/officeDocument/2006/relationships/chart" Target="../charts/chart135.xml"/><Relationship Id="rId4" Type="http://schemas.openxmlformats.org/officeDocument/2006/relationships/chart" Target="../charts/chart136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7.xml"/><Relationship Id="rId2" Type="http://schemas.openxmlformats.org/officeDocument/2006/relationships/chart" Target="../charts/chart138.xml"/><Relationship Id="rId3" Type="http://schemas.openxmlformats.org/officeDocument/2006/relationships/chart" Target="../charts/chart139.xml"/><Relationship Id="rId4" Type="http://schemas.openxmlformats.org/officeDocument/2006/relationships/chart" Target="../charts/chart140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1.xml"/><Relationship Id="rId2" Type="http://schemas.openxmlformats.org/officeDocument/2006/relationships/chart" Target="../charts/chart142.xml"/><Relationship Id="rId3" Type="http://schemas.openxmlformats.org/officeDocument/2006/relationships/chart" Target="../charts/chart143.xml"/><Relationship Id="rId4" Type="http://schemas.openxmlformats.org/officeDocument/2006/relationships/chart" Target="../charts/chart14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9" name="Chart 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0" name="Chart 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" name="Chart 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" name="Chart 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3" name="Chart 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4" name="Chart 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5" name="Chart 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6" name="Chart 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7" name="Chart 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8" name="Chart 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9" name="Chart 1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20" name="Chart 2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1" name="Chart 2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2" name="Chart 2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23" name="Chart 2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24" name="Chart 2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5" name="Chart 2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6" name="Chart 2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27" name="Chart 2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28" name="Chart 2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9" name="Chart 2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30" name="Chart 3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1" name="Chart 3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32" name="Chart 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33" name="Chart 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34" name="Chart 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5" name="Chart 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36" name="Chart 3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37" name="Chart 3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38" name="Chart 3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9" name="Chart 3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0" name="Chart 4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41" name="Chart 4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42" name="Chart 4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43" name="Chart 4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4" name="Chart 4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45" name="Chart 4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46" name="Chart 4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47" name="Chart 4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8" name="Chart 4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49" name="Chart 4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50" name="Chart 5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51" name="Chart 5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52" name="Chart 5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53" name="Chart 5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54" name="Chart 5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55" name="Chart 5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56" name="Chart 5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57" name="Chart 5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58" name="Chart 5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59" name="Chart 5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60" name="Chart 6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61" name="Chart 6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62" name="Chart 6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63" name="Chart 6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64" name="Chart 6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65" name="Chart 6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66" name="Chart 6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67" name="Chart 6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68" name="Chart 6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69" name="Chart 6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70" name="Chart 7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1" name="Chart 7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72" name="Chart 7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73" name="Chart 7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74" name="Chart 7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5" name="Chart 7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76" name="Chart 7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77" name="Chart 7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78" name="Chart 7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9" name="Chart 7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0" name="Chart 8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81" name="Chart 8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82" name="Chart 8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83" name="Chart 8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4" name="Chart 8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85" name="Chart 8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86" name="Chart 8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87" name="Chart 8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8" name="Chart 8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89" name="Chart 8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90" name="Chart 9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91" name="Chart 9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92" name="Chart 9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93" name="Chart 9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94" name="Chart 9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95" name="Chart 9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96" name="Chart 9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97" name="Chart 9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98" name="Chart 9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99" name="Chart 9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00" name="Chart 10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01" name="Chart 10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02" name="Chart 10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03" name="Chart 10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04" name="Chart 10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05" name="Chart 10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06" name="Chart 10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07" name="Chart 10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08" name="Chart 10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09" name="Chart 10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10" name="Chart 1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1" name="Chart 1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12" name="Chart 1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13" name="Chart 1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14" name="Chart 1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5" name="Chart 1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16" name="Chart 1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17" name="Chart 1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18" name="Chart 1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9" name="Chart 11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0" name="Chart 12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21" name="Chart 12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22" name="Chart 12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23" name="Chart 12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4" name="Chart 12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25" name="Chart 12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26" name="Chart 12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27" name="Chart 12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8" name="Chart 12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29" name="Chart 12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30" name="Chart 13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31" name="Chart 13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32" name="Chart 1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33" name="Chart 1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34" name="Chart 1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35" name="Chart 1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36" name="Chart 13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37" name="Chart 13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38" name="Chart 13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39" name="Chart 13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40" name="Chart 14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41" name="Chart 14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42" name="Chart 14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43" name="Chart 14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44" name="Chart 14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3.0</v>
      </c>
      <c r="C3" s="8">
        <v>4.0</v>
      </c>
      <c r="D3" s="7">
        <v>8.0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15</v>
      </c>
    </row>
    <row r="4">
      <c r="A4" s="3" t="s">
        <v>3</v>
      </c>
      <c r="B4" s="8">
        <v>0.0</v>
      </c>
      <c r="C4" s="8">
        <v>1.0</v>
      </c>
      <c r="D4" s="8">
        <v>1.0</v>
      </c>
      <c r="E4" s="8">
        <v>1.0</v>
      </c>
      <c r="F4" s="12">
        <v>3.0</v>
      </c>
      <c r="G4" s="9">
        <v>0.0</v>
      </c>
      <c r="H4" s="10">
        <f t="shared" si="1"/>
        <v>3</v>
      </c>
      <c r="I4" s="11">
        <f t="shared" si="2"/>
        <v>6</v>
      </c>
    </row>
    <row r="5">
      <c r="A5" s="3" t="s">
        <v>4</v>
      </c>
      <c r="B5" s="8">
        <v>1.0</v>
      </c>
      <c r="C5" s="8">
        <v>0.0</v>
      </c>
      <c r="D5" s="8">
        <v>2.0</v>
      </c>
      <c r="E5" s="8">
        <v>7.0</v>
      </c>
      <c r="F5" s="9">
        <v>0.0</v>
      </c>
      <c r="G5" s="9">
        <v>2.0</v>
      </c>
      <c r="H5" s="10">
        <f t="shared" si="1"/>
        <v>2</v>
      </c>
      <c r="I5" s="11">
        <f t="shared" si="2"/>
        <v>12</v>
      </c>
    </row>
    <row r="6">
      <c r="A6" s="3" t="s">
        <v>5</v>
      </c>
      <c r="B6" s="8">
        <v>0.0</v>
      </c>
      <c r="C6" s="8">
        <v>0.0</v>
      </c>
      <c r="D6" s="8">
        <v>0.0</v>
      </c>
      <c r="E6" s="8">
        <v>3.0</v>
      </c>
      <c r="F6" s="12">
        <v>11.0</v>
      </c>
      <c r="G6" s="9">
        <v>0.0</v>
      </c>
      <c r="H6" s="10">
        <f t="shared" si="1"/>
        <v>11</v>
      </c>
      <c r="I6" s="11">
        <f t="shared" si="2"/>
        <v>14</v>
      </c>
    </row>
    <row r="7">
      <c r="A7" s="13" t="s">
        <v>10</v>
      </c>
      <c r="B7" s="14">
        <f>I3-B8</f>
        <v>11</v>
      </c>
      <c r="C7" s="14">
        <f>I4-C8</f>
        <v>1</v>
      </c>
      <c r="D7" s="14">
        <f>I5-D8</f>
        <v>1</v>
      </c>
      <c r="E7" s="14">
        <f>I6-E8</f>
        <v>3</v>
      </c>
      <c r="F7" s="15">
        <f>SUM(B7:E7)</f>
        <v>16</v>
      </c>
      <c r="G7" s="13" t="s">
        <v>11</v>
      </c>
      <c r="H7" s="16"/>
    </row>
    <row r="8">
      <c r="A8" s="17" t="s">
        <v>12</v>
      </c>
      <c r="B8" s="18">
        <f t="shared" ref="B8:E8" si="3">SUM(B2:B6)</f>
        <v>4</v>
      </c>
      <c r="C8" s="18">
        <f t="shared" si="3"/>
        <v>5</v>
      </c>
      <c r="D8" s="18">
        <f t="shared" si="3"/>
        <v>11</v>
      </c>
      <c r="E8" s="18">
        <f t="shared" si="3"/>
        <v>11</v>
      </c>
      <c r="F8" s="19"/>
      <c r="G8" s="16"/>
      <c r="H8" s="16"/>
    </row>
    <row r="9">
      <c r="A9" s="20" t="s">
        <v>13</v>
      </c>
      <c r="B9" s="21">
        <f t="shared" ref="B9:E9" si="4">SUM(B3:B7)</f>
        <v>15</v>
      </c>
      <c r="C9" s="21">
        <f t="shared" si="4"/>
        <v>6</v>
      </c>
      <c r="D9" s="21">
        <f t="shared" si="4"/>
        <v>12</v>
      </c>
      <c r="E9" s="21">
        <f t="shared" si="4"/>
        <v>14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21.42857143</v>
      </c>
      <c r="C15" s="25">
        <f t="shared" si="5"/>
        <v>2</v>
      </c>
      <c r="D15" s="25">
        <f t="shared" si="5"/>
        <v>2.4</v>
      </c>
      <c r="E15" s="25">
        <f t="shared" si="5"/>
        <v>0.875</v>
      </c>
      <c r="F15" s="22"/>
    </row>
    <row r="16">
      <c r="A16" s="23" t="s">
        <v>20</v>
      </c>
      <c r="B16" s="25">
        <f t="shared" ref="B16:E16" si="6">B15*B12</f>
        <v>6.428571429</v>
      </c>
      <c r="C16" s="25">
        <f t="shared" si="6"/>
        <v>0.4</v>
      </c>
      <c r="D16" s="25">
        <f t="shared" si="6"/>
        <v>45.6</v>
      </c>
      <c r="E16" s="25">
        <f t="shared" si="6"/>
        <v>0.875</v>
      </c>
      <c r="F16" s="22"/>
    </row>
    <row r="17">
      <c r="A17" s="26" t="s">
        <v>21</v>
      </c>
      <c r="B17" s="27">
        <f t="shared" ref="B17:E17" si="7">B15*B13</f>
        <v>19.28571429</v>
      </c>
      <c r="C17" s="27">
        <f t="shared" si="7"/>
        <v>5.2</v>
      </c>
      <c r="D17" s="27">
        <f t="shared" si="7"/>
        <v>84</v>
      </c>
      <c r="E17" s="27">
        <f t="shared" si="7"/>
        <v>49.875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0.06666666667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0.1666666667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0.08333333333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0.07142857143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</v>
      </c>
      <c r="C28" s="34">
        <v>0.6666666666666666</v>
      </c>
      <c r="D28" s="34">
        <v>0.6666666666666666</v>
      </c>
      <c r="E28" s="34">
        <v>0.0</v>
      </c>
    </row>
    <row r="29">
      <c r="B29" s="34">
        <v>0.0</v>
      </c>
      <c r="C29" s="34">
        <v>0.16666666666666666</v>
      </c>
      <c r="D29" s="34">
        <v>0.08333333333333333</v>
      </c>
      <c r="E29" s="34">
        <v>0.07142857142857142</v>
      </c>
    </row>
    <row r="30">
      <c r="B30" s="34">
        <v>0.06666666666666667</v>
      </c>
      <c r="C30" s="34">
        <v>0.0</v>
      </c>
      <c r="D30" s="34">
        <v>0.16666666666666666</v>
      </c>
      <c r="E30" s="34">
        <v>0.5</v>
      </c>
    </row>
    <row r="31">
      <c r="B31" s="34">
        <v>0.0</v>
      </c>
      <c r="C31" s="34">
        <v>0.0</v>
      </c>
      <c r="D31" s="34">
        <v>0.0</v>
      </c>
      <c r="E31" s="34">
        <v>0.21428571428571427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1.348920863</v>
      </c>
      <c r="C33" s="35">
        <v>1.0791366906474817</v>
      </c>
      <c r="D33" s="35">
        <v>1.1870503597122302</v>
      </c>
      <c r="E33" s="35">
        <v>0.8534990189666447</v>
      </c>
    </row>
    <row r="34">
      <c r="B34" s="35">
        <v>0.010791366906474819</v>
      </c>
      <c r="C34" s="35">
        <v>1.2086330935251797</v>
      </c>
      <c r="D34" s="35">
        <v>0.12949640287769784</v>
      </c>
      <c r="E34" s="35">
        <v>0.19228253760627856</v>
      </c>
    </row>
    <row r="35">
      <c r="B35" s="35">
        <v>0.1079136690647482</v>
      </c>
      <c r="C35" s="35">
        <v>0.08633093525179855</v>
      </c>
      <c r="D35" s="35">
        <v>1.2949640287769784</v>
      </c>
      <c r="E35" s="35">
        <v>0.8319162851536951</v>
      </c>
    </row>
    <row r="36">
      <c r="B36" s="35">
        <v>0.0</v>
      </c>
      <c r="C36" s="35">
        <v>0.0</v>
      </c>
      <c r="D36" s="35">
        <v>0.0</v>
      </c>
      <c r="E36" s="35">
        <v>1.2727272727272727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0.19999999999999998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5.885303186022609</v>
      </c>
      <c r="D42" s="38">
        <v>3.9958890030832475</v>
      </c>
      <c r="E42" s="38">
        <v>16.82237923946557</v>
      </c>
      <c r="G42" s="39">
        <f t="shared" ref="G42:J42" si="8">G37-B28</f>
        <v>0.8</v>
      </c>
      <c r="H42" s="39">
        <f t="shared" si="8"/>
        <v>-0.6666666667</v>
      </c>
      <c r="I42" s="39">
        <f t="shared" si="8"/>
        <v>-0.6666666667</v>
      </c>
      <c r="J42" s="39">
        <f t="shared" si="8"/>
        <v>0</v>
      </c>
    </row>
    <row r="43">
      <c r="A43" s="37" t="s">
        <v>20</v>
      </c>
      <c r="B43" s="38">
        <v>0.0</v>
      </c>
      <c r="C43" s="38">
        <v>2.613360739979445</v>
      </c>
      <c r="D43" s="38">
        <v>10.876464542651592</v>
      </c>
      <c r="E43" s="38">
        <v>39.813746145940385</v>
      </c>
      <c r="G43" s="39">
        <f t="shared" ref="G43:J43" si="9">G38-B29</f>
        <v>0</v>
      </c>
      <c r="H43" s="39">
        <f t="shared" si="9"/>
        <v>0.8333333333</v>
      </c>
      <c r="I43" s="39">
        <f t="shared" si="9"/>
        <v>-0.08333333333</v>
      </c>
      <c r="J43" s="39">
        <f t="shared" si="9"/>
        <v>-0.07142857143</v>
      </c>
    </row>
    <row r="44">
      <c r="A44" s="40" t="s">
        <v>21</v>
      </c>
      <c r="B44" s="38">
        <v>0.0</v>
      </c>
      <c r="C44" s="38">
        <v>9.117780061664952</v>
      </c>
      <c r="D44" s="38">
        <v>21.406372045220966</v>
      </c>
      <c r="E44" s="38">
        <v>127.83656217882834</v>
      </c>
      <c r="G44" s="39">
        <f t="shared" ref="G44:J44" si="10">G39-B30</f>
        <v>-0.06666666667</v>
      </c>
      <c r="H44" s="39">
        <f t="shared" si="10"/>
        <v>0</v>
      </c>
      <c r="I44" s="39">
        <f t="shared" si="10"/>
        <v>0.8333333333</v>
      </c>
      <c r="J44" s="39">
        <f t="shared" si="10"/>
        <v>-0.5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0.7857142857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11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34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41" t="s">
        <v>35</v>
      </c>
      <c r="C3" s="7" t="s">
        <v>36</v>
      </c>
      <c r="D3" s="7" t="s">
        <v>37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42">
        <f t="shared" ref="I3:I6" si="2">SUM(B3:G3)</f>
        <v>0</v>
      </c>
    </row>
    <row r="4">
      <c r="A4" s="3" t="s">
        <v>3</v>
      </c>
      <c r="B4" s="8">
        <v>0.0</v>
      </c>
      <c r="C4" s="7" t="s">
        <v>38</v>
      </c>
      <c r="D4" s="7" t="s">
        <v>38</v>
      </c>
      <c r="E4" s="7" t="s">
        <v>38</v>
      </c>
      <c r="F4" s="9" t="s">
        <v>35</v>
      </c>
      <c r="G4" s="9">
        <v>0.0</v>
      </c>
      <c r="H4" s="10">
        <f t="shared" si="1"/>
        <v>0</v>
      </c>
      <c r="I4" s="11">
        <f t="shared" si="2"/>
        <v>0</v>
      </c>
    </row>
    <row r="5">
      <c r="A5" s="3" t="s">
        <v>4</v>
      </c>
      <c r="B5" s="7" t="s">
        <v>38</v>
      </c>
      <c r="C5" s="8">
        <v>0.0</v>
      </c>
      <c r="D5" s="7" t="s">
        <v>39</v>
      </c>
      <c r="E5" s="7" t="s">
        <v>40</v>
      </c>
      <c r="F5" s="9">
        <v>0.0</v>
      </c>
      <c r="G5" s="9" t="s">
        <v>39</v>
      </c>
      <c r="H5" s="10">
        <f t="shared" si="1"/>
        <v>0</v>
      </c>
      <c r="I5" s="11">
        <f t="shared" si="2"/>
        <v>0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 t="s">
        <v>35</v>
      </c>
      <c r="F6" s="9" t="s">
        <v>41</v>
      </c>
      <c r="G6" s="9">
        <v>0.0</v>
      </c>
      <c r="H6" s="10">
        <f t="shared" si="1"/>
        <v>0</v>
      </c>
      <c r="I6" s="11">
        <f t="shared" si="2"/>
        <v>0</v>
      </c>
    </row>
    <row r="7">
      <c r="A7" s="13" t="s">
        <v>10</v>
      </c>
      <c r="B7" s="43">
        <f>I3-B8</f>
        <v>0</v>
      </c>
      <c r="C7" s="14">
        <f>I4-C8</f>
        <v>0</v>
      </c>
      <c r="D7" s="14">
        <f>I5-D8</f>
        <v>0</v>
      </c>
      <c r="E7" s="14">
        <f>I6-E8</f>
        <v>0</v>
      </c>
      <c r="F7" s="44">
        <f>SUM(B7:E7)</f>
        <v>0</v>
      </c>
      <c r="G7" s="13" t="s">
        <v>11</v>
      </c>
      <c r="H7" s="16"/>
    </row>
    <row r="8">
      <c r="A8" s="17" t="s">
        <v>12</v>
      </c>
      <c r="B8" s="18">
        <f t="shared" ref="B8:E8" si="3">SUM(B2:B6)</f>
        <v>0</v>
      </c>
      <c r="C8" s="18">
        <f t="shared" si="3"/>
        <v>0</v>
      </c>
      <c r="D8" s="18">
        <f t="shared" si="3"/>
        <v>0</v>
      </c>
      <c r="E8" s="18">
        <f t="shared" si="3"/>
        <v>0</v>
      </c>
      <c r="F8" s="19"/>
      <c r="G8" s="16"/>
      <c r="H8" s="16"/>
    </row>
    <row r="9">
      <c r="A9" s="20" t="s">
        <v>42</v>
      </c>
      <c r="B9" s="45">
        <f t="shared" ref="B9:E9" si="4">SUM(B3:B7)</f>
        <v>0</v>
      </c>
      <c r="C9" s="21">
        <f t="shared" si="4"/>
        <v>0</v>
      </c>
      <c r="D9" s="21">
        <f t="shared" si="4"/>
        <v>0</v>
      </c>
      <c r="E9" s="21">
        <f t="shared" si="4"/>
        <v>0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0</v>
      </c>
      <c r="C15" s="25">
        <f t="shared" si="5"/>
        <v>0</v>
      </c>
      <c r="D15" s="25">
        <f t="shared" si="5"/>
        <v>0</v>
      </c>
      <c r="E15" s="25">
        <f t="shared" si="5"/>
        <v>0</v>
      </c>
      <c r="F15" s="22"/>
    </row>
    <row r="16">
      <c r="A16" s="23" t="s">
        <v>20</v>
      </c>
      <c r="B16" s="25">
        <f t="shared" ref="B16:E16" si="6">B15*B12</f>
        <v>0</v>
      </c>
      <c r="C16" s="25">
        <f t="shared" si="6"/>
        <v>0</v>
      </c>
      <c r="D16" s="25">
        <f t="shared" si="6"/>
        <v>0</v>
      </c>
      <c r="E16" s="25">
        <f t="shared" si="6"/>
        <v>0</v>
      </c>
      <c r="F16" s="22"/>
    </row>
    <row r="17">
      <c r="A17" s="26" t="s">
        <v>21</v>
      </c>
      <c r="B17" s="27">
        <f t="shared" ref="B17:E17" si="7">B15*B13</f>
        <v>0</v>
      </c>
      <c r="C17" s="27">
        <f t="shared" si="7"/>
        <v>0</v>
      </c>
      <c r="D17" s="27">
        <f t="shared" si="7"/>
        <v>0</v>
      </c>
      <c r="E17" s="27">
        <f t="shared" si="7"/>
        <v>0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 t="str">
        <f>1/I3</f>
        <v>#DIV/0!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 t="str">
        <f>1/I4</f>
        <v>#DIV/0!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 t="str">
        <f>1/I5</f>
        <v>#DIV/0!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 t="str">
        <f>1/I6</f>
        <v>#DIV/0!</v>
      </c>
    </row>
    <row r="27">
      <c r="A27" s="28"/>
      <c r="B27" s="33" t="s">
        <v>24</v>
      </c>
    </row>
    <row r="28">
      <c r="A28" s="28"/>
      <c r="B28" s="34" t="str">
        <f t="array" ref="B28">MMULT(B3:E6, B23:E26)</f>
        <v>#DIV/0!</v>
      </c>
      <c r="C28" s="34"/>
      <c r="D28" s="34"/>
      <c r="E28" s="34"/>
    </row>
    <row r="29">
      <c r="B29" s="34"/>
      <c r="C29" s="34"/>
      <c r="D29" s="34"/>
      <c r="E29" s="34"/>
    </row>
    <row r="30">
      <c r="B30" s="34"/>
      <c r="C30" s="34"/>
      <c r="D30" s="34"/>
      <c r="E30" s="34"/>
    </row>
    <row r="31">
      <c r="B31" s="34"/>
      <c r="C31" s="34"/>
      <c r="D31" s="34"/>
      <c r="E31" s="34"/>
    </row>
    <row r="32">
      <c r="B32" s="1" t="s">
        <v>25</v>
      </c>
      <c r="G32" s="1"/>
      <c r="H32" s="1"/>
      <c r="I32" s="1"/>
      <c r="J32" s="1"/>
    </row>
    <row r="33">
      <c r="B33" s="35" t="str">
        <f t="array" ref="B33">MINVERSE(G42:J45)</f>
        <v>#DIV/0!</v>
      </c>
      <c r="C33" s="35"/>
      <c r="D33" s="35"/>
      <c r="E33" s="35"/>
    </row>
    <row r="34">
      <c r="B34" s="35"/>
      <c r="C34" s="35"/>
      <c r="D34" s="35"/>
      <c r="E34" s="35"/>
    </row>
    <row r="35">
      <c r="B35" s="35"/>
      <c r="C35" s="35"/>
      <c r="D35" s="35"/>
      <c r="E35" s="35"/>
    </row>
    <row r="36">
      <c r="B36" s="35"/>
      <c r="C36" s="35"/>
      <c r="D36" s="35"/>
      <c r="E36" s="35"/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 t="str">
        <f t="array" ref="B38">MMULT(B15:E17, B23:E26)</f>
        <v>#DIV/0!</v>
      </c>
      <c r="C38" s="36"/>
      <c r="D38" s="36"/>
      <c r="E38" s="36"/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/>
      <c r="C39" s="36"/>
      <c r="D39" s="36"/>
      <c r="E39" s="36"/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/>
      <c r="C40" s="36"/>
      <c r="D40" s="36"/>
      <c r="E40" s="36"/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 t="str">
        <f t="array" ref="B42">MMULT(MMULT(B38:E40, B33:E36),G47:J50)</f>
        <v>#DIV/0!</v>
      </c>
      <c r="C42" s="38"/>
      <c r="D42" s="38"/>
      <c r="E42" s="38"/>
      <c r="G42" s="39" t="str">
        <f t="shared" ref="G42:J42" si="8">G37-B28</f>
        <v>#DIV/0!</v>
      </c>
      <c r="H42" s="39">
        <f t="shared" si="8"/>
        <v>0</v>
      </c>
      <c r="I42" s="39">
        <f t="shared" si="8"/>
        <v>0</v>
      </c>
      <c r="J42" s="39">
        <f t="shared" si="8"/>
        <v>0</v>
      </c>
    </row>
    <row r="43">
      <c r="A43" s="37" t="s">
        <v>20</v>
      </c>
      <c r="B43" s="38"/>
      <c r="C43" s="38"/>
      <c r="D43" s="38"/>
      <c r="E43" s="38"/>
      <c r="G43" s="39">
        <f t="shared" ref="G43:J43" si="9">G38-B29</f>
        <v>0</v>
      </c>
      <c r="H43" s="39">
        <f t="shared" si="9"/>
        <v>1</v>
      </c>
      <c r="I43" s="39">
        <f t="shared" si="9"/>
        <v>0</v>
      </c>
      <c r="J43" s="39">
        <f t="shared" si="9"/>
        <v>0</v>
      </c>
    </row>
    <row r="44">
      <c r="A44" s="40" t="s">
        <v>21</v>
      </c>
      <c r="B44" s="38"/>
      <c r="C44" s="38"/>
      <c r="D44" s="38"/>
      <c r="E44" s="38"/>
      <c r="G44" s="39">
        <f t="shared" ref="G44:J44" si="10">G39-B30</f>
        <v>0</v>
      </c>
      <c r="H44" s="39">
        <f t="shared" si="10"/>
        <v>0</v>
      </c>
      <c r="I44" s="39">
        <f t="shared" si="10"/>
        <v>1</v>
      </c>
      <c r="J44" s="39">
        <f t="shared" si="10"/>
        <v>0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1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0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0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0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43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46" t="s">
        <v>44</v>
      </c>
      <c r="C3" s="46" t="s">
        <v>45</v>
      </c>
      <c r="D3" s="46" t="s">
        <v>46</v>
      </c>
      <c r="E3" s="46">
        <v>0.0</v>
      </c>
      <c r="F3" s="46">
        <v>0.0</v>
      </c>
      <c r="G3" s="46">
        <v>0.0</v>
      </c>
      <c r="H3" s="10">
        <f t="shared" ref="H3:H6" si="1">SUM(F3:G3)</f>
        <v>0</v>
      </c>
      <c r="I3" s="11">
        <f t="shared" ref="I3:I6" si="2">SUM(B3:G3)</f>
        <v>0</v>
      </c>
    </row>
    <row r="4">
      <c r="A4" s="3" t="s">
        <v>3</v>
      </c>
      <c r="B4" s="46">
        <v>0.0</v>
      </c>
      <c r="C4" s="47">
        <v>45809.0</v>
      </c>
      <c r="D4" s="47">
        <v>45809.0</v>
      </c>
      <c r="E4" s="47">
        <v>45809.0</v>
      </c>
      <c r="F4" s="46" t="s">
        <v>44</v>
      </c>
      <c r="G4" s="46">
        <v>0.0</v>
      </c>
      <c r="H4" s="10">
        <f t="shared" si="1"/>
        <v>0</v>
      </c>
      <c r="I4" s="11">
        <f t="shared" si="2"/>
        <v>137427</v>
      </c>
    </row>
    <row r="5">
      <c r="A5" s="3" t="s">
        <v>4</v>
      </c>
      <c r="B5" s="48">
        <v>45809.0</v>
      </c>
      <c r="C5" s="46">
        <v>0.0</v>
      </c>
      <c r="D5" s="49">
        <v>45993.0</v>
      </c>
      <c r="E5" s="46" t="s">
        <v>47</v>
      </c>
      <c r="F5" s="46">
        <v>0.0</v>
      </c>
      <c r="G5" s="49">
        <v>45993.0</v>
      </c>
      <c r="H5" s="10">
        <f t="shared" si="1"/>
        <v>45993</v>
      </c>
      <c r="I5" s="50">
        <f t="shared" si="2"/>
        <v>137795</v>
      </c>
    </row>
    <row r="6">
      <c r="A6" s="3" t="s">
        <v>5</v>
      </c>
      <c r="B6" s="46">
        <v>0.0</v>
      </c>
      <c r="C6" s="46">
        <v>0.0</v>
      </c>
      <c r="D6" s="46">
        <v>0.0</v>
      </c>
      <c r="E6" s="46" t="s">
        <v>44</v>
      </c>
      <c r="F6" s="46" t="s">
        <v>48</v>
      </c>
      <c r="G6" s="46">
        <v>0.0</v>
      </c>
      <c r="H6" s="10">
        <f t="shared" si="1"/>
        <v>0</v>
      </c>
      <c r="I6" s="11">
        <f t="shared" si="2"/>
        <v>0</v>
      </c>
    </row>
    <row r="7">
      <c r="A7" s="13" t="s">
        <v>10</v>
      </c>
      <c r="B7" s="14">
        <f>I3-B8</f>
        <v>-45809</v>
      </c>
      <c r="C7" s="14">
        <f>I4-C8</f>
        <v>91618</v>
      </c>
      <c r="D7" s="51">
        <f>I5-D8</f>
        <v>45993</v>
      </c>
      <c r="E7" s="14">
        <f>I6-E8</f>
        <v>-45809</v>
      </c>
      <c r="F7" s="15">
        <f>SUM(B7:E7)</f>
        <v>45993</v>
      </c>
      <c r="G7" s="13" t="s">
        <v>11</v>
      </c>
      <c r="H7" s="16"/>
    </row>
    <row r="8">
      <c r="A8" s="17" t="s">
        <v>12</v>
      </c>
      <c r="B8" s="18">
        <f t="shared" ref="B8:E8" si="3">SUM(B2:B6)</f>
        <v>45809</v>
      </c>
      <c r="C8" s="18">
        <f t="shared" si="3"/>
        <v>45809</v>
      </c>
      <c r="D8" s="18">
        <f t="shared" si="3"/>
        <v>91802</v>
      </c>
      <c r="E8" s="18">
        <f t="shared" si="3"/>
        <v>45809</v>
      </c>
      <c r="F8" s="19"/>
      <c r="G8" s="16"/>
      <c r="H8" s="16"/>
    </row>
    <row r="9">
      <c r="A9" s="20" t="s">
        <v>42</v>
      </c>
      <c r="B9" s="21">
        <f t="shared" ref="B9:E9" si="4">SUM(B3:B7)</f>
        <v>0</v>
      </c>
      <c r="C9" s="21">
        <f t="shared" si="4"/>
        <v>137427</v>
      </c>
      <c r="D9" s="21">
        <f t="shared" si="4"/>
        <v>137795</v>
      </c>
      <c r="E9" s="21">
        <f t="shared" si="4"/>
        <v>0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0</v>
      </c>
      <c r="C15" s="25">
        <f t="shared" si="5"/>
        <v>45809</v>
      </c>
      <c r="D15" s="25">
        <f t="shared" si="5"/>
        <v>27559</v>
      </c>
      <c r="E15" s="25">
        <f t="shared" si="5"/>
        <v>0</v>
      </c>
      <c r="F15" s="22"/>
    </row>
    <row r="16">
      <c r="A16" s="23" t="s">
        <v>20</v>
      </c>
      <c r="B16" s="25">
        <f t="shared" ref="B16:E16" si="6">B15*B12</f>
        <v>0</v>
      </c>
      <c r="C16" s="25">
        <f t="shared" si="6"/>
        <v>9161.8</v>
      </c>
      <c r="D16" s="25">
        <f t="shared" si="6"/>
        <v>523621</v>
      </c>
      <c r="E16" s="25">
        <f t="shared" si="6"/>
        <v>0</v>
      </c>
      <c r="F16" s="22"/>
    </row>
    <row r="17">
      <c r="A17" s="26" t="s">
        <v>21</v>
      </c>
      <c r="B17" s="27">
        <f t="shared" ref="B17:E17" si="7">B15*B13</f>
        <v>0</v>
      </c>
      <c r="C17" s="27">
        <f t="shared" si="7"/>
        <v>119103.4</v>
      </c>
      <c r="D17" s="27">
        <f t="shared" si="7"/>
        <v>964565</v>
      </c>
      <c r="E17" s="27">
        <f t="shared" si="7"/>
        <v>0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 t="str">
        <f>1/I3</f>
        <v>#DIV/0!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0.000007276590481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52">
        <f>1/I5</f>
        <v>0.000007257157371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 t="str">
        <f>1/I6</f>
        <v>#DIV/0!</v>
      </c>
    </row>
    <row r="27">
      <c r="A27" s="28"/>
      <c r="B27" s="33" t="s">
        <v>24</v>
      </c>
    </row>
    <row r="28">
      <c r="A28" s="28"/>
      <c r="B28" s="34" t="str">
        <f t="array" ref="B28">MMULT(B3:E6, B23:E26)</f>
        <v>#DIV/0!</v>
      </c>
      <c r="C28" s="34"/>
      <c r="D28" s="34"/>
      <c r="E28" s="34"/>
    </row>
    <row r="29">
      <c r="B29" s="34"/>
      <c r="C29" s="34"/>
      <c r="D29" s="34"/>
      <c r="E29" s="34"/>
    </row>
    <row r="30">
      <c r="B30" s="34"/>
      <c r="C30" s="34"/>
      <c r="D30" s="34"/>
      <c r="E30" s="34"/>
    </row>
    <row r="31">
      <c r="B31" s="34"/>
      <c r="C31" s="34"/>
      <c r="D31" s="34"/>
      <c r="E31" s="34"/>
    </row>
    <row r="32">
      <c r="B32" s="1" t="s">
        <v>25</v>
      </c>
      <c r="G32" s="1"/>
      <c r="H32" s="1"/>
      <c r="I32" s="1"/>
      <c r="J32" s="1"/>
    </row>
    <row r="33">
      <c r="B33" s="35" t="str">
        <f t="array" ref="B33">MINVERSE(G42:J45)</f>
        <v>#DIV/0!</v>
      </c>
      <c r="C33" s="35"/>
      <c r="D33" s="35"/>
      <c r="E33" s="35"/>
    </row>
    <row r="34">
      <c r="B34" s="35"/>
      <c r="C34" s="35"/>
      <c r="D34" s="35"/>
      <c r="E34" s="35"/>
    </row>
    <row r="35">
      <c r="B35" s="35"/>
      <c r="C35" s="35"/>
      <c r="D35" s="35"/>
      <c r="E35" s="35"/>
    </row>
    <row r="36">
      <c r="B36" s="35"/>
      <c r="C36" s="35"/>
      <c r="D36" s="35"/>
      <c r="E36" s="35"/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 t="str">
        <f t="array" ref="B38">MMULT(B15:E17, B23:E26)</f>
        <v>#DIV/0!</v>
      </c>
      <c r="C38" s="36"/>
      <c r="D38" s="36"/>
      <c r="E38" s="36"/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/>
      <c r="C39" s="36"/>
      <c r="D39" s="36"/>
      <c r="E39" s="36"/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/>
      <c r="C40" s="36"/>
      <c r="D40" s="36"/>
      <c r="E40" s="36"/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 t="str">
        <f t="array" ref="B42">MMULT(MMULT(B38:E40, B33:E36),G47:J50)</f>
        <v>#DIV/0!</v>
      </c>
      <c r="C42" s="38"/>
      <c r="D42" s="38"/>
      <c r="E42" s="38"/>
      <c r="G42" s="39" t="str">
        <f t="shared" ref="G42:J42" si="8">G37-B28</f>
        <v>#DIV/0!</v>
      </c>
      <c r="H42" s="39">
        <f t="shared" si="8"/>
        <v>0</v>
      </c>
      <c r="I42" s="39">
        <f t="shared" si="8"/>
        <v>0</v>
      </c>
      <c r="J42" s="39">
        <f t="shared" si="8"/>
        <v>0</v>
      </c>
    </row>
    <row r="43">
      <c r="A43" s="37" t="s">
        <v>20</v>
      </c>
      <c r="B43" s="38"/>
      <c r="C43" s="38"/>
      <c r="D43" s="38"/>
      <c r="E43" s="38"/>
      <c r="G43" s="39">
        <f t="shared" ref="G43:J43" si="9">G38-B29</f>
        <v>0</v>
      </c>
      <c r="H43" s="39">
        <f t="shared" si="9"/>
        <v>1</v>
      </c>
      <c r="I43" s="39">
        <f t="shared" si="9"/>
        <v>0</v>
      </c>
      <c r="J43" s="39">
        <f t="shared" si="9"/>
        <v>0</v>
      </c>
    </row>
    <row r="44">
      <c r="A44" s="40" t="s">
        <v>21</v>
      </c>
      <c r="B44" s="38"/>
      <c r="C44" s="38"/>
      <c r="D44" s="38"/>
      <c r="E44" s="38"/>
      <c r="G44" s="39">
        <f t="shared" ref="G44:J44" si="10">G39-B30</f>
        <v>0</v>
      </c>
      <c r="H44" s="39">
        <f t="shared" si="10"/>
        <v>0</v>
      </c>
      <c r="I44" s="39">
        <f t="shared" si="10"/>
        <v>1</v>
      </c>
      <c r="J44" s="39">
        <f t="shared" si="10"/>
        <v>0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1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0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45993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0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49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50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52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53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54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55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56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57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58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59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60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62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63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64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65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66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67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68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69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70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72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73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74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75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76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77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78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79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80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1"/>
      <c r="B1" s="1" t="s">
        <v>0</v>
      </c>
    </row>
    <row r="2">
      <c r="A2" s="2" t="s">
        <v>81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</row>
    <row r="3">
      <c r="A3" s="3" t="s">
        <v>2</v>
      </c>
      <c r="B3" s="7">
        <v>5.0</v>
      </c>
      <c r="C3" s="7">
        <v>5.0</v>
      </c>
      <c r="D3" s="7">
        <v>9.0</v>
      </c>
      <c r="E3" s="8">
        <v>0.0</v>
      </c>
      <c r="F3" s="9">
        <v>0.0</v>
      </c>
      <c r="G3" s="9">
        <v>0.0</v>
      </c>
      <c r="H3" s="10">
        <f t="shared" ref="H3:H6" si="1">SUM(F3:G3)</f>
        <v>0</v>
      </c>
      <c r="I3" s="11">
        <f t="shared" ref="I3:I6" si="2">SUM(B3:G3)</f>
        <v>19</v>
      </c>
    </row>
    <row r="4">
      <c r="A4" s="3" t="s">
        <v>3</v>
      </c>
      <c r="B4" s="8">
        <v>0.0</v>
      </c>
      <c r="C4" s="7">
        <v>2.0</v>
      </c>
      <c r="D4" s="8">
        <v>1.0</v>
      </c>
      <c r="E4" s="7">
        <v>2.0</v>
      </c>
      <c r="F4" s="12">
        <v>3.0</v>
      </c>
      <c r="G4" s="9">
        <v>0.0</v>
      </c>
      <c r="H4" s="10">
        <f t="shared" si="1"/>
        <v>3</v>
      </c>
      <c r="I4" s="11">
        <f t="shared" si="2"/>
        <v>8</v>
      </c>
    </row>
    <row r="5">
      <c r="A5" s="3" t="s">
        <v>4</v>
      </c>
      <c r="B5" s="7">
        <v>2.0</v>
      </c>
      <c r="C5" s="8">
        <v>0.0</v>
      </c>
      <c r="D5" s="7">
        <v>3.0</v>
      </c>
      <c r="E5" s="7">
        <v>8.0</v>
      </c>
      <c r="F5" s="9">
        <v>0.0</v>
      </c>
      <c r="G5" s="9">
        <v>2.0</v>
      </c>
      <c r="H5" s="10">
        <f t="shared" si="1"/>
        <v>2</v>
      </c>
      <c r="I5" s="11">
        <f t="shared" si="2"/>
        <v>15</v>
      </c>
    </row>
    <row r="6">
      <c r="A6" s="3" t="s">
        <v>5</v>
      </c>
      <c r="B6" s="8">
        <v>0.0</v>
      </c>
      <c r="C6" s="8">
        <v>0.0</v>
      </c>
      <c r="D6" s="8">
        <v>0.0</v>
      </c>
      <c r="E6" s="7">
        <v>4.0</v>
      </c>
      <c r="F6" s="9">
        <v>13.0</v>
      </c>
      <c r="G6" s="9">
        <v>0.0</v>
      </c>
      <c r="H6" s="10">
        <f t="shared" si="1"/>
        <v>13</v>
      </c>
      <c r="I6" s="11">
        <f t="shared" si="2"/>
        <v>17</v>
      </c>
    </row>
    <row r="7">
      <c r="A7" s="13" t="s">
        <v>10</v>
      </c>
      <c r="B7" s="14">
        <f>I3-B8</f>
        <v>12</v>
      </c>
      <c r="C7" s="14">
        <f>I4-C8</f>
        <v>1</v>
      </c>
      <c r="D7" s="14">
        <f>I5-D8</f>
        <v>2</v>
      </c>
      <c r="E7" s="14">
        <f>I6-E8</f>
        <v>3</v>
      </c>
      <c r="F7" s="15">
        <f>SUM(B7:E7)</f>
        <v>18</v>
      </c>
      <c r="G7" s="13" t="s">
        <v>11</v>
      </c>
      <c r="H7" s="16"/>
    </row>
    <row r="8">
      <c r="A8" s="17" t="s">
        <v>12</v>
      </c>
      <c r="B8" s="18">
        <f t="shared" ref="B8:E8" si="3">SUM(B2:B6)</f>
        <v>7</v>
      </c>
      <c r="C8" s="18">
        <f t="shared" si="3"/>
        <v>7</v>
      </c>
      <c r="D8" s="18">
        <f t="shared" si="3"/>
        <v>13</v>
      </c>
      <c r="E8" s="18">
        <f t="shared" si="3"/>
        <v>14</v>
      </c>
      <c r="F8" s="19"/>
      <c r="G8" s="16"/>
      <c r="H8" s="16"/>
    </row>
    <row r="9">
      <c r="A9" s="20" t="s">
        <v>42</v>
      </c>
      <c r="B9" s="21">
        <f t="shared" ref="B9:E9" si="4">SUM(B3:B7)</f>
        <v>19</v>
      </c>
      <c r="C9" s="21">
        <f t="shared" si="4"/>
        <v>8</v>
      </c>
      <c r="D9" s="21">
        <f t="shared" si="4"/>
        <v>15</v>
      </c>
      <c r="E9" s="21">
        <f t="shared" si="4"/>
        <v>17</v>
      </c>
    </row>
    <row r="10">
      <c r="A10" s="1"/>
      <c r="B10" s="1" t="s">
        <v>14</v>
      </c>
      <c r="F10" s="22"/>
    </row>
    <row r="11">
      <c r="A11" s="23" t="s">
        <v>15</v>
      </c>
      <c r="B11" s="24">
        <v>0.7</v>
      </c>
      <c r="C11" s="24">
        <v>3.0</v>
      </c>
      <c r="D11" s="24">
        <v>5.0</v>
      </c>
      <c r="E11" s="24">
        <v>16.0</v>
      </c>
      <c r="F11" s="22"/>
    </row>
    <row r="12">
      <c r="A12" s="23" t="s">
        <v>16</v>
      </c>
      <c r="B12" s="24">
        <v>0.3</v>
      </c>
      <c r="C12" s="24">
        <v>0.2</v>
      </c>
      <c r="D12" s="24">
        <v>19.0</v>
      </c>
      <c r="E12" s="24">
        <v>1.0</v>
      </c>
      <c r="F12" s="22"/>
    </row>
    <row r="13">
      <c r="A13" s="23" t="s">
        <v>17</v>
      </c>
      <c r="B13" s="24">
        <v>0.9</v>
      </c>
      <c r="C13" s="24">
        <v>2.6</v>
      </c>
      <c r="D13" s="24">
        <v>35.0</v>
      </c>
      <c r="E13" s="24">
        <v>57.0</v>
      </c>
      <c r="F13" s="22"/>
    </row>
    <row r="14">
      <c r="B14" s="1" t="s">
        <v>18</v>
      </c>
      <c r="F14" s="22"/>
    </row>
    <row r="15">
      <c r="A15" s="23" t="s">
        <v>19</v>
      </c>
      <c r="B15" s="25">
        <f t="shared" ref="B15:E15" si="5">B9/B11</f>
        <v>27.14285714</v>
      </c>
      <c r="C15" s="25">
        <f t="shared" si="5"/>
        <v>2.666666667</v>
      </c>
      <c r="D15" s="25">
        <f t="shared" si="5"/>
        <v>3</v>
      </c>
      <c r="E15" s="25">
        <f t="shared" si="5"/>
        <v>1.0625</v>
      </c>
      <c r="F15" s="22"/>
    </row>
    <row r="16">
      <c r="A16" s="23" t="s">
        <v>20</v>
      </c>
      <c r="B16" s="25">
        <f t="shared" ref="B16:E16" si="6">B15*B12</f>
        <v>8.142857143</v>
      </c>
      <c r="C16" s="25">
        <f t="shared" si="6"/>
        <v>0.5333333333</v>
      </c>
      <c r="D16" s="25">
        <f t="shared" si="6"/>
        <v>57</v>
      </c>
      <c r="E16" s="25">
        <f t="shared" si="6"/>
        <v>1.0625</v>
      </c>
      <c r="F16" s="22"/>
    </row>
    <row r="17">
      <c r="A17" s="26" t="s">
        <v>21</v>
      </c>
      <c r="B17" s="27">
        <f t="shared" ref="B17:E17" si="7">B15*B13</f>
        <v>24.42857143</v>
      </c>
      <c r="C17" s="27">
        <f t="shared" si="7"/>
        <v>6.933333333</v>
      </c>
      <c r="D17" s="27">
        <f t="shared" si="7"/>
        <v>105</v>
      </c>
      <c r="E17" s="27">
        <f t="shared" si="7"/>
        <v>60.5625</v>
      </c>
      <c r="F17" s="28"/>
    </row>
    <row r="18">
      <c r="B18" s="29" t="s">
        <v>2</v>
      </c>
      <c r="C18" s="29" t="s">
        <v>3</v>
      </c>
      <c r="D18" s="29" t="s">
        <v>4</v>
      </c>
      <c r="E18" s="29" t="s">
        <v>5</v>
      </c>
    </row>
    <row r="20">
      <c r="K20" s="28"/>
      <c r="L20" s="28"/>
      <c r="M20" s="28"/>
    </row>
    <row r="22">
      <c r="B22" s="30" t="s">
        <v>22</v>
      </c>
    </row>
    <row r="23">
      <c r="B23" s="31">
        <f>1/I3</f>
        <v>0.05263157895</v>
      </c>
      <c r="C23" s="31">
        <v>0.0</v>
      </c>
      <c r="D23" s="31">
        <v>0.0</v>
      </c>
      <c r="E23" s="31">
        <v>0.0</v>
      </c>
    </row>
    <row r="24">
      <c r="B24" s="31">
        <v>0.0</v>
      </c>
      <c r="C24" s="31">
        <f>1/I4</f>
        <v>0.125</v>
      </c>
      <c r="D24" s="31">
        <v>0.0</v>
      </c>
      <c r="E24" s="31">
        <v>0.0</v>
      </c>
    </row>
    <row r="25">
      <c r="A25" s="32" t="s">
        <v>23</v>
      </c>
      <c r="B25" s="31">
        <v>0.0</v>
      </c>
      <c r="C25" s="31">
        <v>0.0</v>
      </c>
      <c r="D25" s="31">
        <f>1/I5</f>
        <v>0.06666666667</v>
      </c>
      <c r="E25" s="31">
        <v>0.0</v>
      </c>
    </row>
    <row r="26">
      <c r="A26" s="28"/>
      <c r="B26" s="31">
        <v>0.0</v>
      </c>
      <c r="C26" s="31">
        <v>0.0</v>
      </c>
      <c r="D26" s="31">
        <v>0.0</v>
      </c>
      <c r="E26" s="31">
        <f>1/I6</f>
        <v>0.05882352941</v>
      </c>
    </row>
    <row r="27">
      <c r="A27" s="28"/>
      <c r="B27" s="33" t="s">
        <v>24</v>
      </c>
    </row>
    <row r="28">
      <c r="A28" s="28"/>
      <c r="B28" s="34">
        <f t="array" ref="B28:E31">MMULT(B3:E6, B23:E26)</f>
        <v>0.2631578947</v>
      </c>
      <c r="C28" s="34">
        <v>0.625</v>
      </c>
      <c r="D28" s="34">
        <v>0.6</v>
      </c>
      <c r="E28" s="34">
        <v>0.0</v>
      </c>
    </row>
    <row r="29">
      <c r="B29" s="34">
        <v>0.0</v>
      </c>
      <c r="C29" s="34">
        <v>0.25</v>
      </c>
      <c r="D29" s="34">
        <v>0.06666666666666667</v>
      </c>
      <c r="E29" s="34">
        <v>0.11764705882352941</v>
      </c>
    </row>
    <row r="30">
      <c r="B30" s="34">
        <v>0.10526315789473684</v>
      </c>
      <c r="C30" s="34">
        <v>0.0</v>
      </c>
      <c r="D30" s="34">
        <v>0.2</v>
      </c>
      <c r="E30" s="34">
        <v>0.47058823529411764</v>
      </c>
    </row>
    <row r="31">
      <c r="B31" s="34">
        <v>0.0</v>
      </c>
      <c r="C31" s="34">
        <v>0.0</v>
      </c>
      <c r="D31" s="34">
        <v>0.0</v>
      </c>
      <c r="E31" s="34">
        <v>0.23529411764705882</v>
      </c>
    </row>
    <row r="32">
      <c r="B32" s="1" t="s">
        <v>25</v>
      </c>
      <c r="G32" s="1"/>
      <c r="H32" s="1"/>
      <c r="I32" s="1"/>
      <c r="J32" s="1"/>
    </row>
    <row r="33">
      <c r="B33" s="35">
        <f t="array" ref="B33:E36">MINVERSE(G42:J45)</f>
        <v>1.537078652</v>
      </c>
      <c r="C33" s="35">
        <v>1.2808988764044942</v>
      </c>
      <c r="D33" s="35">
        <v>1.2595505617977525</v>
      </c>
      <c r="E33" s="35">
        <v>0.9721694036300776</v>
      </c>
    </row>
    <row r="34">
      <c r="B34" s="35">
        <v>0.017977528089887635</v>
      </c>
      <c r="C34" s="35">
        <v>1.348314606741573</v>
      </c>
      <c r="D34" s="35">
        <v>0.12584269662921346</v>
      </c>
      <c r="E34" s="35">
        <v>0.2848746758859118</v>
      </c>
    </row>
    <row r="35">
      <c r="B35" s="35">
        <v>0.20224719101123592</v>
      </c>
      <c r="C35" s="35">
        <v>0.1685393258426966</v>
      </c>
      <c r="D35" s="35">
        <v>1.4157303370786516</v>
      </c>
      <c r="E35" s="35">
        <v>0.8971477960242005</v>
      </c>
    </row>
    <row r="36">
      <c r="B36" s="35">
        <v>0.0</v>
      </c>
      <c r="C36" s="35">
        <v>0.0</v>
      </c>
      <c r="D36" s="35">
        <v>0.0</v>
      </c>
      <c r="E36" s="35">
        <v>1.3076923076923077</v>
      </c>
      <c r="G36" s="1" t="s">
        <v>26</v>
      </c>
    </row>
    <row r="37">
      <c r="B37" s="33" t="s">
        <v>27</v>
      </c>
      <c r="G37" s="31">
        <v>1.0</v>
      </c>
      <c r="H37" s="31">
        <v>0.0</v>
      </c>
      <c r="I37" s="31">
        <v>0.0</v>
      </c>
      <c r="J37" s="31">
        <v>0.0</v>
      </c>
    </row>
    <row r="38">
      <c r="A38" s="23" t="s">
        <v>28</v>
      </c>
      <c r="B38" s="36">
        <f t="array" ref="B38:E40">MMULT(B15:E17, B23:E26)</f>
        <v>1.428571429</v>
      </c>
      <c r="C38" s="36">
        <v>0.3333333333333333</v>
      </c>
      <c r="D38" s="36">
        <v>0.2</v>
      </c>
      <c r="E38" s="36">
        <v>0.0625</v>
      </c>
      <c r="G38" s="31">
        <v>0.0</v>
      </c>
      <c r="H38" s="31">
        <v>1.0</v>
      </c>
      <c r="I38" s="31">
        <v>0.0</v>
      </c>
      <c r="J38" s="31">
        <v>0.0</v>
      </c>
    </row>
    <row r="39">
      <c r="A39" s="23" t="s">
        <v>29</v>
      </c>
      <c r="B39" s="36">
        <v>0.4285714285714286</v>
      </c>
      <c r="C39" s="36">
        <v>0.06666666666666667</v>
      </c>
      <c r="D39" s="36">
        <v>3.8</v>
      </c>
      <c r="E39" s="36">
        <v>0.0625</v>
      </c>
      <c r="G39" s="31">
        <v>0.0</v>
      </c>
      <c r="H39" s="31">
        <v>0.0</v>
      </c>
      <c r="I39" s="31">
        <v>1.0</v>
      </c>
      <c r="J39" s="31">
        <v>0.0</v>
      </c>
    </row>
    <row r="40">
      <c r="A40" s="26" t="s">
        <v>30</v>
      </c>
      <c r="B40" s="36">
        <v>1.2857142857142858</v>
      </c>
      <c r="C40" s="36">
        <v>0.8666666666666667</v>
      </c>
      <c r="D40" s="36">
        <v>7.0</v>
      </c>
      <c r="E40" s="36">
        <v>3.5625</v>
      </c>
      <c r="G40" s="31">
        <v>0.0</v>
      </c>
      <c r="H40" s="31">
        <v>0.0</v>
      </c>
      <c r="I40" s="31">
        <v>0.0</v>
      </c>
      <c r="J40" s="31">
        <v>1.0</v>
      </c>
    </row>
    <row r="41">
      <c r="B41" s="1" t="s">
        <v>31</v>
      </c>
      <c r="G41" s="1" t="s">
        <v>32</v>
      </c>
    </row>
    <row r="42">
      <c r="A42" s="37" t="s">
        <v>19</v>
      </c>
      <c r="B42" s="38">
        <f t="array" ref="B42:E44">MMULT(MMULT(B38:E40, B33:E36),G47:J50)</f>
        <v>0</v>
      </c>
      <c r="C42" s="38">
        <v>6.939004815409308</v>
      </c>
      <c r="D42" s="38">
        <v>4.248903156768325</v>
      </c>
      <c r="E42" s="38">
        <v>22.68411583734617</v>
      </c>
      <c r="G42" s="39">
        <f t="shared" ref="G42:J42" si="8">G37-B28</f>
        <v>0.7368421053</v>
      </c>
      <c r="H42" s="39">
        <f t="shared" si="8"/>
        <v>-0.625</v>
      </c>
      <c r="I42" s="39">
        <f t="shared" si="8"/>
        <v>-0.6</v>
      </c>
      <c r="J42" s="39">
        <f t="shared" si="8"/>
        <v>0</v>
      </c>
    </row>
    <row r="43">
      <c r="A43" s="37" t="s">
        <v>20</v>
      </c>
      <c r="B43" s="38">
        <v>0.0</v>
      </c>
      <c r="C43" s="38">
        <v>3.8378812199036916</v>
      </c>
      <c r="D43" s="38">
        <v>11.855944355270196</v>
      </c>
      <c r="E43" s="38">
        <v>51.04486490101658</v>
      </c>
      <c r="G43" s="39">
        <f t="shared" ref="G43:J43" si="9">G38-B29</f>
        <v>0</v>
      </c>
      <c r="H43" s="39">
        <f t="shared" si="9"/>
        <v>0.75</v>
      </c>
      <c r="I43" s="39">
        <f t="shared" si="9"/>
        <v>-0.06666666667</v>
      </c>
      <c r="J43" s="39">
        <f t="shared" si="9"/>
        <v>-0.1176470588</v>
      </c>
    </row>
    <row r="44">
      <c r="A44" s="40" t="s">
        <v>21</v>
      </c>
      <c r="B44" s="38">
        <v>0.0</v>
      </c>
      <c r="C44" s="38">
        <v>11.985553772070624</v>
      </c>
      <c r="D44" s="38">
        <v>23.27719636169074</v>
      </c>
      <c r="E44" s="38">
        <v>161.6616546281434</v>
      </c>
      <c r="G44" s="39">
        <f t="shared" ref="G44:J44" si="10">G39-B30</f>
        <v>-0.1052631579</v>
      </c>
      <c r="H44" s="39">
        <f t="shared" si="10"/>
        <v>0</v>
      </c>
      <c r="I44" s="39">
        <f t="shared" si="10"/>
        <v>0.8</v>
      </c>
      <c r="J44" s="39">
        <f t="shared" si="10"/>
        <v>-0.4705882353</v>
      </c>
    </row>
    <row r="45">
      <c r="B45" s="4" t="s">
        <v>2</v>
      </c>
      <c r="C45" s="4" t="s">
        <v>3</v>
      </c>
      <c r="D45" s="4" t="s">
        <v>4</v>
      </c>
      <c r="E45" s="4" t="s">
        <v>5</v>
      </c>
      <c r="G45" s="39">
        <f t="shared" ref="G45:J45" si="11">G40-B31</f>
        <v>0</v>
      </c>
      <c r="H45" s="39">
        <f t="shared" si="11"/>
        <v>0</v>
      </c>
      <c r="I45" s="39">
        <f t="shared" si="11"/>
        <v>0</v>
      </c>
      <c r="J45" s="39">
        <f t="shared" si="11"/>
        <v>0.7647058824</v>
      </c>
    </row>
    <row r="46">
      <c r="G46" s="30" t="s">
        <v>33</v>
      </c>
    </row>
    <row r="47">
      <c r="G47" s="31">
        <f>H3</f>
        <v>0</v>
      </c>
      <c r="H47" s="31">
        <v>0.0</v>
      </c>
      <c r="I47" s="31">
        <v>0.0</v>
      </c>
      <c r="J47" s="31">
        <v>0.0</v>
      </c>
    </row>
    <row r="48">
      <c r="G48" s="31">
        <v>0.0</v>
      </c>
      <c r="H48" s="31">
        <f>H4</f>
        <v>3</v>
      </c>
      <c r="I48" s="31">
        <v>0.0</v>
      </c>
      <c r="J48" s="31">
        <v>0.0</v>
      </c>
    </row>
    <row r="49">
      <c r="G49" s="31">
        <v>0.0</v>
      </c>
      <c r="H49" s="31">
        <v>0.0</v>
      </c>
      <c r="I49" s="31">
        <f>H5</f>
        <v>2</v>
      </c>
      <c r="J49" s="31">
        <v>0.0</v>
      </c>
    </row>
    <row r="50">
      <c r="G50" s="31">
        <v>0.0</v>
      </c>
      <c r="H50" s="31">
        <v>0.0</v>
      </c>
      <c r="I50" s="31">
        <v>0.0</v>
      </c>
      <c r="J50" s="31">
        <f>H6</f>
        <v>13</v>
      </c>
    </row>
    <row r="62">
      <c r="A62" s="1"/>
      <c r="B62" s="1"/>
      <c r="C62" s="1"/>
      <c r="D62" s="1"/>
      <c r="E62" s="1"/>
    </row>
    <row r="68">
      <c r="A68" s="1"/>
      <c r="B68" s="1"/>
      <c r="C68" s="1"/>
      <c r="D68" s="1"/>
      <c r="E68" s="1"/>
    </row>
  </sheetData>
  <mergeCells count="11">
    <mergeCell ref="B37:E37"/>
    <mergeCell ref="B41:E41"/>
    <mergeCell ref="G41:J41"/>
    <mergeCell ref="G46:J46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