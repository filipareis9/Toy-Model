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hhf8X/IVjTC2LsmIwkIlIMLNlv+sLIKpeJyO7IaP9Mo="/>
    </ext>
  </extLst>
</workbook>
</file>

<file path=xl/sharedStrings.xml><?xml version="1.0" encoding="utf-8"?>
<sst xmlns="http://schemas.openxmlformats.org/spreadsheetml/2006/main" count="98" uniqueCount="47">
  <si>
    <t>Calculations from EXIOBASE: Z, Y, F &amp; E</t>
  </si>
  <si>
    <t>Input Data for Szenarios</t>
  </si>
  <si>
    <t>These are the inital inputs for the Scenarios</t>
  </si>
  <si>
    <t>F</t>
  </si>
  <si>
    <t>\=</t>
  </si>
  <si>
    <t>E</t>
  </si>
  <si>
    <t>L(A)</t>
  </si>
  <si>
    <t>Y</t>
  </si>
  <si>
    <t>Technical Coeficient Matrix A [no dim]</t>
  </si>
  <si>
    <t>Input-Output Table</t>
  </si>
  <si>
    <t>Soy Agriculture</t>
  </si>
  <si>
    <t>Tofu Production</t>
  </si>
  <si>
    <t>Cow Farming</t>
  </si>
  <si>
    <t>Beef Processing</t>
  </si>
  <si>
    <t>Y_Total_Demand</t>
  </si>
  <si>
    <t>1990 [Mio $]</t>
  </si>
  <si>
    <t>Y_Region</t>
  </si>
  <si>
    <t>Y_Export</t>
  </si>
  <si>
    <t>X_Total Output</t>
  </si>
  <si>
    <t>GHG Multiplyer [CO2e kg /$]</t>
  </si>
  <si>
    <t>Mass [kg/ $]</t>
  </si>
  <si>
    <t>Value Added</t>
  </si>
  <si>
    <t>GDP</t>
  </si>
  <si>
    <t>Info:</t>
  </si>
  <si>
    <t>A=Z/X</t>
  </si>
  <si>
    <t>L=1/(1-A)</t>
  </si>
  <si>
    <t>Sum Inter Industry Input</t>
  </si>
  <si>
    <t>X_Total_Industry_Input (Output)</t>
  </si>
  <si>
    <t>Calculation Pipeline</t>
  </si>
  <si>
    <t>Identity Matrix 1</t>
  </si>
  <si>
    <t>Environmental Extensions (scope 1) - M Matrix</t>
  </si>
  <si>
    <t>E-hat Mass</t>
  </si>
  <si>
    <t>Y_Total_Demand_Hat</t>
  </si>
  <si>
    <t>GHG Emmisons [Mio t]</t>
  </si>
  <si>
    <t>Mass [Mio t]</t>
  </si>
  <si>
    <t>Environmental Coefficience E</t>
  </si>
  <si>
    <t>1-A</t>
  </si>
  <si>
    <t>E-hat GHG</t>
  </si>
  <si>
    <t>1/x hat Matrix [1/ Mio $]</t>
  </si>
  <si>
    <t>Leonthief Inverse Matrix L [no dim]</t>
  </si>
  <si>
    <t>E_hat_Mass*L*Y_hat</t>
  </si>
  <si>
    <t>E_hat_GHG*L*Y_hat</t>
  </si>
  <si>
    <t>Mass Allocation</t>
  </si>
  <si>
    <t>Direct Output</t>
  </si>
  <si>
    <t>GHG Allocation</t>
  </si>
  <si>
    <t>Soy Mass</t>
  </si>
  <si>
    <t>Footprint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</si>
</sst>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FCAAAA"/>
        <bgColor rgb="FFFCAAAA"/>
      </patternFill>
    </fill>
    <fill>
      <patternFill patternType="solid">
        <fgColor rgb="FFBDD6EE"/>
        <bgColor rgb="FFBDD6EE"/>
      </patternFill>
    </fill>
    <fill>
      <patternFill patternType="solid">
        <fgColor rgb="FFF4B083"/>
        <bgColor rgb="FFF4B083"/>
      </patternFill>
    </fill>
    <fill>
      <patternFill patternType="solid">
        <fgColor rgb="FF9CC2E5"/>
        <bgColor rgb="FF9CC2E5"/>
      </patternFill>
    </fill>
    <fill>
      <patternFill patternType="solid">
        <fgColor rgb="FF8EAADB"/>
        <bgColor rgb="FF8EAADB"/>
      </patternFill>
    </fill>
    <fill>
      <patternFill patternType="solid">
        <fgColor rgb="FFFED6D6"/>
        <bgColor rgb="FFFED6D6"/>
      </patternFill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C189F7"/>
        <bgColor rgb="FFC189F7"/>
      </patternFill>
    </fill>
    <fill>
      <patternFill patternType="solid">
        <fgColor rgb="FFF6C3FF"/>
        <bgColor rgb="FFF6C3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FFD965"/>
        <bgColor rgb="FFFFD965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AEABAB"/>
        <bgColor rgb="FFAEABAB"/>
      </patternFill>
    </fill>
    <fill>
      <patternFill patternType="solid">
        <fgColor rgb="FFC1A0D4"/>
        <bgColor rgb="FFC1A0D4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CCCCFF"/>
        <bgColor rgb="FFCCCCFF"/>
      </patternFill>
    </fill>
  </fills>
  <borders count="2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/>
      <right/>
      <top style="medium">
        <color rgb="FFCCCCCC"/>
      </top>
      <bottom style="medium">
        <color rgb="FFCCCCCC"/>
      </bottom>
    </border>
    <border>
      <left/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3" numFmtId="0" xfId="0" applyBorder="1" applyFont="1"/>
    <xf borderId="1" fillId="0" fontId="3" numFmtId="0" xfId="0" applyBorder="1" applyFont="1"/>
    <xf borderId="2" fillId="0" fontId="1" numFmtId="0" xfId="0" applyAlignment="1" applyBorder="1" applyFont="1">
      <alignment horizontal="center"/>
    </xf>
    <xf borderId="2" fillId="0" fontId="3" numFmtId="0" xfId="0" applyBorder="1" applyFont="1"/>
    <xf borderId="4" fillId="0" fontId="3" numFmtId="0" xfId="0" applyBorder="1" applyFont="1"/>
    <xf borderId="0" fillId="0" fontId="3" numFmtId="0" xfId="0" applyAlignment="1" applyFont="1">
      <alignment readingOrder="0"/>
    </xf>
    <xf borderId="0" fillId="0" fontId="3" numFmtId="0" xfId="0" applyFont="1"/>
    <xf borderId="5" fillId="0" fontId="3" numFmtId="0" xfId="0" applyBorder="1" applyFont="1"/>
    <xf borderId="6" fillId="2" fontId="3" numFmtId="0" xfId="0" applyBorder="1" applyFill="1" applyFont="1"/>
    <xf borderId="6" fillId="3" fontId="3" numFmtId="0" xfId="0" applyBorder="1" applyFill="1" applyFont="1"/>
    <xf borderId="6" fillId="4" fontId="3" numFmtId="0" xfId="0" applyBorder="1" applyFill="1" applyFont="1"/>
    <xf borderId="6" fillId="5" fontId="3" numFmtId="0" xfId="0" applyBorder="1" applyFill="1" applyFont="1"/>
    <xf borderId="6" fillId="6" fontId="4" numFmtId="0" xfId="0" applyBorder="1" applyFill="1" applyFont="1"/>
    <xf borderId="7" fillId="7" fontId="3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6" fillId="6" fontId="3" numFmtId="0" xfId="0" applyBorder="1" applyFont="1"/>
    <xf borderId="6" fillId="8" fontId="3" numFmtId="0" xfId="0" applyBorder="1" applyFill="1" applyFont="1"/>
    <xf borderId="6" fillId="9" fontId="3" numFmtId="0" xfId="0" applyBorder="1" applyFill="1" applyFont="1"/>
    <xf borderId="6" fillId="10" fontId="3" numFmtId="0" xfId="0" applyBorder="1" applyFill="1" applyFont="1"/>
    <xf borderId="6" fillId="7" fontId="3" numFmtId="0" xfId="0" applyBorder="1" applyFont="1"/>
    <xf borderId="6" fillId="11" fontId="3" numFmtId="0" xfId="0" applyAlignment="1" applyBorder="1" applyFill="1" applyFont="1">
      <alignment readingOrder="0"/>
    </xf>
    <xf borderId="6" fillId="11" fontId="3" numFmtId="0" xfId="0" applyBorder="1" applyFont="1"/>
    <xf borderId="10" fillId="9" fontId="3" numFmtId="0" xfId="0" applyBorder="1" applyFont="1"/>
    <xf borderId="6" fillId="12" fontId="3" numFmtId="0" xfId="0" applyBorder="1" applyFill="1" applyFont="1"/>
    <xf borderId="6" fillId="13" fontId="3" numFmtId="0" xfId="0" applyBorder="1" applyFill="1" applyFont="1"/>
    <xf borderId="6" fillId="5" fontId="3" numFmtId="0" xfId="0" applyAlignment="1" applyBorder="1" applyFont="1">
      <alignment readingOrder="0"/>
    </xf>
    <xf borderId="10" fillId="14" fontId="3" numFmtId="0" xfId="0" applyBorder="1" applyFill="1" applyFont="1"/>
    <xf borderId="6" fillId="14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0" fillId="15" fontId="3" numFmtId="0" xfId="0" applyBorder="1" applyFill="1" applyFont="1"/>
    <xf borderId="6" fillId="16" fontId="3" numFmtId="0" xfId="0" applyBorder="1" applyFill="1" applyFont="1"/>
    <xf borderId="14" fillId="0" fontId="5" numFmtId="0" xfId="0" applyAlignment="1" applyBorder="1" applyFont="1">
      <alignment horizontal="center" shrinkToFit="0" wrapText="1"/>
    </xf>
    <xf borderId="15" fillId="0" fontId="2" numFmtId="0" xfId="0" applyBorder="1" applyFont="1"/>
    <xf borderId="16" fillId="0" fontId="2" numFmtId="0" xfId="0" applyBorder="1" applyFont="1"/>
    <xf borderId="7" fillId="2" fontId="3" numFmtId="0" xfId="0" applyAlignment="1" applyBorder="1" applyFont="1">
      <alignment horizontal="center"/>
    </xf>
    <xf borderId="7" fillId="9" fontId="3" numFmtId="0" xfId="0" applyAlignment="1" applyBorder="1" applyFont="1">
      <alignment horizontal="center"/>
    </xf>
    <xf borderId="17" fillId="17" fontId="6" numFmtId="0" xfId="0" applyAlignment="1" applyBorder="1" applyFill="1" applyFont="1">
      <alignment horizontal="right" shrinkToFit="0" wrapText="1"/>
    </xf>
    <xf borderId="7" fillId="8" fontId="3" numFmtId="0" xfId="0" applyAlignment="1" applyBorder="1" applyFont="1">
      <alignment horizontal="center"/>
    </xf>
    <xf borderId="18" fillId="0" fontId="2" numFmtId="0" xfId="0" applyBorder="1" applyFont="1"/>
    <xf borderId="10" fillId="2" fontId="3" numFmtId="0" xfId="0" applyBorder="1" applyFont="1"/>
    <xf borderId="19" fillId="5" fontId="3" numFmtId="0" xfId="0" applyBorder="1" applyFont="1"/>
    <xf borderId="6" fillId="3" fontId="6" numFmtId="0" xfId="0" applyAlignment="1" applyBorder="1" applyFont="1">
      <alignment horizontal="right" shrinkToFit="0" wrapText="1"/>
    </xf>
    <xf borderId="6" fillId="5" fontId="6" numFmtId="0" xfId="0" applyAlignment="1" applyBorder="1" applyFont="1">
      <alignment horizontal="right" shrinkToFit="0" wrapText="1"/>
    </xf>
    <xf borderId="10" fillId="7" fontId="3" numFmtId="0" xfId="0" applyBorder="1" applyFont="1"/>
    <xf borderId="20" fillId="7" fontId="6" numFmtId="0" xfId="0" applyAlignment="1" applyBorder="1" applyFont="1">
      <alignment shrinkToFit="0" wrapText="1"/>
    </xf>
    <xf borderId="17" fillId="3" fontId="6" numFmtId="0" xfId="0" applyAlignment="1" applyBorder="1" applyFont="1">
      <alignment horizontal="right" shrinkToFit="0" wrapText="1"/>
    </xf>
    <xf borderId="19" fillId="8" fontId="3" numFmtId="0" xfId="0" applyBorder="1" applyFont="1"/>
    <xf borderId="10" fillId="18" fontId="3" numFmtId="0" xfId="0" applyBorder="1" applyFill="1" applyFont="1"/>
    <xf borderId="6" fillId="18" fontId="3" numFmtId="0" xfId="0" applyBorder="1" applyFont="1"/>
    <xf borderId="6" fillId="19" fontId="3" numFmtId="0" xfId="0" applyBorder="1" applyFill="1" applyFont="1"/>
    <xf borderId="14" fillId="20" fontId="5" numFmtId="0" xfId="0" applyAlignment="1" applyBorder="1" applyFill="1" applyFont="1">
      <alignment horizontal="center" shrinkToFit="0" wrapText="1"/>
    </xf>
    <xf borderId="17" fillId="21" fontId="6" numFmtId="0" xfId="0" applyAlignment="1" applyBorder="1" applyFill="1" applyFont="1">
      <alignment horizontal="right" shrinkToFit="0" wrapText="1"/>
    </xf>
    <xf borderId="0" fillId="0" fontId="4" numFmtId="0" xfId="0" applyAlignment="1" applyFont="1">
      <alignment horizontal="center"/>
    </xf>
    <xf borderId="21" fillId="21" fontId="6" numFmtId="0" xfId="0" applyAlignment="1" applyBorder="1" applyFont="1">
      <alignment horizontal="right" shrinkToFit="0" wrapText="1"/>
    </xf>
    <xf borderId="7" fillId="22" fontId="4" numFmtId="0" xfId="0" applyAlignment="1" applyBorder="1" applyFill="1" applyFont="1">
      <alignment horizontal="center"/>
    </xf>
    <xf borderId="6" fillId="23" fontId="4" numFmtId="0" xfId="0" applyBorder="1" applyFill="1" applyFont="1"/>
    <xf borderId="6" fillId="24" fontId="3" numFmtId="0" xfId="0" applyBorder="1" applyFill="1" applyFont="1"/>
    <xf borderId="6" fillId="25" fontId="3" numFmtId="0" xfId="0" applyBorder="1" applyFill="1" applyFont="1"/>
    <xf borderId="6" fillId="26" fontId="3" numFmtId="0" xfId="0" applyBorder="1" applyFill="1" applyFont="1"/>
    <xf borderId="22" fillId="18" fontId="5" numFmtId="0" xfId="0" applyAlignment="1" applyBorder="1" applyFont="1">
      <alignment horizontal="center" shrinkToFit="0" wrapText="1"/>
    </xf>
    <xf borderId="23" fillId="18" fontId="5" numFmtId="0" xfId="0" applyAlignment="1" applyBorder="1" applyFont="1">
      <alignment horizontal="center" shrinkToFit="0" wrapText="1"/>
    </xf>
    <xf borderId="24" fillId="18" fontId="5" numFmtId="0" xfId="0" applyAlignment="1" applyBorder="1" applyFont="1">
      <alignment horizontal="center" shrinkToFit="0" wrapText="1"/>
    </xf>
    <xf borderId="17" fillId="18" fontId="6" numFmtId="0" xfId="0" applyAlignment="1" applyBorder="1" applyFont="1">
      <alignment horizontal="right" shrinkToFit="0" wrapText="1"/>
    </xf>
    <xf borderId="6" fillId="8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Mass Direct Sector Output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B7B7B7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</c:dPt>
          <c:cat>
            <c:strRef>
              <c:f>Tabelle1!$L$33:$L$36</c:f>
            </c:strRef>
          </c:cat>
          <c:val>
            <c:numRef>
              <c:f>Tabelle1!$Q$33:$Q$36</c:f>
              <c:numCache/>
            </c:numRef>
          </c:val>
        </c:ser>
        <c:axId val="19827909"/>
        <c:axId val="162531395"/>
      </c:barChart>
      <c:catAx>
        <c:axId val="198279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531395"/>
      </c:catAx>
      <c:valAx>
        <c:axId val="162531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2790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GHG Direct Sector Output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B7B7B7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Tabelle1!$S$33:$S$36</c:f>
            </c:strRef>
          </c:cat>
          <c:val>
            <c:numRef>
              <c:f>Tabelle1!$X$33:$X$36</c:f>
              <c:numCache/>
            </c:numRef>
          </c:val>
        </c:ser>
        <c:axId val="12973424"/>
        <c:axId val="1794533892"/>
      </c:barChart>
      <c:catAx>
        <c:axId val="12973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94533892"/>
      </c:catAx>
      <c:valAx>
        <c:axId val="17945338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7342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Mass Footpring [t] of Final Demand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Tabelle1!$M$37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Tabelle1!$M$38</c:f>
              <c:numCache/>
            </c:numRef>
          </c:val>
        </c:ser>
        <c:ser>
          <c:idx val="1"/>
          <c:order val="1"/>
          <c:tx>
            <c:strRef>
              <c:f>Tabelle1!$N$37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Tabelle1!$N$38</c:f>
              <c:numCache/>
            </c:numRef>
          </c:val>
        </c:ser>
        <c:ser>
          <c:idx val="2"/>
          <c:order val="2"/>
          <c:tx>
            <c:strRef>
              <c:f>Tabelle1!$O$37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Tabelle1!$O$38</c:f>
              <c:numCache/>
            </c:numRef>
          </c:val>
        </c:ser>
        <c:ser>
          <c:idx val="3"/>
          <c:order val="3"/>
          <c:tx>
            <c:strRef>
              <c:f>Tabelle1!$P$37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Tabelle1!$P$38</c:f>
              <c:numCache/>
            </c:numRef>
          </c:val>
        </c:ser>
        <c:axId val="142590338"/>
        <c:axId val="904664706"/>
      </c:barChart>
      <c:catAx>
        <c:axId val="142590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4664706"/>
      </c:catAx>
      <c:valAx>
        <c:axId val="904664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5903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GHG Footprint [CO2e t] of Final Demand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Tabelle1!$T$37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Tabelle1!$T$38</c:f>
              <c:numCache/>
            </c:numRef>
          </c:val>
        </c:ser>
        <c:ser>
          <c:idx val="1"/>
          <c:order val="1"/>
          <c:tx>
            <c:strRef>
              <c:f>Tabelle1!$U$37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Tabelle1!$U$38</c:f>
              <c:numCache/>
            </c:numRef>
          </c:val>
        </c:ser>
        <c:ser>
          <c:idx val="2"/>
          <c:order val="2"/>
          <c:tx>
            <c:strRef>
              <c:f>Tabelle1!$V$37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Tabelle1!$V$38</c:f>
              <c:numCache/>
            </c:numRef>
          </c:val>
        </c:ser>
        <c:ser>
          <c:idx val="3"/>
          <c:order val="3"/>
          <c:tx>
            <c:strRef>
              <c:f>Tabelle1!$W$37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Tabelle1!$W$38</c:f>
              <c:numCache/>
            </c:numRef>
          </c:val>
        </c:ser>
        <c:axId val="1588286680"/>
        <c:axId val="629420275"/>
      </c:barChart>
      <c:catAx>
        <c:axId val="1588286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9420275"/>
      </c:catAx>
      <c:valAx>
        <c:axId val="6294202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8286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314325</xdr:colOff>
      <xdr:row>42</xdr:row>
      <xdr:rowOff>57150</xdr:rowOff>
    </xdr:from>
    <xdr:ext cx="4638675" cy="2533650"/>
    <xdr:graphicFrame>
      <xdr:nvGraphicFramePr>
        <xdr:cNvPr id="485727304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581025</xdr:colOff>
      <xdr:row>41</xdr:row>
      <xdr:rowOff>142875</xdr:rowOff>
    </xdr:from>
    <xdr:ext cx="4552950" cy="2771775"/>
    <xdr:graphicFrame>
      <xdr:nvGraphicFramePr>
        <xdr:cNvPr id="588728521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314325</xdr:colOff>
      <xdr:row>55</xdr:row>
      <xdr:rowOff>57150</xdr:rowOff>
    </xdr:from>
    <xdr:ext cx="4638675" cy="2847975"/>
    <xdr:graphicFrame>
      <xdr:nvGraphicFramePr>
        <xdr:cNvPr id="2025149936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581025</xdr:colOff>
      <xdr:row>56</xdr:row>
      <xdr:rowOff>28575</xdr:rowOff>
    </xdr:from>
    <xdr:ext cx="4552950" cy="2847975"/>
    <xdr:graphicFrame>
      <xdr:nvGraphicFramePr>
        <xdr:cNvPr id="705246303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11" width="9.14"/>
    <col customWidth="1" min="12" max="12" width="19.71"/>
    <col customWidth="1" min="13" max="15" width="9.14"/>
    <col customWidth="1" min="16" max="16" width="10.86"/>
    <col customWidth="1" min="17" max="27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 t="s">
        <v>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6"/>
      <c r="AA1" s="3"/>
    </row>
    <row r="2">
      <c r="A2" s="7"/>
      <c r="B2" s="8" t="s">
        <v>2</v>
      </c>
      <c r="G2" s="9"/>
      <c r="H2" s="9"/>
      <c r="I2" s="9"/>
      <c r="J2" s="10"/>
      <c r="K2" s="7"/>
      <c r="L2" s="9"/>
      <c r="P2" s="11" t="s">
        <v>3</v>
      </c>
      <c r="Q2" s="9" t="s">
        <v>4</v>
      </c>
      <c r="R2" s="12" t="s">
        <v>5</v>
      </c>
      <c r="S2" s="13" t="s">
        <v>6</v>
      </c>
      <c r="T2" s="14" t="s">
        <v>7</v>
      </c>
      <c r="U2" s="9"/>
      <c r="V2" s="9"/>
      <c r="W2" s="9"/>
      <c r="X2" s="9"/>
      <c r="Y2" s="9"/>
      <c r="Z2" s="9"/>
      <c r="AA2" s="10"/>
    </row>
    <row r="3">
      <c r="A3" s="7"/>
      <c r="B3" s="9"/>
      <c r="C3" s="9"/>
      <c r="D3" s="9"/>
      <c r="E3" s="9"/>
      <c r="F3" s="9"/>
      <c r="G3" s="9"/>
      <c r="H3" s="9"/>
      <c r="I3" s="9"/>
      <c r="J3" s="10"/>
      <c r="K3" s="7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</row>
    <row r="4">
      <c r="A4" s="7"/>
      <c r="B4" s="9"/>
      <c r="C4" s="9"/>
      <c r="D4" s="9"/>
      <c r="E4" s="9"/>
      <c r="F4" s="9"/>
      <c r="G4" s="9"/>
      <c r="H4" s="9"/>
      <c r="I4" s="9"/>
      <c r="J4" s="10"/>
      <c r="K4" s="7"/>
      <c r="L4" s="9"/>
      <c r="M4" s="9"/>
      <c r="N4" s="9"/>
      <c r="O4" s="9"/>
      <c r="P4" s="9"/>
      <c r="Q4" s="9"/>
      <c r="R4" s="9"/>
      <c r="S4" s="15" t="s">
        <v>8</v>
      </c>
      <c r="T4" s="15"/>
      <c r="U4" s="15"/>
      <c r="V4" s="15"/>
      <c r="W4" s="9"/>
      <c r="X4" s="9"/>
      <c r="Y4" s="9"/>
      <c r="Z4" s="9"/>
      <c r="AA4" s="10"/>
    </row>
    <row r="5">
      <c r="A5" s="7"/>
      <c r="B5" s="9" t="s">
        <v>9</v>
      </c>
      <c r="C5" s="9"/>
      <c r="D5" s="9"/>
      <c r="E5" s="9"/>
      <c r="F5" s="9"/>
      <c r="G5" s="9"/>
      <c r="H5" s="9"/>
      <c r="I5" s="9"/>
      <c r="J5" s="10"/>
      <c r="K5" s="7"/>
      <c r="L5" s="9"/>
      <c r="M5" s="16" t="s">
        <v>5</v>
      </c>
      <c r="N5" s="17"/>
      <c r="O5" s="17"/>
      <c r="P5" s="18"/>
      <c r="Q5" s="9"/>
      <c r="R5" s="9"/>
      <c r="S5" s="19" t="s">
        <v>10</v>
      </c>
      <c r="T5" s="19" t="s">
        <v>11</v>
      </c>
      <c r="U5" s="19" t="s">
        <v>12</v>
      </c>
      <c r="V5" s="19" t="s">
        <v>13</v>
      </c>
      <c r="W5" s="9"/>
      <c r="X5" s="20" t="s">
        <v>14</v>
      </c>
      <c r="Y5" s="9"/>
      <c r="Z5" s="9"/>
      <c r="AA5" s="10"/>
    </row>
    <row r="6">
      <c r="A6" s="7" t="s">
        <v>15</v>
      </c>
      <c r="B6" s="21" t="s">
        <v>10</v>
      </c>
      <c r="C6" s="21" t="s">
        <v>11</v>
      </c>
      <c r="D6" s="21" t="s">
        <v>12</v>
      </c>
      <c r="E6" s="21" t="s">
        <v>13</v>
      </c>
      <c r="F6" s="14" t="s">
        <v>16</v>
      </c>
      <c r="G6" s="14" t="s">
        <v>17</v>
      </c>
      <c r="H6" s="20" t="s">
        <v>14</v>
      </c>
      <c r="I6" s="22" t="s">
        <v>18</v>
      </c>
      <c r="J6" s="10"/>
      <c r="K6" s="7"/>
      <c r="L6" s="23" t="s">
        <v>19</v>
      </c>
      <c r="M6" s="12">
        <v>0.4</v>
      </c>
      <c r="N6" s="12">
        <v>0.06666666666666667</v>
      </c>
      <c r="O6" s="12">
        <v>3.8000000000000003</v>
      </c>
      <c r="P6" s="12">
        <v>0.0625</v>
      </c>
      <c r="Q6" s="9"/>
      <c r="R6" s="19" t="s">
        <v>10</v>
      </c>
      <c r="S6" s="24">
        <v>0.2</v>
      </c>
      <c r="T6" s="25">
        <v>0.6666666668</v>
      </c>
      <c r="U6" s="25">
        <v>0.66666666664</v>
      </c>
      <c r="V6" s="25">
        <v>0.0</v>
      </c>
      <c r="W6" s="9"/>
      <c r="X6" s="14">
        <v>0.0</v>
      </c>
      <c r="Y6" s="20" t="s">
        <v>10</v>
      </c>
      <c r="Z6" s="9"/>
      <c r="AA6" s="10"/>
    </row>
    <row r="7" ht="15.75" customHeight="1">
      <c r="A7" s="26" t="s">
        <v>10</v>
      </c>
      <c r="B7" s="12">
        <v>3.0</v>
      </c>
      <c r="C7" s="12">
        <v>4.0</v>
      </c>
      <c r="D7" s="12">
        <v>8.0</v>
      </c>
      <c r="E7" s="12">
        <v>0.0</v>
      </c>
      <c r="F7" s="27">
        <v>0.0</v>
      </c>
      <c r="G7" s="27">
        <v>0.0</v>
      </c>
      <c r="H7" s="14">
        <v>0.0</v>
      </c>
      <c r="I7" s="28">
        <v>15.0</v>
      </c>
      <c r="J7" s="10"/>
      <c r="K7" s="7"/>
      <c r="L7" s="23" t="s">
        <v>20</v>
      </c>
      <c r="M7" s="12">
        <v>1.428571429</v>
      </c>
      <c r="N7" s="12">
        <v>0.3333333333</v>
      </c>
      <c r="O7" s="12">
        <v>0.2</v>
      </c>
      <c r="P7" s="12">
        <v>0.0625</v>
      </c>
      <c r="Q7" s="9"/>
      <c r="R7" s="19" t="s">
        <v>11</v>
      </c>
      <c r="S7" s="25">
        <v>0.0</v>
      </c>
      <c r="T7" s="25">
        <v>0.1666666667</v>
      </c>
      <c r="U7" s="25">
        <v>0.08333333333</v>
      </c>
      <c r="V7" s="25">
        <v>0.07142857143</v>
      </c>
      <c r="W7" s="9"/>
      <c r="X7" s="14">
        <v>3.0</v>
      </c>
      <c r="Y7" s="20" t="s">
        <v>11</v>
      </c>
      <c r="Z7" s="9"/>
      <c r="AA7" s="10"/>
    </row>
    <row r="8">
      <c r="A8" s="26" t="s">
        <v>11</v>
      </c>
      <c r="B8" s="12">
        <v>0.0</v>
      </c>
      <c r="C8" s="12">
        <v>1.0</v>
      </c>
      <c r="D8" s="12">
        <v>1.0</v>
      </c>
      <c r="E8" s="12">
        <v>1.0</v>
      </c>
      <c r="F8" s="27">
        <v>3.0</v>
      </c>
      <c r="G8" s="27">
        <v>0.0</v>
      </c>
      <c r="H8" s="14">
        <v>3.0</v>
      </c>
      <c r="I8" s="28">
        <v>6.0</v>
      </c>
      <c r="J8" s="10"/>
      <c r="K8" s="7"/>
      <c r="L8" s="9"/>
      <c r="M8" s="9" t="s">
        <v>10</v>
      </c>
      <c r="N8" s="9" t="s">
        <v>11</v>
      </c>
      <c r="O8" s="9" t="s">
        <v>12</v>
      </c>
      <c r="P8" s="9" t="s">
        <v>13</v>
      </c>
      <c r="Q8" s="9"/>
      <c r="R8" s="19" t="s">
        <v>12</v>
      </c>
      <c r="S8" s="25">
        <v>0.06666666667</v>
      </c>
      <c r="T8" s="25">
        <v>0.0</v>
      </c>
      <c r="U8" s="25">
        <v>0.16666666666</v>
      </c>
      <c r="V8" s="25">
        <v>0.50000000001</v>
      </c>
      <c r="W8" s="9"/>
      <c r="X8" s="29">
        <v>2.0</v>
      </c>
      <c r="Y8" s="20" t="s">
        <v>12</v>
      </c>
      <c r="Z8" s="9"/>
      <c r="AA8" s="10"/>
    </row>
    <row r="9">
      <c r="A9" s="26" t="s">
        <v>12</v>
      </c>
      <c r="B9" s="12">
        <v>1.0</v>
      </c>
      <c r="C9" s="12">
        <v>0.0</v>
      </c>
      <c r="D9" s="12">
        <v>2.0</v>
      </c>
      <c r="E9" s="12">
        <v>7.0</v>
      </c>
      <c r="F9" s="27">
        <v>0.0</v>
      </c>
      <c r="G9" s="27">
        <v>2.0</v>
      </c>
      <c r="H9" s="14">
        <v>2.0</v>
      </c>
      <c r="I9" s="28">
        <v>12.0</v>
      </c>
      <c r="J9" s="10"/>
      <c r="K9" s="7"/>
      <c r="L9" s="9"/>
      <c r="M9" s="9"/>
      <c r="N9" s="9"/>
      <c r="O9" s="9"/>
      <c r="P9" s="9"/>
      <c r="Q9" s="9"/>
      <c r="R9" s="19" t="s">
        <v>13</v>
      </c>
      <c r="S9" s="25">
        <v>0.0</v>
      </c>
      <c r="T9" s="25">
        <v>0.0</v>
      </c>
      <c r="U9" s="25">
        <v>0.0</v>
      </c>
      <c r="V9" s="25">
        <v>0.21428571429</v>
      </c>
      <c r="W9" s="9"/>
      <c r="X9" s="29">
        <v>11.0</v>
      </c>
      <c r="Y9" s="20" t="s">
        <v>13</v>
      </c>
      <c r="Z9" s="9"/>
      <c r="AA9" s="10"/>
    </row>
    <row r="10">
      <c r="A10" s="26" t="s">
        <v>13</v>
      </c>
      <c r="B10" s="12">
        <v>0.0</v>
      </c>
      <c r="C10" s="12">
        <v>0.0</v>
      </c>
      <c r="D10" s="12">
        <v>0.0</v>
      </c>
      <c r="E10" s="12">
        <v>3.0</v>
      </c>
      <c r="F10" s="27">
        <v>11.0</v>
      </c>
      <c r="G10" s="27">
        <v>0.0</v>
      </c>
      <c r="H10" s="14">
        <v>11.0</v>
      </c>
      <c r="I10" s="28">
        <v>14.0</v>
      </c>
      <c r="J10" s="10"/>
      <c r="K10" s="7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>
      <c r="A11" s="30" t="s">
        <v>21</v>
      </c>
      <c r="B11" s="31">
        <v>11.0</v>
      </c>
      <c r="C11" s="31">
        <v>1.0</v>
      </c>
      <c r="D11" s="31">
        <v>1.0</v>
      </c>
      <c r="E11" s="31">
        <v>3.0</v>
      </c>
      <c r="F11" s="31">
        <v>16.0</v>
      </c>
      <c r="G11" s="31" t="s">
        <v>22</v>
      </c>
      <c r="H11" s="9"/>
      <c r="I11" s="9"/>
      <c r="J11" s="10"/>
      <c r="K11" s="7"/>
      <c r="L11" s="9"/>
      <c r="M11" s="9"/>
      <c r="N11" s="9"/>
      <c r="O11" s="9"/>
      <c r="P11" s="9"/>
      <c r="Q11" s="9"/>
      <c r="R11" s="8" t="s">
        <v>23</v>
      </c>
      <c r="S11" s="9" t="s">
        <v>24</v>
      </c>
      <c r="T11" s="8" t="s">
        <v>25</v>
      </c>
      <c r="U11" s="9"/>
      <c r="V11" s="9"/>
      <c r="W11" s="9"/>
      <c r="X11" s="9"/>
      <c r="Y11" s="9"/>
      <c r="Z11" s="9"/>
      <c r="AA11" s="10"/>
    </row>
    <row r="12" ht="15.75" customHeight="1">
      <c r="A12" s="7" t="s">
        <v>26</v>
      </c>
      <c r="B12" s="22">
        <v>4.0</v>
      </c>
      <c r="C12" s="22">
        <v>5.0</v>
      </c>
      <c r="D12" s="22">
        <v>11.0</v>
      </c>
      <c r="E12" s="22">
        <v>11.0</v>
      </c>
      <c r="F12" s="9"/>
      <c r="G12" s="9"/>
      <c r="H12" s="9"/>
      <c r="I12" s="9"/>
      <c r="J12" s="10"/>
      <c r="K12" s="32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4"/>
    </row>
    <row r="13">
      <c r="A13" s="35" t="s">
        <v>27</v>
      </c>
      <c r="B13" s="36">
        <v>15.0</v>
      </c>
      <c r="C13" s="36">
        <v>6.0</v>
      </c>
      <c r="D13" s="36">
        <v>12.0</v>
      </c>
      <c r="E13" s="36">
        <v>14.0</v>
      </c>
      <c r="F13" s="9"/>
      <c r="G13" s="9"/>
      <c r="H13" s="9"/>
      <c r="I13" s="9"/>
      <c r="J13" s="9"/>
      <c r="K13" s="4"/>
      <c r="L13" s="5" t="s">
        <v>28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6"/>
      <c r="AA13" s="3"/>
    </row>
    <row r="14">
      <c r="A14" s="7"/>
      <c r="B14" s="9"/>
      <c r="C14" s="9"/>
      <c r="D14" s="9"/>
      <c r="E14" s="9"/>
      <c r="F14" s="9"/>
      <c r="G14" s="9"/>
      <c r="H14" s="9"/>
      <c r="I14" s="9"/>
      <c r="J14" s="9"/>
      <c r="K14" s="7"/>
      <c r="L14" s="9"/>
    </row>
    <row r="15" ht="13.5" customHeight="1">
      <c r="A15" s="7"/>
      <c r="B15" s="9"/>
      <c r="C15" s="9"/>
      <c r="D15" s="9"/>
      <c r="E15" s="9"/>
      <c r="F15" s="9"/>
      <c r="G15" s="9"/>
      <c r="H15" s="9"/>
      <c r="I15" s="9"/>
      <c r="J15" s="9"/>
      <c r="K15" s="7"/>
      <c r="L15" s="9"/>
      <c r="S15" s="37" t="s">
        <v>29</v>
      </c>
      <c r="T15" s="38"/>
      <c r="U15" s="38"/>
      <c r="V15" s="39"/>
    </row>
    <row r="16" ht="13.5" customHeight="1">
      <c r="A16" s="7"/>
      <c r="B16" s="40" t="s">
        <v>30</v>
      </c>
      <c r="C16" s="17"/>
      <c r="D16" s="17"/>
      <c r="E16" s="18"/>
      <c r="F16" s="9"/>
      <c r="G16" s="9"/>
      <c r="H16" s="9"/>
      <c r="I16" s="9"/>
      <c r="J16" s="9"/>
      <c r="K16" s="7"/>
      <c r="L16" s="9"/>
      <c r="M16" s="41" t="s">
        <v>31</v>
      </c>
      <c r="N16" s="17"/>
      <c r="O16" s="17"/>
      <c r="P16" s="18"/>
      <c r="Q16" s="9"/>
      <c r="R16" s="9"/>
      <c r="S16" s="42">
        <v>1.0</v>
      </c>
      <c r="T16" s="42">
        <v>0.0</v>
      </c>
      <c r="U16" s="42">
        <v>0.0</v>
      </c>
      <c r="V16" s="42">
        <v>0.0</v>
      </c>
      <c r="W16" s="9"/>
      <c r="X16" s="43" t="s">
        <v>32</v>
      </c>
      <c r="Y16" s="17"/>
      <c r="Z16" s="17"/>
      <c r="AA16" s="44"/>
    </row>
    <row r="17">
      <c r="A17" s="45" t="s">
        <v>33</v>
      </c>
      <c r="B17" s="31">
        <v>6.428571429</v>
      </c>
      <c r="C17" s="31">
        <v>0.4</v>
      </c>
      <c r="D17" s="31">
        <v>45.6</v>
      </c>
      <c r="E17" s="31">
        <v>0.875</v>
      </c>
      <c r="F17" s="9"/>
      <c r="G17" s="9"/>
      <c r="H17" s="9"/>
      <c r="I17" s="9"/>
      <c r="J17" s="9"/>
      <c r="K17" s="7"/>
      <c r="L17" s="9"/>
      <c r="M17" s="12">
        <f>M7</f>
        <v>1.428571429</v>
      </c>
      <c r="N17" s="12">
        <v>0.0</v>
      </c>
      <c r="O17" s="12">
        <v>0.0</v>
      </c>
      <c r="P17" s="12">
        <v>0.0</v>
      </c>
      <c r="Q17" s="9"/>
      <c r="R17" s="9"/>
      <c r="S17" s="42">
        <v>0.0</v>
      </c>
      <c r="T17" s="42">
        <v>1.0</v>
      </c>
      <c r="U17" s="42">
        <v>0.0</v>
      </c>
      <c r="V17" s="42">
        <v>0.0</v>
      </c>
      <c r="W17" s="9"/>
      <c r="X17" s="14">
        <f>X6</f>
        <v>0</v>
      </c>
      <c r="Y17" s="14">
        <v>0.0</v>
      </c>
      <c r="Z17" s="14">
        <v>0.0</v>
      </c>
      <c r="AA17" s="46">
        <v>0.0</v>
      </c>
    </row>
    <row r="18">
      <c r="A18" s="45" t="s">
        <v>34</v>
      </c>
      <c r="B18" s="31">
        <v>21.428571436462157</v>
      </c>
      <c r="C18" s="31">
        <v>1.9999999998828384</v>
      </c>
      <c r="D18" s="31">
        <v>2.4000000000519397</v>
      </c>
      <c r="E18" s="31">
        <v>0.8750000000047727</v>
      </c>
      <c r="F18" s="9"/>
      <c r="G18" s="9"/>
      <c r="H18" s="9"/>
      <c r="I18" s="9"/>
      <c r="J18" s="9"/>
      <c r="K18" s="7"/>
      <c r="L18" s="9"/>
      <c r="M18" s="47">
        <v>0.0</v>
      </c>
      <c r="N18" s="12">
        <f>N7</f>
        <v>0.3333333333</v>
      </c>
      <c r="O18" s="12">
        <v>0.0</v>
      </c>
      <c r="P18" s="12">
        <v>0.0</v>
      </c>
      <c r="Q18" s="9"/>
      <c r="R18" s="9"/>
      <c r="S18" s="42">
        <v>0.0</v>
      </c>
      <c r="T18" s="42">
        <v>0.0</v>
      </c>
      <c r="U18" s="42">
        <v>1.0</v>
      </c>
      <c r="V18" s="42">
        <v>0.0</v>
      </c>
      <c r="W18" s="9"/>
      <c r="X18" s="48">
        <v>0.0</v>
      </c>
      <c r="Y18" s="14">
        <f>X7</f>
        <v>3</v>
      </c>
      <c r="Z18" s="14">
        <v>0.0</v>
      </c>
      <c r="AA18" s="46">
        <v>0.0</v>
      </c>
    </row>
    <row r="19">
      <c r="A19" s="7"/>
      <c r="B19" s="23" t="s">
        <v>35</v>
      </c>
      <c r="C19" s="23"/>
      <c r="D19" s="23"/>
      <c r="E19" s="23"/>
      <c r="F19" s="9"/>
      <c r="G19" s="9"/>
      <c r="H19" s="9"/>
      <c r="I19" s="9"/>
      <c r="J19" s="9"/>
      <c r="K19" s="7"/>
      <c r="L19" s="9"/>
      <c r="M19" s="47">
        <v>0.0</v>
      </c>
      <c r="N19" s="47">
        <v>0.0</v>
      </c>
      <c r="O19" s="12">
        <f>O7</f>
        <v>0.2</v>
      </c>
      <c r="P19" s="12">
        <v>0.0</v>
      </c>
      <c r="Q19" s="9"/>
      <c r="R19" s="9"/>
      <c r="S19" s="42">
        <v>0.0</v>
      </c>
      <c r="T19" s="42">
        <v>0.0</v>
      </c>
      <c r="U19" s="42">
        <v>0.0</v>
      </c>
      <c r="V19" s="42">
        <v>1.0</v>
      </c>
      <c r="W19" s="9"/>
      <c r="X19" s="14">
        <v>0.0</v>
      </c>
      <c r="Y19" s="14">
        <v>0.0</v>
      </c>
      <c r="Z19" s="14">
        <f>X8</f>
        <v>2</v>
      </c>
      <c r="AA19" s="46">
        <v>0.0</v>
      </c>
    </row>
    <row r="20">
      <c r="A20" s="49" t="s">
        <v>19</v>
      </c>
      <c r="B20" s="12">
        <f t="shared" ref="B20:E20" si="1">B17/B13</f>
        <v>0.4285714286</v>
      </c>
      <c r="C20" s="12">
        <f t="shared" si="1"/>
        <v>0.06666666667</v>
      </c>
      <c r="D20" s="12">
        <f t="shared" si="1"/>
        <v>3.8</v>
      </c>
      <c r="E20" s="12">
        <f t="shared" si="1"/>
        <v>0.0625</v>
      </c>
      <c r="F20" s="9"/>
      <c r="G20" s="9"/>
      <c r="H20" s="9"/>
      <c r="I20" s="9"/>
      <c r="J20" s="9"/>
      <c r="K20" s="7"/>
      <c r="L20" s="9"/>
      <c r="M20" s="47">
        <v>0.0</v>
      </c>
      <c r="N20" s="47">
        <v>0.0</v>
      </c>
      <c r="O20" s="47">
        <v>0.0</v>
      </c>
      <c r="P20" s="12">
        <f>P7</f>
        <v>0.0625</v>
      </c>
      <c r="Q20" s="9"/>
      <c r="R20" s="9"/>
      <c r="S20" s="37" t="s">
        <v>36</v>
      </c>
      <c r="T20" s="38"/>
      <c r="U20" s="38"/>
      <c r="V20" s="39"/>
      <c r="W20" s="9"/>
      <c r="X20" s="14">
        <v>0.0</v>
      </c>
      <c r="Y20" s="14">
        <v>0.0</v>
      </c>
      <c r="Z20" s="14">
        <v>0.0</v>
      </c>
      <c r="AA20" s="46">
        <f>X9</f>
        <v>11</v>
      </c>
    </row>
    <row r="21" ht="21.75" customHeight="1">
      <c r="A21" s="50" t="s">
        <v>20</v>
      </c>
      <c r="B21" s="51">
        <v>1.428571429</v>
      </c>
      <c r="C21" s="51">
        <v>0.3333333333</v>
      </c>
      <c r="D21" s="51">
        <v>0.2</v>
      </c>
      <c r="E21" s="51">
        <v>0.0625</v>
      </c>
      <c r="F21" s="9"/>
      <c r="G21" s="9"/>
      <c r="H21" s="9"/>
      <c r="I21" s="9"/>
      <c r="J21" s="9"/>
      <c r="K21" s="7"/>
      <c r="L21" s="9"/>
      <c r="M21" s="9"/>
      <c r="N21" s="9"/>
      <c r="O21" s="9"/>
      <c r="P21" s="9"/>
      <c r="Q21" s="9"/>
      <c r="R21" s="9"/>
      <c r="S21" s="42">
        <f t="shared" ref="S21:V21" si="2">S16-S6</f>
        <v>0.8</v>
      </c>
      <c r="T21" s="42">
        <f t="shared" si="2"/>
        <v>-0.6666666668</v>
      </c>
      <c r="U21" s="42">
        <f t="shared" si="2"/>
        <v>-0.6666666666</v>
      </c>
      <c r="V21" s="42">
        <f t="shared" si="2"/>
        <v>0</v>
      </c>
      <c r="W21" s="9"/>
      <c r="X21" s="20" t="s">
        <v>10</v>
      </c>
      <c r="Y21" s="20" t="s">
        <v>11</v>
      </c>
      <c r="Z21" s="20" t="s">
        <v>12</v>
      </c>
      <c r="AA21" s="52" t="s">
        <v>13</v>
      </c>
    </row>
    <row r="22" ht="15.75" customHeight="1">
      <c r="A22" s="7"/>
      <c r="B22" s="9"/>
      <c r="C22" s="9"/>
      <c r="D22" s="9"/>
      <c r="E22" s="9"/>
      <c r="F22" s="9"/>
      <c r="G22" s="9"/>
      <c r="H22" s="9"/>
      <c r="I22" s="9"/>
      <c r="J22" s="9"/>
      <c r="K22" s="7"/>
      <c r="L22" s="9"/>
      <c r="M22" s="41" t="s">
        <v>37</v>
      </c>
      <c r="N22" s="17"/>
      <c r="O22" s="17"/>
      <c r="P22" s="18"/>
      <c r="Q22" s="9"/>
      <c r="R22" s="9"/>
      <c r="S22" s="42">
        <f t="shared" ref="S22:V22" si="3">S17-S7</f>
        <v>0</v>
      </c>
      <c r="T22" s="42">
        <f t="shared" si="3"/>
        <v>0.8333333333</v>
      </c>
      <c r="U22" s="42">
        <f t="shared" si="3"/>
        <v>-0.08333333333</v>
      </c>
      <c r="V22" s="42">
        <f t="shared" si="3"/>
        <v>-0.07142857143</v>
      </c>
      <c r="W22" s="9"/>
      <c r="X22" s="9"/>
      <c r="Y22" s="9"/>
      <c r="Z22" s="9"/>
      <c r="AA22" s="10"/>
    </row>
    <row r="23" ht="18.75" customHeight="1">
      <c r="A23" s="7"/>
      <c r="B23" s="37" t="s">
        <v>38</v>
      </c>
      <c r="C23" s="38"/>
      <c r="D23" s="38"/>
      <c r="E23" s="39"/>
      <c r="F23" s="9"/>
      <c r="G23" s="9"/>
      <c r="H23" s="9"/>
      <c r="I23" s="9"/>
      <c r="J23" s="9"/>
      <c r="K23" s="7"/>
      <c r="L23" s="9"/>
      <c r="M23" s="12">
        <f>M6</f>
        <v>0.4</v>
      </c>
      <c r="N23" s="12">
        <v>0.0</v>
      </c>
      <c r="O23" s="12">
        <v>0.0</v>
      </c>
      <c r="P23" s="12">
        <v>0.0</v>
      </c>
      <c r="Q23" s="9"/>
      <c r="R23" s="9"/>
      <c r="S23" s="42">
        <f t="shared" ref="S23:V23" si="4">S18-S8</f>
        <v>-0.06666666667</v>
      </c>
      <c r="T23" s="42">
        <f t="shared" si="4"/>
        <v>0</v>
      </c>
      <c r="U23" s="42">
        <f t="shared" si="4"/>
        <v>0.8333333333</v>
      </c>
      <c r="V23" s="42">
        <f t="shared" si="4"/>
        <v>-0.5</v>
      </c>
      <c r="W23" s="9"/>
      <c r="X23" s="9"/>
      <c r="Y23" s="9"/>
      <c r="Z23" s="9"/>
      <c r="AA23" s="10"/>
    </row>
    <row r="24" ht="15.75" customHeight="1">
      <c r="A24" s="53"/>
      <c r="B24" s="42">
        <v>0.06666666667</v>
      </c>
      <c r="C24" s="42">
        <v>0.0</v>
      </c>
      <c r="D24" s="42">
        <v>0.0</v>
      </c>
      <c r="E24" s="42">
        <v>0.0</v>
      </c>
      <c r="F24" s="54"/>
      <c r="G24" s="9"/>
      <c r="H24" s="9"/>
      <c r="I24" s="9"/>
      <c r="J24" s="9"/>
      <c r="K24" s="7"/>
      <c r="L24" s="9"/>
      <c r="M24" s="47">
        <v>0.0</v>
      </c>
      <c r="N24" s="12">
        <f>N6</f>
        <v>0.06666666667</v>
      </c>
      <c r="O24" s="12">
        <v>0.0</v>
      </c>
      <c r="P24" s="12">
        <v>0.0</v>
      </c>
      <c r="Q24" s="9"/>
      <c r="R24" s="9"/>
      <c r="S24" s="42">
        <f t="shared" ref="S24:V24" si="5">S19-S9</f>
        <v>0</v>
      </c>
      <c r="T24" s="42">
        <f t="shared" si="5"/>
        <v>0</v>
      </c>
      <c r="U24" s="42">
        <f t="shared" si="5"/>
        <v>0</v>
      </c>
      <c r="V24" s="42">
        <f t="shared" si="5"/>
        <v>0.7857142857</v>
      </c>
      <c r="W24" s="9"/>
      <c r="X24" s="9"/>
      <c r="Y24" s="9"/>
      <c r="Z24" s="9"/>
      <c r="AA24" s="10"/>
    </row>
    <row r="25" ht="15.75" customHeight="1">
      <c r="A25" s="53"/>
      <c r="B25" s="42">
        <v>0.0</v>
      </c>
      <c r="C25" s="42">
        <v>0.1666666667</v>
      </c>
      <c r="D25" s="42">
        <v>0.0</v>
      </c>
      <c r="E25" s="42">
        <v>0.0</v>
      </c>
      <c r="F25" s="54"/>
      <c r="G25" s="9"/>
      <c r="H25" s="9"/>
      <c r="I25" s="9"/>
      <c r="J25" s="9"/>
      <c r="K25" s="7"/>
      <c r="L25" s="9"/>
      <c r="M25" s="47">
        <v>0.0</v>
      </c>
      <c r="N25" s="47">
        <v>0.0</v>
      </c>
      <c r="O25" s="12">
        <f>O6</f>
        <v>3.8</v>
      </c>
      <c r="P25" s="12">
        <v>0.0</v>
      </c>
      <c r="Q25" s="9"/>
      <c r="R25" s="9"/>
      <c r="S25" s="55" t="s">
        <v>39</v>
      </c>
      <c r="T25" s="55"/>
      <c r="U25" s="55"/>
      <c r="V25" s="55"/>
      <c r="W25" s="9"/>
      <c r="X25" s="9"/>
      <c r="Y25" s="9"/>
      <c r="Z25" s="9"/>
      <c r="AA25" s="10"/>
    </row>
    <row r="26" ht="15.75" customHeight="1">
      <c r="A26" s="7"/>
      <c r="B26" s="42">
        <v>0.0</v>
      </c>
      <c r="C26" s="42">
        <v>0.0</v>
      </c>
      <c r="D26" s="42">
        <v>0.08333333333</v>
      </c>
      <c r="E26" s="42">
        <v>0.0</v>
      </c>
      <c r="F26" s="9"/>
      <c r="G26" s="9"/>
      <c r="H26" s="9"/>
      <c r="I26" s="9"/>
      <c r="J26" s="9"/>
      <c r="K26" s="7"/>
      <c r="L26" s="9"/>
      <c r="M26" s="47">
        <v>0.0</v>
      </c>
      <c r="N26" s="47">
        <v>0.0</v>
      </c>
      <c r="O26" s="47">
        <v>0.0</v>
      </c>
      <c r="P26" s="12">
        <f>P6</f>
        <v>0.0625</v>
      </c>
      <c r="Q26" s="9"/>
      <c r="R26" s="9"/>
      <c r="S26" s="13">
        <f t="array" ref="S26:V29">MINVERSE(S21:V24)</f>
        <v>1.348920863</v>
      </c>
      <c r="T26" s="13">
        <v>1.0791366909085087</v>
      </c>
      <c r="U26" s="13">
        <v>1.1870503596833886</v>
      </c>
      <c r="V26" s="13">
        <v>0.853499018993746</v>
      </c>
      <c r="W26" s="9"/>
      <c r="X26" s="9"/>
      <c r="Y26" s="9"/>
      <c r="Z26" s="9"/>
      <c r="AA26" s="10"/>
    </row>
    <row r="27" ht="15.75" customHeight="1">
      <c r="A27" s="7"/>
      <c r="B27" s="42">
        <v>0.0</v>
      </c>
      <c r="C27" s="42">
        <v>0.0</v>
      </c>
      <c r="D27" s="42">
        <v>0.0</v>
      </c>
      <c r="E27" s="42">
        <v>0.07142857143</v>
      </c>
      <c r="F27" s="9"/>
      <c r="G27" s="9"/>
      <c r="H27" s="9"/>
      <c r="I27" s="9"/>
      <c r="J27" s="9"/>
      <c r="K27" s="7"/>
      <c r="L27" s="9"/>
      <c r="M27" s="9"/>
      <c r="N27" s="9"/>
      <c r="O27" s="9"/>
      <c r="P27" s="9"/>
      <c r="Q27" s="9"/>
      <c r="R27" s="9"/>
      <c r="S27" s="13">
        <v>0.010791366906948397</v>
      </c>
      <c r="T27" s="13">
        <v>1.2086330935756306</v>
      </c>
      <c r="U27" s="13">
        <v>0.12949640287690595</v>
      </c>
      <c r="V27" s="13">
        <v>0.19228253761525557</v>
      </c>
      <c r="W27" s="9"/>
      <c r="X27" s="9"/>
      <c r="Y27" s="9"/>
      <c r="Z27" s="9"/>
      <c r="AA27" s="10"/>
    </row>
    <row r="28" ht="19.5" customHeight="1">
      <c r="A28" s="7"/>
      <c r="B28" s="56" t="s">
        <v>8</v>
      </c>
      <c r="C28" s="38"/>
      <c r="D28" s="38"/>
      <c r="E28" s="39"/>
      <c r="F28" s="9"/>
      <c r="G28" s="9"/>
      <c r="H28" s="9"/>
      <c r="I28" s="9"/>
      <c r="J28" s="9"/>
      <c r="K28" s="7"/>
      <c r="L28" s="9"/>
      <c r="M28" s="9"/>
      <c r="N28" s="9"/>
      <c r="O28" s="9"/>
      <c r="P28" s="9"/>
      <c r="Q28" s="9"/>
      <c r="R28" s="9"/>
      <c r="S28" s="13">
        <v>0.10791366906948398</v>
      </c>
      <c r="T28" s="13">
        <v>0.0863309352763066</v>
      </c>
      <c r="U28" s="13">
        <v>1.2949640287690596</v>
      </c>
      <c r="V28" s="13">
        <v>0.8319162851720598</v>
      </c>
      <c r="W28" s="9"/>
      <c r="X28" s="9"/>
      <c r="Y28" s="9"/>
      <c r="Z28" s="9"/>
      <c r="AA28" s="10"/>
    </row>
    <row r="29" ht="15.75" customHeight="1">
      <c r="A29" s="7"/>
      <c r="B29" s="57">
        <f t="array" ref="B29:E32">MMULT(B7:E10, B24:E27)</f>
        <v>0.2</v>
      </c>
      <c r="C29" s="57">
        <v>0.6666666668</v>
      </c>
      <c r="D29" s="57">
        <v>0.66666666664</v>
      </c>
      <c r="E29" s="57">
        <v>0.0</v>
      </c>
      <c r="F29" s="9"/>
      <c r="G29" s="9"/>
      <c r="H29" s="9"/>
      <c r="I29" s="9"/>
      <c r="J29" s="9"/>
      <c r="K29" s="7"/>
      <c r="L29" s="9"/>
      <c r="M29" s="9"/>
      <c r="N29" s="9"/>
      <c r="O29" s="9"/>
      <c r="P29" s="9"/>
      <c r="Q29" s="9"/>
      <c r="R29" s="9"/>
      <c r="S29" s="13">
        <v>0.0</v>
      </c>
      <c r="T29" s="13">
        <v>0.0</v>
      </c>
      <c r="U29" s="13">
        <v>0.0</v>
      </c>
      <c r="V29" s="13">
        <v>1.272727272734215</v>
      </c>
      <c r="W29" s="9"/>
      <c r="X29" s="9"/>
      <c r="Y29" s="9"/>
      <c r="Z29" s="9"/>
      <c r="AA29" s="10"/>
    </row>
    <row r="30" ht="15.75" customHeight="1">
      <c r="A30" s="7"/>
      <c r="B30" s="57">
        <v>0.0</v>
      </c>
      <c r="C30" s="57">
        <v>0.1666666667</v>
      </c>
      <c r="D30" s="57">
        <v>0.08333333333</v>
      </c>
      <c r="E30" s="57">
        <v>0.07142857143</v>
      </c>
      <c r="F30" s="9"/>
      <c r="G30" s="9"/>
      <c r="H30" s="9"/>
      <c r="I30" s="9"/>
      <c r="J30" s="9"/>
      <c r="K30" s="7"/>
      <c r="L30" s="9"/>
      <c r="M30" s="9"/>
      <c r="N30" s="9"/>
      <c r="O30" s="9"/>
      <c r="P30" s="9"/>
      <c r="Q30" s="9"/>
      <c r="R30" s="9"/>
      <c r="W30" s="9"/>
      <c r="X30" s="9"/>
      <c r="Y30" s="9"/>
      <c r="Z30" s="9"/>
      <c r="AA30" s="10"/>
    </row>
    <row r="31" ht="15.75" customHeight="1">
      <c r="A31" s="7"/>
      <c r="B31" s="57">
        <v>0.06666666667</v>
      </c>
      <c r="C31" s="57">
        <v>0.0</v>
      </c>
      <c r="D31" s="57">
        <v>0.16666666666</v>
      </c>
      <c r="E31" s="57">
        <v>0.50000000001</v>
      </c>
      <c r="F31" s="9"/>
      <c r="G31" s="9"/>
      <c r="H31" s="9"/>
      <c r="I31" s="9"/>
      <c r="J31" s="9"/>
      <c r="K31" s="7"/>
      <c r="L31" s="58" t="s">
        <v>40</v>
      </c>
      <c r="Q31" s="9"/>
      <c r="R31" s="9"/>
      <c r="S31" s="58" t="s">
        <v>41</v>
      </c>
      <c r="X31" s="9"/>
      <c r="Y31" s="9"/>
      <c r="Z31" s="9"/>
      <c r="AA31" s="10"/>
    </row>
    <row r="32" ht="15.75" customHeight="1">
      <c r="A32" s="32"/>
      <c r="B32" s="59">
        <v>0.0</v>
      </c>
      <c r="C32" s="59">
        <v>0.0</v>
      </c>
      <c r="D32" s="59">
        <v>0.0</v>
      </c>
      <c r="E32" s="59">
        <v>0.21428571429</v>
      </c>
      <c r="F32" s="33"/>
      <c r="G32" s="33"/>
      <c r="H32" s="33"/>
      <c r="I32" s="33"/>
      <c r="J32" s="33"/>
      <c r="K32" s="7"/>
      <c r="L32" s="60" t="s">
        <v>42</v>
      </c>
      <c r="M32" s="17"/>
      <c r="N32" s="17"/>
      <c r="O32" s="17"/>
      <c r="P32" s="18"/>
      <c r="Q32" s="61" t="s">
        <v>43</v>
      </c>
      <c r="R32" s="54"/>
      <c r="S32" s="60" t="s">
        <v>44</v>
      </c>
      <c r="T32" s="17"/>
      <c r="U32" s="17"/>
      <c r="V32" s="17"/>
      <c r="W32" s="18"/>
      <c r="X32" s="61" t="s">
        <v>43</v>
      </c>
      <c r="Y32" s="9"/>
      <c r="Z32" s="9"/>
      <c r="AA32" s="10"/>
    </row>
    <row r="33" ht="15.75" customHeight="1">
      <c r="K33" s="7"/>
      <c r="L33" s="62" t="s">
        <v>10</v>
      </c>
      <c r="M33" s="63">
        <f t="array" ref="M33:P36">(MMULT(MMULT(M17:P20,S26:V29),X17:AA20))</f>
        <v>0</v>
      </c>
      <c r="N33" s="63">
        <v>4.624871533852499</v>
      </c>
      <c r="O33" s="63">
        <v>3.391572457255725</v>
      </c>
      <c r="P33" s="63">
        <v>13.412127445353933</v>
      </c>
      <c r="Q33" s="64">
        <f t="shared" ref="Q33:Q36" si="6">SUM(M33:P33)</f>
        <v>21.42857144</v>
      </c>
      <c r="R33" s="54" t="s">
        <v>45</v>
      </c>
      <c r="S33" s="62" t="s">
        <v>10</v>
      </c>
      <c r="T33" s="63">
        <f t="array" ref="T33:W36">MMULT(MMULT(M23:P26,S26:V29),X17:AA20)</f>
        <v>0</v>
      </c>
      <c r="U33" s="63">
        <v>1.2949640290902105</v>
      </c>
      <c r="V33" s="63">
        <v>0.9496402877467109</v>
      </c>
      <c r="W33" s="63">
        <v>3.7553956835724827</v>
      </c>
      <c r="X33" s="64">
        <f t="shared" ref="X33:X36" si="7">SUM(T33:W33)</f>
        <v>6</v>
      </c>
      <c r="Y33" s="62" t="s">
        <v>10</v>
      </c>
      <c r="Z33" s="9"/>
      <c r="AA33" s="10"/>
    </row>
    <row r="34" ht="15.75" customHeight="1">
      <c r="K34" s="7"/>
      <c r="L34" s="62" t="s">
        <v>11</v>
      </c>
      <c r="M34" s="63">
        <v>0.0</v>
      </c>
      <c r="N34" s="63">
        <v>1.2086330934547673</v>
      </c>
      <c r="O34" s="63">
        <v>0.08633093524263753</v>
      </c>
      <c r="P34" s="63">
        <v>0.7050359711854335</v>
      </c>
      <c r="Q34" s="64">
        <f t="shared" si="6"/>
        <v>2</v>
      </c>
      <c r="R34" s="54"/>
      <c r="S34" s="62" t="s">
        <v>11</v>
      </c>
      <c r="T34" s="63">
        <v>0.0</v>
      </c>
      <c r="U34" s="63">
        <v>0.24172661871512613</v>
      </c>
      <c r="V34" s="63">
        <v>0.017266187050254126</v>
      </c>
      <c r="W34" s="63">
        <v>0.1410071942511874</v>
      </c>
      <c r="X34" s="64">
        <f t="shared" si="7"/>
        <v>0.4</v>
      </c>
      <c r="Y34" s="62" t="s">
        <v>11</v>
      </c>
      <c r="Z34" s="9"/>
      <c r="AA34" s="10"/>
    </row>
    <row r="35" ht="15.75" customHeight="1">
      <c r="K35" s="7"/>
      <c r="L35" s="62" t="s">
        <v>12</v>
      </c>
      <c r="M35" s="63">
        <v>0.0</v>
      </c>
      <c r="N35" s="63">
        <v>0.05179856116578396</v>
      </c>
      <c r="O35" s="63">
        <v>0.5179856115076239</v>
      </c>
      <c r="P35" s="63">
        <v>1.8302158273785318</v>
      </c>
      <c r="Q35" s="64">
        <f t="shared" si="6"/>
        <v>2.4</v>
      </c>
      <c r="R35" s="54"/>
      <c r="S35" s="62" t="s">
        <v>12</v>
      </c>
      <c r="T35" s="63">
        <v>0.0</v>
      </c>
      <c r="U35" s="63">
        <v>0.9841726621498954</v>
      </c>
      <c r="V35" s="63">
        <v>9.841726618644854</v>
      </c>
      <c r="W35" s="63">
        <v>34.7741007201921</v>
      </c>
      <c r="X35" s="64">
        <f t="shared" si="7"/>
        <v>45.6</v>
      </c>
      <c r="Y35" s="62" t="s">
        <v>12</v>
      </c>
      <c r="Z35" s="9"/>
      <c r="AA35" s="10"/>
    </row>
    <row r="36" ht="15.75" customHeight="1">
      <c r="K36" s="7"/>
      <c r="L36" s="62" t="s">
        <v>13</v>
      </c>
      <c r="M36" s="63">
        <v>0.0</v>
      </c>
      <c r="N36" s="63">
        <v>0.0</v>
      </c>
      <c r="O36" s="63">
        <v>0.0</v>
      </c>
      <c r="P36" s="63">
        <v>0.8750000000047727</v>
      </c>
      <c r="Q36" s="64">
        <f t="shared" si="6"/>
        <v>0.875</v>
      </c>
      <c r="R36" s="54"/>
      <c r="S36" s="62" t="s">
        <v>13</v>
      </c>
      <c r="T36" s="63">
        <v>0.0</v>
      </c>
      <c r="U36" s="63">
        <v>0.0</v>
      </c>
      <c r="V36" s="63">
        <v>0.0</v>
      </c>
      <c r="W36" s="63">
        <v>0.8750000000047727</v>
      </c>
      <c r="X36" s="64">
        <f t="shared" si="7"/>
        <v>0.875</v>
      </c>
      <c r="Y36" s="62" t="s">
        <v>13</v>
      </c>
      <c r="Z36" s="9"/>
      <c r="AA36" s="10"/>
    </row>
    <row r="37" ht="15.75" customHeight="1">
      <c r="B37" s="65"/>
      <c r="C37" s="66"/>
      <c r="D37" s="66"/>
      <c r="E37" s="67"/>
      <c r="K37" s="7"/>
      <c r="L37" s="9"/>
      <c r="M37" s="62" t="s">
        <v>10</v>
      </c>
      <c r="N37" s="62" t="s">
        <v>11</v>
      </c>
      <c r="O37" s="62" t="s">
        <v>12</v>
      </c>
      <c r="P37" s="62" t="s">
        <v>13</v>
      </c>
      <c r="Q37" s="9"/>
      <c r="R37" s="9"/>
      <c r="S37" s="9"/>
      <c r="T37" s="62" t="s">
        <v>10</v>
      </c>
      <c r="U37" s="62" t="s">
        <v>11</v>
      </c>
      <c r="V37" s="62" t="s">
        <v>12</v>
      </c>
      <c r="W37" s="62" t="s">
        <v>13</v>
      </c>
      <c r="X37" s="62"/>
      <c r="Y37" s="9"/>
      <c r="Z37" s="9"/>
      <c r="AA37" s="10"/>
    </row>
    <row r="38" ht="15.75" customHeight="1">
      <c r="B38" s="68"/>
      <c r="C38" s="68"/>
      <c r="D38" s="68"/>
      <c r="E38" s="68"/>
      <c r="K38" s="7"/>
      <c r="L38" s="69" t="s">
        <v>46</v>
      </c>
      <c r="M38" s="14">
        <f t="shared" ref="M38:P38" si="8">SUM(M33:M36)</f>
        <v>0</v>
      </c>
      <c r="N38" s="14">
        <f t="shared" si="8"/>
        <v>5.885303188</v>
      </c>
      <c r="O38" s="14">
        <f t="shared" si="8"/>
        <v>3.995889004</v>
      </c>
      <c r="P38" s="14">
        <f t="shared" si="8"/>
        <v>16.82237924</v>
      </c>
      <c r="Q38" s="9"/>
      <c r="R38" s="9"/>
      <c r="S38" s="69" t="s">
        <v>46</v>
      </c>
      <c r="T38" s="14">
        <f t="shared" ref="T38:W38" si="9">SUM(T33:T36)</f>
        <v>0</v>
      </c>
      <c r="U38" s="14">
        <f t="shared" si="9"/>
        <v>2.52086331</v>
      </c>
      <c r="V38" s="14">
        <f t="shared" si="9"/>
        <v>10.80863309</v>
      </c>
      <c r="W38" s="14">
        <f t="shared" si="9"/>
        <v>39.5455036</v>
      </c>
      <c r="X38" s="9"/>
      <c r="Y38" s="9"/>
      <c r="Z38" s="9"/>
      <c r="AA38" s="10"/>
    </row>
    <row r="39" ht="15.75" customHeight="1">
      <c r="B39" s="68"/>
      <c r="C39" s="68"/>
      <c r="D39" s="68"/>
      <c r="E39" s="68"/>
      <c r="K39" s="32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4"/>
    </row>
    <row r="40" ht="15.75" customHeight="1">
      <c r="B40" s="68"/>
      <c r="C40" s="68"/>
      <c r="D40" s="68"/>
      <c r="E40" s="68"/>
    </row>
    <row r="41" ht="15.75" customHeight="1">
      <c r="B41" s="68"/>
      <c r="C41" s="68"/>
      <c r="D41" s="68"/>
      <c r="E41" s="68"/>
    </row>
    <row r="42" ht="15.75" customHeight="1">
      <c r="B42" s="65"/>
      <c r="C42" s="66"/>
      <c r="D42" s="66"/>
      <c r="E42" s="67"/>
    </row>
    <row r="43" ht="15.75" customHeight="1">
      <c r="B43" s="68"/>
      <c r="C43" s="68"/>
      <c r="D43" s="68"/>
      <c r="E43" s="68"/>
    </row>
    <row r="44" ht="15.75" customHeight="1">
      <c r="B44" s="68"/>
      <c r="C44" s="68"/>
      <c r="D44" s="68"/>
      <c r="E44" s="68"/>
    </row>
    <row r="45" ht="15.75" customHeight="1">
      <c r="B45" s="68"/>
      <c r="C45" s="68"/>
      <c r="D45" s="68"/>
      <c r="E45" s="68"/>
    </row>
    <row r="46" ht="15.75" customHeight="1">
      <c r="B46" s="68"/>
      <c r="C46" s="68"/>
      <c r="D46" s="68"/>
      <c r="E46" s="68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M22:P22"/>
    <mergeCell ref="B23:E23"/>
    <mergeCell ref="B28:E28"/>
    <mergeCell ref="L31:P31"/>
    <mergeCell ref="S31:W31"/>
    <mergeCell ref="S20:V20"/>
    <mergeCell ref="S32:W32"/>
    <mergeCell ref="L32:P32"/>
    <mergeCell ref="A1:I1"/>
    <mergeCell ref="B2:F2"/>
    <mergeCell ref="L1:Y1"/>
    <mergeCell ref="M5:P5"/>
    <mergeCell ref="L13:Y13"/>
    <mergeCell ref="B16:E16"/>
    <mergeCell ref="M16:P16"/>
    <mergeCell ref="X16:AA16"/>
    <mergeCell ref="S15:V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Simon Graf</dc:creator>
</cp:coreProperties>
</file>