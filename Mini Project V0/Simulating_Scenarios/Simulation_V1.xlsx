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Scenarios and Results" sheetId="2" r:id="rId6"/>
    <sheet state="visible" name="Simulation_AT" sheetId="3" r:id="rId7"/>
  </sheets>
  <definedNames/>
  <calcPr/>
</workbook>
</file>

<file path=xl/sharedStrings.xml><?xml version="1.0" encoding="utf-8"?>
<sst xmlns="http://schemas.openxmlformats.org/spreadsheetml/2006/main" count="984" uniqueCount="223">
  <si>
    <r>
      <rPr>
        <rFont val="Arial"/>
        <b/>
        <color theme="1"/>
        <sz val="15.0"/>
      </rPr>
      <t xml:space="preserve">Variables for Scenarios: </t>
    </r>
    <r>
      <rPr>
        <rFont val="Arial"/>
        <b val="0"/>
        <color theme="1"/>
        <sz val="15.0"/>
      </rPr>
      <t>Austria domestic economy changes, imports change, rest of the world stays the same</t>
    </r>
  </si>
  <si>
    <t>Measure</t>
  </si>
  <si>
    <t>Slider Value</t>
  </si>
  <si>
    <t>Applied in</t>
  </si>
  <si>
    <t>Description</t>
  </si>
  <si>
    <t>2019 Slider [--1,1]</t>
  </si>
  <si>
    <t>Meat vs Plant Demand</t>
  </si>
  <si>
    <t>Y</t>
  </si>
  <si>
    <t>Y_Dom &amp; Import of Meat vs Plant products</t>
  </si>
  <si>
    <t>Mixed_Food_Products_Demand (Pizza etc.)</t>
  </si>
  <si>
    <t>Y_Dom &amp; Import of "Other Food processing"</t>
  </si>
  <si>
    <t>Mixed_Food_Production (Pizza, Snickers,..)</t>
  </si>
  <si>
    <t>A</t>
  </si>
  <si>
    <t>inputs composition change of "Other food processing" AT of domsestic and import structure</t>
  </si>
  <si>
    <t>Retailer_Supply</t>
  </si>
  <si>
    <t>inputs composition change of "Trade, transport and utilities" (contains retail sector) of Meat vs Plant products in  AT of domsestic and import structure</t>
  </si>
  <si>
    <t>Service_Supply</t>
  </si>
  <si>
    <t>inputs composition change of "Services" of Meat vs Plant products in AT of domsestic and import structure</t>
  </si>
  <si>
    <t>Resteraunt_Supply</t>
  </si>
  <si>
    <t>inputs composition change of "Hotels and Resteraunts" of Meat vs Plant products in AT of domsestic and import structure</t>
  </si>
  <si>
    <t>Fertelizer</t>
  </si>
  <si>
    <t>inputs composition change of "Manufacturing fertilisers", less mining more food waste in AT of domsestic and import structure</t>
  </si>
  <si>
    <t>Fertelizer_Usage</t>
  </si>
  <si>
    <t>inputs composition change of "Manufacturing fertilisers", less fertilizer inputs into plant and animal agri in AT of domsestic and import structure</t>
  </si>
  <si>
    <t>Agricultural_Technology</t>
  </si>
  <si>
    <t>E</t>
  </si>
  <si>
    <t>GHG Multipliers related to Comustion change in all the agricultureal sectors in AT</t>
  </si>
  <si>
    <t>Animal_Manure</t>
  </si>
  <si>
    <t>GHG Multipliers of Animal Husbandry Metane Emissions.</t>
  </si>
  <si>
    <t>Infrastructure_Inputs</t>
  </si>
  <si>
    <t>inputs composition change of Agriculture. Plant means, more investment of inudtry and services into plant agri. Meat shifts industry inputs toward meat agri.</t>
  </si>
  <si>
    <t>Simulation Inputs - Aggreageted data for E, A and Y</t>
  </si>
  <si>
    <t>Domestic Consumption of Austrian Production</t>
  </si>
  <si>
    <t>ROW Consumption of ROW Production</t>
  </si>
  <si>
    <t>Exports from Austria to Rest of the World</t>
  </si>
  <si>
    <t>Imports of Austria from Rest of the World</t>
  </si>
  <si>
    <t>Absolute final demand (needed for calculating the technology matrix)</t>
  </si>
  <si>
    <r>
      <rPr>
        <rFont val="Arial"/>
        <b/>
        <color theme="1"/>
        <sz val="15.0"/>
      </rPr>
      <t xml:space="preserve">Variables for Scenarios: </t>
    </r>
    <r>
      <rPr>
        <rFont val="Arial"/>
        <b val="0"/>
        <color theme="1"/>
        <sz val="15.0"/>
      </rPr>
      <t>Austria domestic economy changes, imports change, rest of the world stays the same</t>
    </r>
  </si>
  <si>
    <t>Technology Matrix A (Inputs)</t>
  </si>
  <si>
    <t>AT</t>
  </si>
  <si>
    <t>World_but_AT</t>
  </si>
  <si>
    <t>Y_Domestic</t>
  </si>
  <si>
    <t>Y_Exports</t>
  </si>
  <si>
    <t>Final Demand (Inputs)</t>
  </si>
  <si>
    <t>SuperRegion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</si>
  <si>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</si>
  <si>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</si>
  <si>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</si>
  <si>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</si>
  <si>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</si>
  <si>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</si>
  <si>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</si>
  <si>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Y_AT</t>
  </si>
  <si>
    <t>Y_WBA</t>
  </si>
  <si>
    <t>Y_A_WBA</t>
  </si>
  <si>
    <t>Y_WBA_A</t>
  </si>
  <si>
    <t>Y_Total Demand</t>
  </si>
  <si>
    <t>Aggregated_Sector</t>
  </si>
  <si>
    <t>Plant cultivation</t>
  </si>
  <si>
    <t>Plant processing</t>
  </si>
  <si>
    <t>Animal husbandry</t>
  </si>
  <si>
    <t>Animal processing</t>
  </si>
  <si>
    <t>Other food processing</t>
  </si>
  <si>
    <t>Food waste and reuse</t>
  </si>
  <si>
    <t>Mining and forestry</t>
  </si>
  <si>
    <t>Manufacturing and construction</t>
  </si>
  <si>
    <t>Manufacturing fertilisers</t>
  </si>
  <si>
    <t>Trade, transport and utilities</t>
  </si>
  <si>
    <t>Services</t>
  </si>
  <si>
    <t>Waste</t>
  </si>
  <si>
    <t>Water</t>
  </si>
  <si>
    <t>Hotels and Resteraunts</t>
  </si>
  <si>
    <t>Y_Dom of "Other Food processing"</t>
  </si>
  <si>
    <t>Meat Export</t>
  </si>
  <si>
    <t>Meat export is multiplyed by AZ27, such that undustry response can be simulated when domestic consumption goes down</t>
  </si>
  <si>
    <t>Additional Slider_1</t>
  </si>
  <si>
    <t>Additional Slider_2</t>
  </si>
  <si>
    <t>Additional Slider_3</t>
  </si>
  <si>
    <t>Environmental Coefficient E (g/$) (INPUTS)</t>
  </si>
  <si>
    <t>Additional Slider_4</t>
  </si>
  <si>
    <t>CO2</t>
  </si>
  <si>
    <t>CH4 Fossil (CO2 eq)</t>
  </si>
  <si>
    <t>CH4 non-fossil (CO2 eq)</t>
  </si>
  <si>
    <t>NO2 (CO2 eq)</t>
  </si>
  <si>
    <t>SF6 (CO2 eq)</t>
  </si>
  <si>
    <t>Total (CO2 eq)</t>
  </si>
  <si>
    <t>Plants (4-16)</t>
  </si>
  <si>
    <t>Feed (17-19)</t>
  </si>
  <si>
    <t>Forestry (20-22)</t>
  </si>
  <si>
    <t>Fish (23-25)</t>
  </si>
  <si>
    <t>Fossil fuels (26-35)</t>
  </si>
  <si>
    <t>Metallic (36-50)</t>
  </si>
  <si>
    <t>Non-metallic (51-64)</t>
  </si>
  <si>
    <t>Total material</t>
  </si>
  <si>
    <t>Simulated A Matrix</t>
  </si>
  <si>
    <t>Final Demand Y</t>
  </si>
  <si>
    <t>X_Total Output</t>
  </si>
  <si>
    <t>Environmental Coefficient E (Simulated)</t>
  </si>
  <si>
    <t>multiplyer</t>
  </si>
  <si>
    <t>Simulation L Pipeline</t>
  </si>
  <si>
    <t>Simulation GHG Pipeline</t>
  </si>
  <si>
    <t>Simulation Mass Plants Pipeline</t>
  </si>
  <si>
    <t>Simulation Mass Feed Pipeline</t>
  </si>
  <si>
    <t>1/x hat Matrix</t>
  </si>
  <si>
    <t>E-hat GHG (Simulated)</t>
  </si>
  <si>
    <t>E-hat Mass (Plants)  (Simulated)</t>
  </si>
  <si>
    <t>E-hat Mass (Feed)  (Simulated)</t>
  </si>
  <si>
    <t>Identity Matrix 1</t>
  </si>
  <si>
    <t>E_hat_GHG*L*Y_Domestic_hat  (Simulated)</t>
  </si>
  <si>
    <t>AT Domestic Y</t>
  </si>
  <si>
    <t>ROW Domestic Y</t>
  </si>
  <si>
    <t>E_hat_Mat*L*Y_hat (Plants)  (Simulated)</t>
  </si>
  <si>
    <t>E_hat_Mat*L*Y_hat (Feed)  (Simulated)</t>
  </si>
  <si>
    <t>Plant cultivation_AT_f</t>
  </si>
  <si>
    <t>Plant processing_AT_f</t>
  </si>
  <si>
    <t>Animal husbandry_AT_f</t>
  </si>
  <si>
    <t>Animal processing_AT_f</t>
  </si>
  <si>
    <t>Other food processing_AT_f</t>
  </si>
  <si>
    <t>Food waste and reuse_AT_f</t>
  </si>
  <si>
    <t>Mining and forestry_AT_f</t>
  </si>
  <si>
    <t>Manufacturing and construction_AT_f</t>
  </si>
  <si>
    <t>Manufacturing fertilisers_AT_f</t>
  </si>
  <si>
    <t>Trade, transport and utilities_AT_f</t>
  </si>
  <si>
    <t>Services_AT_f</t>
  </si>
  <si>
    <t>Waste_AT_f</t>
  </si>
  <si>
    <t>Water_AT_f</t>
  </si>
  <si>
    <t>Hotels and Resteraunts_AT_f</t>
  </si>
  <si>
    <t>Plant cultivation_ROW_f</t>
  </si>
  <si>
    <t>Plant processing_ROW_f</t>
  </si>
  <si>
    <t>Animal husbandry_ROW_f</t>
  </si>
  <si>
    <t>Animal processing_ROW_f</t>
  </si>
  <si>
    <t>Other food processing_ROW_f</t>
  </si>
  <si>
    <t>Food waste and reuse_ROW_f</t>
  </si>
  <si>
    <t>Mining and forestry_ROW_f</t>
  </si>
  <si>
    <t>Manufacturing and construction_ROW_f</t>
  </si>
  <si>
    <t>Manufacturing fertilisers_ROW_f</t>
  </si>
  <si>
    <t>Trade, transport and utilities_ROW_f</t>
  </si>
  <si>
    <t>Services_ROW_f</t>
  </si>
  <si>
    <t>Waste_ROW_f</t>
  </si>
  <si>
    <t>Water_ROW_f</t>
  </si>
  <si>
    <t>Hotels and Resteraunts_ROW_f</t>
  </si>
  <si>
    <t>GHG X Domestic</t>
  </si>
  <si>
    <t>Direct output</t>
  </si>
  <si>
    <t>Plant cultivation_AT_p</t>
  </si>
  <si>
    <t>Plant processing_AT_p</t>
  </si>
  <si>
    <t>Animal husbandry_AT_p</t>
  </si>
  <si>
    <t>Animal processing_AT_p</t>
  </si>
  <si>
    <t>Other food processing_AT_p</t>
  </si>
  <si>
    <t>Food waste and reuse_AT_p</t>
  </si>
  <si>
    <t>Mining and forestry_AT_p</t>
  </si>
  <si>
    <t>Manufacturing and construction_AT_p</t>
  </si>
  <si>
    <t>Manufacturing fertilisers_AT_p</t>
  </si>
  <si>
    <t>Trade, transport and utilities_AT_p</t>
  </si>
  <si>
    <t>Services_AT_p</t>
  </si>
  <si>
    <t>Waste_AT_p</t>
  </si>
  <si>
    <t>Water_AT_p</t>
  </si>
  <si>
    <t>Hotels and Resteraunts_AT_p</t>
  </si>
  <si>
    <t>Plant cultivation_ROW_p</t>
  </si>
  <si>
    <t>Plant processing_ROW_p</t>
  </si>
  <si>
    <t>Animal husbandry_ROW_p</t>
  </si>
  <si>
    <t>Animal processing_ROW_p</t>
  </si>
  <si>
    <t>Other food processing_ROW_p</t>
  </si>
  <si>
    <t>Food waste and reuse_ROW_p</t>
  </si>
  <si>
    <t>Mining and forestry_ROW_p</t>
  </si>
  <si>
    <t>Manufacturing and construction_ROW_p</t>
  </si>
  <si>
    <t>Manufacturing fertilisers_ROW_p</t>
  </si>
  <si>
    <t>Trade, transport and utilities_ROW_p</t>
  </si>
  <si>
    <t>Services_ROW_p</t>
  </si>
  <si>
    <t>Waste_ROW_p</t>
  </si>
  <si>
    <t>Water_ROW_p</t>
  </si>
  <si>
    <t>Hotels and Resteraunts_ROW_p</t>
  </si>
  <si>
    <t>1-A</t>
  </si>
  <si>
    <t>Footprint_Y_Domestic</t>
  </si>
  <si>
    <t>Footprint</t>
  </si>
  <si>
    <t>E_hat_GHG*L*Y_Export_hat  (Simulated)</t>
  </si>
  <si>
    <t>AT Exports to ROW</t>
  </si>
  <si>
    <t>ROW Exports to AT</t>
  </si>
  <si>
    <t>GHG X Export</t>
  </si>
  <si>
    <t>Simulated L Matrix</t>
  </si>
  <si>
    <t>Leontif Inverse Matrix L (Simulated)</t>
  </si>
  <si>
    <t>Footprint_Y_Export</t>
  </si>
  <si>
    <t>Simulations Results for GHG Emissions and GDP</t>
  </si>
  <si>
    <t>Simulation:</t>
  </si>
  <si>
    <t>Reference:</t>
  </si>
  <si>
    <t>Footprint_Y_Domestic_2019</t>
  </si>
  <si>
    <t>Footprint_Y_Exports</t>
  </si>
  <si>
    <t>Footprint_Y_Exports_2019</t>
  </si>
  <si>
    <t>Direct Output_X_Domestic</t>
  </si>
  <si>
    <t>Direct Output_X_Domestic_2019</t>
  </si>
  <si>
    <t>Direct Output_X_Exports</t>
  </si>
  <si>
    <t>Direct Output_X_Exports_2019</t>
  </si>
  <si>
    <r>
      <rPr>
        <rFont val="Arial"/>
        <b/>
        <color theme="1"/>
      </rPr>
      <t>AT Agriculture</t>
    </r>
    <r>
      <rPr>
        <rFont val="Arial"/>
        <color theme="1"/>
      </rPr>
      <t xml:space="preserve"> (Domestic Consumption GHG Footprint and Domestic Production Emissions)</t>
    </r>
  </si>
  <si>
    <r>
      <rPr>
        <rFont val="Arial"/>
        <b/>
        <color theme="1"/>
      </rPr>
      <t xml:space="preserve">World_but_AT Agriculture </t>
    </r>
    <r>
      <rPr>
        <rFont val="Arial"/>
        <color theme="1"/>
      </rPr>
      <t>(Exports and Imports to Austria)</t>
    </r>
  </si>
  <si>
    <t>Plant cultivation_ROW</t>
  </si>
  <si>
    <t>Plant processing_ROW</t>
  </si>
  <si>
    <t>Animal husbandry_ROW</t>
  </si>
  <si>
    <t>Animal processing_ROW</t>
  </si>
  <si>
    <t>Other food processing_ROW</t>
  </si>
  <si>
    <t>Food waste and reuse_ROW</t>
  </si>
  <si>
    <t>Industry</t>
  </si>
  <si>
    <t>Agriclture</t>
  </si>
  <si>
    <t>Agri_Footprint_Y_AT</t>
  </si>
  <si>
    <t>Footprint_Y_AT</t>
  </si>
  <si>
    <t>Agri_Footprint_Y_AT_2019</t>
  </si>
  <si>
    <t>Footprint_Y_AT_2019</t>
  </si>
  <si>
    <t>Agri_Direct Output_X_AT</t>
  </si>
  <si>
    <t>Output_X_AT</t>
  </si>
  <si>
    <t>Agri_Direct Output_X_AT_2019</t>
  </si>
  <si>
    <t>Output_X_AT_2019</t>
  </si>
  <si>
    <t>Y_Domestic_hat Matrix (Simulation)</t>
  </si>
  <si>
    <t>GDP AT</t>
  </si>
  <si>
    <t xml:space="preserve">Value Added (Simulated) </t>
  </si>
  <si>
    <t>GDP Simulation</t>
  </si>
  <si>
    <t>Value Added Original</t>
  </si>
  <si>
    <t>GDP AT_2019</t>
  </si>
  <si>
    <t>Y_Exports_hat Matrix (Simulation)</t>
  </si>
  <si>
    <t>Simulated Z, Y and X and GDP</t>
  </si>
  <si>
    <t>Y_Region</t>
  </si>
  <si>
    <t>Value Added</t>
  </si>
  <si>
    <t>GDP</t>
  </si>
  <si>
    <t>"X_Total_Output=L*Y_Total_Demand"</t>
  </si>
  <si>
    <t>Sum Inter-Industry Input</t>
  </si>
  <si>
    <t>X_Total Industry Input (Output)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</si>
</sst>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5.0"/>
      <color theme="1"/>
      <name val="Arial"/>
      <scheme val="minor"/>
    </font>
    <font>
      <b/>
      <sz val="11.0"/>
      <color theme="1"/>
      <name val="Calibri"/>
    </font>
    <font>
      <b/>
      <color theme="1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/>
    <font>
      <color theme="1"/>
      <name val="Arial"/>
    </font>
    <font>
      <b/>
      <sz val="14.0"/>
      <color theme="1"/>
      <name val="Arial"/>
      <scheme val="minor"/>
    </font>
  </fonts>
  <fills count="35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theme="0"/>
        <bgColor theme="0"/>
      </patternFill>
    </fill>
    <fill>
      <patternFill patternType="solid">
        <fgColor rgb="FFE68484"/>
        <bgColor rgb="FFE68484"/>
      </patternFill>
    </fill>
    <fill>
      <patternFill patternType="solid">
        <fgColor rgb="FFF4B083"/>
        <bgColor rgb="FFF4B083"/>
      </patternFill>
    </fill>
    <fill>
      <patternFill patternType="solid">
        <fgColor rgb="FFD5A6BD"/>
        <bgColor rgb="FFD5A6BD"/>
      </patternFill>
    </fill>
    <fill>
      <patternFill patternType="solid">
        <fgColor rgb="FFFFF2CC"/>
        <bgColor rgb="FFFFF2CC"/>
      </patternFill>
    </fill>
    <fill>
      <patternFill patternType="solid">
        <fgColor rgb="FFA8DCC3"/>
        <bgColor rgb="FFA8DCC3"/>
      </patternFill>
    </fill>
    <fill>
      <patternFill patternType="solid">
        <fgColor rgb="FFE5F5ED"/>
        <bgColor rgb="FFE5F5ED"/>
      </patternFill>
    </fill>
    <fill>
      <patternFill patternType="solid">
        <fgColor rgb="FFF9FDFB"/>
        <bgColor rgb="FFF9FDFB"/>
      </patternFill>
    </fill>
    <fill>
      <patternFill patternType="solid">
        <fgColor rgb="FFFDFFFE"/>
        <bgColor rgb="FFFDFFFE"/>
      </patternFill>
    </fill>
    <fill>
      <patternFill patternType="solid">
        <fgColor rgb="FFC8DDF1"/>
        <bgColor rgb="FFC8DDF1"/>
      </patternFill>
    </fill>
    <fill>
      <patternFill patternType="solid">
        <fgColor rgb="FFFEFEFF"/>
        <bgColor rgb="FFFEFEFF"/>
      </patternFill>
    </fill>
    <fill>
      <patternFill patternType="solid">
        <fgColor rgb="FFCEE2F3"/>
        <bgColor rgb="FFCEE2F3"/>
      </patternFill>
    </fill>
    <fill>
      <patternFill patternType="solid">
        <fgColor rgb="FFC5DCF0"/>
        <bgColor rgb="FFC5DCF0"/>
      </patternFill>
    </fill>
    <fill>
      <patternFill patternType="solid">
        <fgColor rgb="FFF7CAAC"/>
        <bgColor rgb="FFF7CAAC"/>
      </patternFill>
    </fill>
    <fill>
      <patternFill patternType="solid">
        <fgColor rgb="FFC4D59B"/>
        <bgColor rgb="FFC4D59B"/>
      </patternFill>
    </fill>
    <fill>
      <patternFill patternType="solid">
        <fgColor rgb="FFFED6D6"/>
        <bgColor rgb="FFFED6D6"/>
      </patternFill>
    </fill>
    <fill>
      <patternFill patternType="solid">
        <fgColor rgb="FFA5DBC1"/>
        <bgColor rgb="FFA5DBC1"/>
      </patternFill>
    </fill>
    <fill>
      <patternFill patternType="solid">
        <fgColor rgb="FFF7FCFA"/>
        <bgColor rgb="FFF7FCFA"/>
      </patternFill>
    </fill>
    <fill>
      <patternFill patternType="solid">
        <fgColor rgb="FFFDFEFE"/>
        <bgColor rgb="FFFDFEFE"/>
      </patternFill>
    </fill>
    <fill>
      <patternFill patternType="solid">
        <fgColor rgb="FFABCBE8"/>
        <bgColor rgb="FFABCBE8"/>
      </patternFill>
    </fill>
    <fill>
      <patternFill patternType="solid">
        <fgColor rgb="FFF6FAFD"/>
        <bgColor rgb="FFF6FAFD"/>
      </patternFill>
    </fill>
    <fill>
      <patternFill patternType="solid">
        <fgColor rgb="FFA4DBC1"/>
        <bgColor rgb="FFA4DBC1"/>
      </patternFill>
    </fill>
    <fill>
      <patternFill patternType="solid">
        <fgColor rgb="FFA6DBC2"/>
        <bgColor rgb="FFA6DBC2"/>
      </patternFill>
    </fill>
    <fill>
      <patternFill patternType="solid">
        <fgColor rgb="FFE6F5EE"/>
        <bgColor rgb="FFE6F5EE"/>
      </patternFill>
    </fill>
    <fill>
      <patternFill patternType="solid">
        <fgColor rgb="FFA2DABF"/>
        <bgColor rgb="FFA2DABF"/>
      </patternFill>
    </fill>
    <fill>
      <patternFill patternType="solid">
        <fgColor rgb="FFF8FCFA"/>
        <bgColor rgb="FFF8FCFA"/>
      </patternFill>
    </fill>
    <fill>
      <patternFill patternType="solid">
        <fgColor rgb="FFFEFFFE"/>
        <bgColor rgb="FFFEFFFE"/>
      </patternFill>
    </fill>
    <fill>
      <patternFill patternType="solid">
        <fgColor rgb="FFFEFFFF"/>
        <bgColor rgb="FFFEFFFF"/>
      </patternFill>
    </fill>
    <fill>
      <patternFill patternType="solid">
        <fgColor rgb="FFE5EFF9"/>
        <bgColor rgb="FFE5EFF9"/>
      </patternFill>
    </fill>
    <fill>
      <patternFill patternType="solid">
        <fgColor rgb="FFE9F2FA"/>
        <bgColor rgb="FFE9F2FA"/>
      </patternFill>
    </fill>
    <fill>
      <patternFill patternType="solid">
        <fgColor rgb="FFFCFEFF"/>
        <bgColor rgb="FFFCFEFF"/>
      </patternFill>
    </fill>
    <fill>
      <patternFill patternType="solid">
        <fgColor rgb="FF9CD7BA"/>
        <bgColor rgb="FF9CD7BA"/>
      </patternFill>
    </fill>
    <fill>
      <patternFill patternType="solid">
        <fgColor rgb="FFCCE0F3"/>
        <bgColor rgb="FFCCE0F3"/>
      </patternFill>
    </fill>
    <fill>
      <patternFill patternType="solid">
        <fgColor rgb="FFEFB3B3"/>
        <bgColor rgb="FFEFB3B3"/>
      </patternFill>
    </fill>
    <fill>
      <patternFill patternType="solid">
        <fgColor rgb="FFA0D9BD"/>
        <bgColor rgb="FFA0D9BD"/>
      </patternFill>
    </fill>
    <fill>
      <patternFill patternType="solid">
        <fgColor rgb="FFEBF7F1"/>
        <bgColor rgb="FFEBF7F1"/>
      </patternFill>
    </fill>
    <fill>
      <patternFill patternType="solid">
        <fgColor rgb="FFCCEBDC"/>
        <bgColor rgb="FFCCEBDC"/>
      </patternFill>
    </fill>
    <fill>
      <patternFill patternType="solid">
        <fgColor rgb="FFAACBE8"/>
        <bgColor rgb="FFAACBE8"/>
      </patternFill>
    </fill>
    <fill>
      <patternFill patternType="solid">
        <fgColor rgb="FFFDFEFF"/>
        <bgColor rgb="FFFDFEFF"/>
      </patternFill>
    </fill>
    <fill>
      <patternFill patternType="solid">
        <fgColor rgb="FF9FD8BD"/>
        <bgColor rgb="FF9FD8BD"/>
      </patternFill>
    </fill>
    <fill>
      <patternFill patternType="solid">
        <fgColor rgb="FFACCCE9"/>
        <bgColor rgb="FFACCCE9"/>
      </patternFill>
    </fill>
    <fill>
      <patternFill patternType="solid">
        <fgColor rgb="FF78C9A2"/>
        <bgColor rgb="FF78C9A2"/>
      </patternFill>
    </fill>
    <fill>
      <patternFill patternType="solid">
        <fgColor rgb="FFDDF2E8"/>
        <bgColor rgb="FFDDF2E8"/>
      </patternFill>
    </fill>
    <fill>
      <patternFill patternType="solid">
        <fgColor rgb="FFF2FAF6"/>
        <bgColor rgb="FFF2FAF6"/>
      </patternFill>
    </fill>
    <fill>
      <patternFill patternType="solid">
        <fgColor rgb="FFFBFEFD"/>
        <bgColor rgb="FFFBFEFD"/>
      </patternFill>
    </fill>
    <fill>
      <patternFill patternType="solid">
        <fgColor rgb="FF68A1D4"/>
        <bgColor rgb="FF68A1D4"/>
      </patternFill>
    </fill>
    <fill>
      <patternFill patternType="solid">
        <fgColor rgb="FFF9FCFE"/>
        <bgColor rgb="FFF9FCFE"/>
      </patternFill>
    </fill>
    <fill>
      <patternFill patternType="solid">
        <fgColor rgb="FF78C9A1"/>
        <bgColor rgb="FF78C9A1"/>
      </patternFill>
    </fill>
    <fill>
      <patternFill patternType="solid">
        <fgColor rgb="FFFAF0C9"/>
        <bgColor rgb="FFFAF0C9"/>
      </patternFill>
    </fill>
    <fill>
      <patternFill patternType="solid">
        <fgColor rgb="FFDCF1E7"/>
        <bgColor rgb="FFDCF1E7"/>
      </patternFill>
    </fill>
    <fill>
      <patternFill patternType="solid">
        <fgColor rgb="FFFBFEFC"/>
        <bgColor rgb="FFFBFEFC"/>
      </patternFill>
    </fill>
    <fill>
      <patternFill patternType="solid">
        <fgColor rgb="FFF6FCF9"/>
        <bgColor rgb="FFF6FCF9"/>
      </patternFill>
    </fill>
    <fill>
      <patternFill patternType="solid">
        <fgColor rgb="FFCCEADC"/>
        <bgColor rgb="FFCCEADC"/>
      </patternFill>
    </fill>
    <fill>
      <patternFill patternType="solid">
        <fgColor rgb="FFFBFDFE"/>
        <bgColor rgb="FFFBFDFE"/>
      </patternFill>
    </fill>
    <fill>
      <patternFill patternType="solid">
        <fgColor rgb="FFECF7F2"/>
        <bgColor rgb="FFECF7F2"/>
      </patternFill>
    </fill>
    <fill>
      <patternFill patternType="solid">
        <fgColor rgb="FFABDDC5"/>
        <bgColor rgb="FFABDDC5"/>
      </patternFill>
    </fill>
    <fill>
      <patternFill patternType="solid">
        <fgColor rgb="FFCFECDE"/>
        <bgColor rgb="FFCFECDE"/>
      </patternFill>
    </fill>
    <fill>
      <patternFill patternType="solid">
        <fgColor rgb="FFCADFF2"/>
        <bgColor rgb="FFCADFF2"/>
      </patternFill>
    </fill>
    <fill>
      <patternFill patternType="solid">
        <fgColor rgb="FFC7DDF1"/>
        <bgColor rgb="FFC7DDF1"/>
      </patternFill>
    </fill>
    <fill>
      <patternFill patternType="solid">
        <fgColor rgb="FF57BB8A"/>
        <bgColor rgb="FF57BB8A"/>
      </patternFill>
    </fill>
    <fill>
      <patternFill patternType="solid">
        <fgColor rgb="FF8ED2B1"/>
        <bgColor rgb="FF8ED2B1"/>
      </patternFill>
    </fill>
    <fill>
      <patternFill patternType="solid">
        <fgColor rgb="FF3D85C6"/>
        <bgColor rgb="FF3D85C6"/>
      </patternFill>
    </fill>
    <fill>
      <patternFill patternType="solid">
        <fgColor rgb="FFF1F6FC"/>
        <bgColor rgb="FFF1F6FC"/>
      </patternFill>
    </fill>
    <fill>
      <patternFill patternType="solid">
        <fgColor rgb="FFC2DAEF"/>
        <bgColor rgb="FFC2DAEF"/>
      </patternFill>
    </fill>
    <fill>
      <patternFill patternType="solid">
        <fgColor rgb="FFE3F4EC"/>
        <bgColor rgb="FFE3F4EC"/>
      </patternFill>
    </fill>
    <fill>
      <patternFill patternType="solid">
        <fgColor rgb="FFFAFDFC"/>
        <bgColor rgb="FFFAFDFC"/>
      </patternFill>
    </fill>
    <fill>
      <patternFill patternType="solid">
        <fgColor rgb="FFE1EDF8"/>
        <bgColor rgb="FFE1EDF8"/>
      </patternFill>
    </fill>
    <fill>
      <patternFill patternType="solid">
        <fgColor rgb="FFDBF1E6"/>
        <bgColor rgb="FFDBF1E6"/>
      </patternFill>
    </fill>
    <fill>
      <patternFill patternType="solid">
        <fgColor rgb="FFDDEBF7"/>
        <bgColor rgb="FFDDEBF7"/>
      </patternFill>
    </fill>
    <fill>
      <patternFill patternType="solid">
        <fgColor rgb="FF79C9A2"/>
        <bgColor rgb="FF79C9A2"/>
      </patternFill>
    </fill>
    <fill>
      <patternFill patternType="solid">
        <fgColor rgb="FF86CEAB"/>
        <bgColor rgb="FF86CEAB"/>
      </patternFill>
    </fill>
    <fill>
      <patternFill patternType="solid">
        <fgColor rgb="FFAADDC5"/>
        <bgColor rgb="FFAADDC5"/>
      </patternFill>
    </fill>
    <fill>
      <patternFill patternType="solid">
        <fgColor rgb="FF73A8D7"/>
        <bgColor rgb="FF73A8D7"/>
      </patternFill>
    </fill>
    <fill>
      <patternFill patternType="solid">
        <fgColor rgb="FFF0F6FC"/>
        <bgColor rgb="FFF0F6FC"/>
      </patternFill>
    </fill>
    <fill>
      <patternFill patternType="solid">
        <fgColor rgb="FFCFE2F3"/>
        <bgColor rgb="FFCFE2F3"/>
      </patternFill>
    </fill>
    <fill>
      <patternFill patternType="solid">
        <fgColor rgb="FFE5F0F9"/>
        <bgColor rgb="FFE5F0F9"/>
      </patternFill>
    </fill>
    <fill>
      <patternFill patternType="solid">
        <fgColor rgb="FF649ED3"/>
        <bgColor rgb="FF649ED3"/>
      </patternFill>
    </fill>
    <fill>
      <patternFill patternType="solid">
        <fgColor rgb="FFC7E9D9"/>
        <bgColor rgb="FFC7E9D9"/>
      </patternFill>
    </fill>
    <fill>
      <patternFill patternType="solid">
        <fgColor rgb="FFF1FAF6"/>
        <bgColor rgb="FFF1FAF6"/>
      </patternFill>
    </fill>
    <fill>
      <patternFill patternType="solid">
        <fgColor rgb="FFBAD5ED"/>
        <bgColor rgb="FFBAD5ED"/>
      </patternFill>
    </fill>
    <fill>
      <patternFill patternType="solid">
        <fgColor rgb="FFB3D1EB"/>
        <bgColor rgb="FFB3D1EB"/>
      </patternFill>
    </fill>
    <fill>
      <patternFill patternType="solid">
        <fgColor rgb="FFEBF3FA"/>
        <bgColor rgb="FFEBF3FA"/>
      </patternFill>
    </fill>
    <fill>
      <patternFill patternType="solid">
        <fgColor rgb="FF8FB9E0"/>
        <bgColor rgb="FF8FB9E0"/>
      </patternFill>
    </fill>
    <fill>
      <patternFill patternType="solid">
        <fgColor rgb="FFDAF0E6"/>
        <bgColor rgb="FFDAF0E6"/>
      </patternFill>
    </fill>
    <fill>
      <patternFill patternType="solid">
        <fgColor rgb="FFF8FDFA"/>
        <bgColor rgb="FFF8FDFA"/>
      </patternFill>
    </fill>
    <fill>
      <patternFill patternType="solid">
        <fgColor rgb="FFEBF7F2"/>
        <bgColor rgb="FFEBF7F2"/>
      </patternFill>
    </fill>
    <fill>
      <patternFill patternType="solid">
        <fgColor rgb="FFFCFEFD"/>
        <bgColor rgb="FFFCFEFD"/>
      </patternFill>
    </fill>
    <fill>
      <patternFill patternType="solid">
        <fgColor rgb="FFBAE3D0"/>
        <bgColor rgb="FFBAE3D0"/>
      </patternFill>
    </fill>
    <fill>
      <patternFill patternType="solid">
        <fgColor rgb="FFF7FCF9"/>
        <bgColor rgb="FFF7FCF9"/>
      </patternFill>
    </fill>
    <fill>
      <patternFill patternType="solid">
        <fgColor rgb="FFF5FBF9"/>
        <bgColor rgb="FFF5FBF9"/>
      </patternFill>
    </fill>
    <fill>
      <patternFill patternType="solid">
        <fgColor rgb="FF96D5B6"/>
        <bgColor rgb="FF96D5B6"/>
      </patternFill>
    </fill>
    <fill>
      <patternFill patternType="solid">
        <fgColor rgb="FFBFE5D3"/>
        <bgColor rgb="FFBFE5D3"/>
      </patternFill>
    </fill>
    <fill>
      <patternFill patternType="solid">
        <fgColor rgb="FFB4D1EB"/>
        <bgColor rgb="FFB4D1EB"/>
      </patternFill>
    </fill>
    <fill>
      <patternFill patternType="solid">
        <fgColor rgb="FFC9DEF1"/>
        <bgColor rgb="FFC9DEF1"/>
      </patternFill>
    </fill>
    <fill>
      <patternFill patternType="solid">
        <fgColor rgb="FFF4F9FD"/>
        <bgColor rgb="FFF4F9FD"/>
      </patternFill>
    </fill>
    <fill>
      <patternFill patternType="solid">
        <fgColor rgb="FF89B6DE"/>
        <bgColor rgb="FF89B6DE"/>
      </patternFill>
    </fill>
    <fill>
      <patternFill patternType="solid">
        <fgColor rgb="FFBED7EE"/>
        <bgColor rgb="FFBED7EE"/>
      </patternFill>
    </fill>
    <fill>
      <patternFill patternType="solid">
        <fgColor rgb="FF62C092"/>
        <bgColor rgb="FF62C092"/>
      </patternFill>
    </fill>
    <fill>
      <patternFill patternType="solid">
        <fgColor rgb="FFA8C9E7"/>
        <bgColor rgb="FFA8C9E7"/>
      </patternFill>
    </fill>
    <fill>
      <patternFill patternType="solid">
        <fgColor rgb="FFBED8EE"/>
        <bgColor rgb="FFBED8EE"/>
      </patternFill>
    </fill>
    <fill>
      <patternFill patternType="solid">
        <fgColor rgb="FFEEF5FB"/>
        <bgColor rgb="FFEEF5FB"/>
      </patternFill>
    </fill>
    <fill>
      <patternFill patternType="solid">
        <fgColor rgb="FFE8837A"/>
        <bgColor rgb="FFE8837A"/>
      </patternFill>
    </fill>
    <fill>
      <patternFill patternType="solid">
        <fgColor rgb="FFFFFCFC"/>
        <bgColor rgb="FFFFFCFC"/>
      </patternFill>
    </fill>
    <fill>
      <patternFill patternType="solid">
        <fgColor rgb="FFF3BEB9"/>
        <bgColor rgb="FFF3BEB9"/>
      </patternFill>
    </fill>
    <fill>
      <patternFill patternType="solid">
        <fgColor rgb="FFF3BBB6"/>
        <bgColor rgb="FFF3BBB6"/>
      </patternFill>
    </fill>
    <fill>
      <patternFill patternType="solid">
        <fgColor rgb="FFF2B6B1"/>
        <bgColor rgb="FFF2B6B1"/>
      </patternFill>
    </fill>
    <fill>
      <patternFill patternType="solid">
        <fgColor rgb="FFE67C73"/>
        <bgColor rgb="FFE67C73"/>
      </patternFill>
    </fill>
    <fill>
      <patternFill patternType="solid">
        <fgColor rgb="FFC4DBF0"/>
        <bgColor rgb="FFC4DBF0"/>
      </patternFill>
    </fill>
    <fill>
      <patternFill patternType="solid">
        <fgColor rgb="FFEB958E"/>
        <bgColor rgb="FFEB958E"/>
      </patternFill>
    </fill>
    <fill>
      <patternFill patternType="solid">
        <fgColor rgb="FFFEF5F4"/>
        <bgColor rgb="FFFEF5F4"/>
      </patternFill>
    </fill>
    <fill>
      <patternFill patternType="solid">
        <fgColor rgb="FFFDF4F3"/>
        <bgColor rgb="FFFDF4F3"/>
      </patternFill>
    </fill>
    <fill>
      <patternFill patternType="solid">
        <fgColor rgb="FFFDF3F2"/>
        <bgColor rgb="FFFDF3F2"/>
      </patternFill>
    </fill>
    <fill>
      <patternFill patternType="solid">
        <fgColor rgb="FFEB958D"/>
        <bgColor rgb="FFEB958D"/>
      </patternFill>
    </fill>
    <fill>
      <patternFill patternType="solid">
        <fgColor rgb="FFEC9890"/>
        <bgColor rgb="FFEC9890"/>
      </patternFill>
    </fill>
    <fill>
      <patternFill patternType="solid">
        <fgColor rgb="FFFCEFEE"/>
        <bgColor rgb="FFFCEFEE"/>
      </patternFill>
    </fill>
    <fill>
      <patternFill patternType="solid">
        <fgColor rgb="FFF3BDB8"/>
        <bgColor rgb="FFF3BDB8"/>
      </patternFill>
    </fill>
    <fill>
      <patternFill patternType="solid">
        <fgColor rgb="FFF2B9B3"/>
        <bgColor rgb="FFF2B9B3"/>
      </patternFill>
    </fill>
    <fill>
      <patternFill patternType="solid">
        <fgColor rgb="FFF0AEA8"/>
        <bgColor rgb="FFF0AEA8"/>
      </patternFill>
    </fill>
    <fill>
      <patternFill patternType="solid">
        <fgColor rgb="FFFFFEFE"/>
        <bgColor rgb="FFFFFEFE"/>
      </patternFill>
    </fill>
    <fill>
      <patternFill patternType="solid">
        <fgColor rgb="FFE77D74"/>
        <bgColor rgb="FFE77D74"/>
      </patternFill>
    </fill>
    <fill>
      <patternFill patternType="solid">
        <fgColor rgb="FFCEE1F3"/>
        <bgColor rgb="FFCEE1F3"/>
      </patternFill>
    </fill>
    <fill>
      <patternFill patternType="solid">
        <fgColor rgb="FFFAFCFE"/>
        <bgColor rgb="FFFAFCFE"/>
      </patternFill>
    </fill>
    <fill>
      <patternFill patternType="solid">
        <fgColor rgb="FFF7D3D0"/>
        <bgColor rgb="FFF7D3D0"/>
      </patternFill>
    </fill>
    <fill>
      <patternFill patternType="solid">
        <fgColor rgb="FFF3BCB7"/>
        <bgColor rgb="FFF3BCB7"/>
      </patternFill>
    </fill>
    <fill>
      <patternFill patternType="solid">
        <fgColor rgb="FFFFFDFD"/>
        <bgColor rgb="FFFFFDFD"/>
      </patternFill>
    </fill>
    <fill>
      <patternFill patternType="solid">
        <fgColor rgb="FF94BDE1"/>
        <bgColor rgb="FF94BDE1"/>
      </patternFill>
    </fill>
    <fill>
      <patternFill patternType="solid">
        <fgColor rgb="FFFBE5E2"/>
        <bgColor rgb="FFFBE5E2"/>
      </patternFill>
    </fill>
    <fill>
      <patternFill patternType="solid">
        <fgColor rgb="FFE7F0F9"/>
        <bgColor rgb="FFE7F0F9"/>
      </patternFill>
    </fill>
    <fill>
      <patternFill patternType="solid">
        <fgColor rgb="FFFDF1F0"/>
        <bgColor rgb="FFFDF1F0"/>
      </patternFill>
    </fill>
    <fill>
      <patternFill patternType="solid">
        <fgColor rgb="FFFFFBFB"/>
        <bgColor rgb="FFFFFBFB"/>
      </patternFill>
    </fill>
    <fill>
      <patternFill patternType="solid">
        <fgColor rgb="FFE6F0F9"/>
        <bgColor rgb="FFE6F0F9"/>
      </patternFill>
    </fill>
    <fill>
      <patternFill patternType="solid">
        <fgColor rgb="FFF1B3AD"/>
        <bgColor rgb="FFF1B3AD"/>
      </patternFill>
    </fill>
    <fill>
      <patternFill patternType="solid">
        <fgColor rgb="FFF3BCB6"/>
        <bgColor rgb="FFF3BCB6"/>
      </patternFill>
    </fill>
    <fill>
      <patternFill patternType="solid">
        <fgColor rgb="FFF0ACA6"/>
        <bgColor rgb="FFF0ACA6"/>
      </patternFill>
    </fill>
    <fill>
      <patternFill patternType="solid">
        <fgColor rgb="FFE8F1FA"/>
        <bgColor rgb="FFE8F1FA"/>
      </patternFill>
    </fill>
    <fill>
      <patternFill patternType="solid">
        <fgColor rgb="FFEFA8A2"/>
        <bgColor rgb="FFEFA8A2"/>
      </patternFill>
    </fill>
    <fill>
      <patternFill patternType="solid">
        <fgColor rgb="FFEFA9A2"/>
        <bgColor rgb="FFEFA9A2"/>
      </patternFill>
    </fill>
    <fill>
      <patternFill patternType="solid">
        <fgColor rgb="FFF2F7FC"/>
        <bgColor rgb="FFF2F7FC"/>
      </patternFill>
    </fill>
    <fill>
      <patternFill patternType="solid">
        <fgColor rgb="FFF1B1AB"/>
        <bgColor rgb="FFF1B1AB"/>
      </patternFill>
    </fill>
    <fill>
      <patternFill patternType="solid">
        <fgColor rgb="FFFBE8E6"/>
        <bgColor rgb="FFFBE8E6"/>
      </patternFill>
    </fill>
    <fill>
      <patternFill patternType="solid">
        <fgColor rgb="FFF4C3BE"/>
        <bgColor rgb="FFF4C3BE"/>
      </patternFill>
    </fill>
    <fill>
      <patternFill patternType="solid">
        <fgColor rgb="FFF0ADA7"/>
        <bgColor rgb="FFF0ADA7"/>
      </patternFill>
    </fill>
    <fill>
      <patternFill patternType="solid">
        <fgColor rgb="FFC0D9EF"/>
        <bgColor rgb="FFC0D9EF"/>
      </patternFill>
    </fill>
    <fill>
      <patternFill patternType="solid">
        <fgColor rgb="FFF4F8FD"/>
        <bgColor rgb="FFF4F8FD"/>
      </patternFill>
    </fill>
    <fill>
      <patternFill patternType="solid">
        <fgColor rgb="FF8CB7DF"/>
        <bgColor rgb="FF8CB7DF"/>
      </patternFill>
    </fill>
    <fill>
      <patternFill patternType="solid">
        <fgColor rgb="FFED9B94"/>
        <bgColor rgb="FFED9B94"/>
      </patternFill>
    </fill>
    <fill>
      <patternFill patternType="solid">
        <fgColor rgb="FFE77E75"/>
        <bgColor rgb="FFE77E75"/>
      </patternFill>
    </fill>
    <fill>
      <patternFill patternType="solid">
        <fgColor rgb="FFF2B8B3"/>
        <bgColor rgb="FFF2B8B3"/>
      </patternFill>
    </fill>
    <fill>
      <patternFill patternType="solid">
        <fgColor rgb="FF7BADD9"/>
        <bgColor rgb="FF7BADD9"/>
      </patternFill>
    </fill>
    <fill>
      <patternFill patternType="solid">
        <fgColor rgb="FFB5D2EB"/>
        <bgColor rgb="FFB5D2EB"/>
      </patternFill>
    </fill>
    <fill>
      <patternFill patternType="solid">
        <fgColor rgb="FFCDE1F3"/>
        <bgColor rgb="FFCDE1F3"/>
      </patternFill>
    </fill>
    <fill>
      <patternFill patternType="solid">
        <fgColor rgb="FFE8827A"/>
        <bgColor rgb="FFE8827A"/>
      </patternFill>
    </fill>
    <fill>
      <patternFill patternType="solid">
        <fgColor rgb="FFF2B7B1"/>
        <bgColor rgb="FFF2B7B1"/>
      </patternFill>
    </fill>
    <fill>
      <patternFill patternType="solid">
        <fgColor rgb="FFFCEDEC"/>
        <bgColor rgb="FFFCEDEC"/>
      </patternFill>
    </fill>
    <fill>
      <patternFill patternType="solid">
        <fgColor rgb="FFB0CEEA"/>
        <bgColor rgb="FFB0CEEA"/>
      </patternFill>
    </fill>
    <fill>
      <patternFill patternType="solid">
        <fgColor rgb="FFFFFDFC"/>
        <bgColor rgb="FFFFFDFC"/>
      </patternFill>
    </fill>
    <fill>
      <patternFill patternType="solid">
        <fgColor rgb="FFFEF7F7"/>
        <bgColor rgb="FFFEF7F7"/>
      </patternFill>
    </fill>
    <fill>
      <patternFill patternType="solid">
        <fgColor rgb="FFF2B9B4"/>
        <bgColor rgb="FFF2B9B4"/>
      </patternFill>
    </fill>
    <fill>
      <patternFill patternType="solid">
        <fgColor rgb="FFF2B8B2"/>
        <bgColor rgb="FFF2B8B2"/>
      </patternFill>
    </fill>
    <fill>
      <patternFill patternType="solid">
        <fgColor rgb="FFF6CFCB"/>
        <bgColor rgb="FFF6CFCB"/>
      </patternFill>
    </fill>
    <fill>
      <patternFill patternType="solid">
        <fgColor rgb="FFF2B7B2"/>
        <bgColor rgb="FFF2B7B2"/>
      </patternFill>
    </fill>
    <fill>
      <patternFill patternType="solid">
        <fgColor rgb="FFFCFDFF"/>
        <bgColor rgb="FFFCFDFF"/>
      </patternFill>
    </fill>
    <fill>
      <patternFill patternType="solid">
        <fgColor rgb="FFF3BAB5"/>
        <bgColor rgb="FFF3BAB5"/>
      </patternFill>
    </fill>
    <fill>
      <patternFill patternType="solid">
        <fgColor rgb="FFF6CECB"/>
        <bgColor rgb="FFF6CECB"/>
      </patternFill>
    </fill>
    <fill>
      <patternFill patternType="solid">
        <fgColor rgb="FFBDD6EE"/>
        <bgColor rgb="FFBDD6EE"/>
      </patternFill>
    </fill>
    <fill>
      <patternFill patternType="solid">
        <fgColor rgb="FFA4C2F4"/>
        <bgColor rgb="FFA4C2F4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E8E8E8"/>
        <bgColor rgb="FFE8E8E8"/>
      </patternFill>
    </fill>
    <fill>
      <patternFill patternType="solid">
        <fgColor rgb="FF9CC2E5"/>
        <bgColor rgb="FF9CC2E5"/>
      </patternFill>
    </fill>
    <fill>
      <patternFill patternType="solid">
        <fgColor rgb="FFF3F3F3"/>
        <bgColor rgb="FFF3F3F3"/>
      </patternFill>
    </fill>
    <fill>
      <patternFill patternType="solid">
        <fgColor rgb="FFDEEAF6"/>
        <bgColor rgb="FFDEEAF6"/>
      </patternFill>
    </fill>
    <fill>
      <patternFill patternType="solid">
        <fgColor rgb="FFAEABAB"/>
        <bgColor rgb="FFAEABAB"/>
      </patternFill>
    </fill>
    <fill>
      <patternFill patternType="solid">
        <fgColor rgb="FFF2F2F2"/>
        <bgColor rgb="FFF2F2F2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A7DCC2"/>
        <bgColor rgb="FFA7DCC2"/>
      </patternFill>
    </fill>
    <fill>
      <patternFill patternType="solid">
        <fgColor rgb="FFAADDC4"/>
        <bgColor rgb="FFAADDC4"/>
      </patternFill>
    </fill>
    <fill>
      <patternFill patternType="solid">
        <fgColor rgb="FFD1EDDF"/>
        <bgColor rgb="FFD1EDDF"/>
      </patternFill>
    </fill>
    <fill>
      <patternFill patternType="solid">
        <fgColor rgb="FFBEE5D2"/>
        <bgColor rgb="FFBEE5D2"/>
      </patternFill>
    </fill>
    <fill>
      <patternFill patternType="solid">
        <fgColor rgb="FFECF4FB"/>
        <bgColor rgb="FFECF4FB"/>
      </patternFill>
    </fill>
    <fill>
      <patternFill patternType="solid">
        <fgColor rgb="FFDFECF7"/>
        <bgColor rgb="FFDFECF7"/>
      </patternFill>
    </fill>
    <fill>
      <patternFill patternType="solid">
        <fgColor rgb="FFCBE0F2"/>
        <bgColor rgb="FFCBE0F2"/>
      </patternFill>
    </fill>
    <fill>
      <patternFill patternType="solid">
        <fgColor rgb="FFF7FAFD"/>
        <bgColor rgb="FFF7FAFD"/>
      </patternFill>
    </fill>
    <fill>
      <patternFill patternType="solid">
        <fgColor rgb="FFE0ECF8"/>
        <bgColor rgb="FFE0ECF8"/>
      </patternFill>
    </fill>
    <fill>
      <patternFill patternType="solid">
        <fgColor rgb="FFE8F6EF"/>
        <bgColor rgb="FFE8F6EF"/>
      </patternFill>
    </fill>
    <fill>
      <patternFill patternType="solid">
        <fgColor rgb="FFE4F5ED"/>
        <bgColor rgb="FFE4F5ED"/>
      </patternFill>
    </fill>
    <fill>
      <patternFill patternType="solid">
        <fgColor rgb="FFDEF2E9"/>
        <bgColor rgb="FFDEF2E9"/>
      </patternFill>
    </fill>
    <fill>
      <patternFill patternType="solid">
        <fgColor rgb="FFB6E2CD"/>
        <bgColor rgb="FFB6E2CD"/>
      </patternFill>
    </fill>
    <fill>
      <patternFill patternType="solid">
        <fgColor rgb="FFD8E7F6"/>
        <bgColor rgb="FFD8E7F6"/>
      </patternFill>
    </fill>
    <fill>
      <patternFill patternType="solid">
        <fgColor rgb="FFF1F7FC"/>
        <bgColor rgb="FFF1F7FC"/>
      </patternFill>
    </fill>
    <fill>
      <patternFill patternType="solid">
        <fgColor rgb="FFF3F8FC"/>
        <bgColor rgb="FFF3F8FC"/>
      </patternFill>
    </fill>
    <fill>
      <patternFill patternType="solid">
        <fgColor rgb="FFA9DCC4"/>
        <bgColor rgb="FFA9DCC4"/>
      </patternFill>
    </fill>
    <fill>
      <patternFill patternType="solid">
        <fgColor rgb="FFD9E8F6"/>
        <bgColor rgb="FFD9E8F6"/>
      </patternFill>
    </fill>
    <fill>
      <patternFill patternType="solid">
        <fgColor rgb="FFD3EDE1"/>
        <bgColor rgb="FFD3EDE1"/>
      </patternFill>
    </fill>
    <fill>
      <patternFill patternType="solid">
        <fgColor rgb="FFF6F9FD"/>
        <bgColor rgb="FFF6F9FD"/>
      </patternFill>
    </fill>
    <fill>
      <patternFill patternType="solid">
        <fgColor rgb="FFEAF2FA"/>
        <bgColor rgb="FFEAF2FA"/>
      </patternFill>
    </fill>
    <fill>
      <patternFill patternType="solid">
        <fgColor rgb="FFC8DEF1"/>
        <bgColor rgb="FFC8DEF1"/>
      </patternFill>
    </fill>
    <fill>
      <patternFill patternType="solid">
        <fgColor rgb="FFCCE1F3"/>
        <bgColor rgb="FFCCE1F3"/>
      </patternFill>
    </fill>
    <fill>
      <patternFill patternType="solid">
        <fgColor rgb="FFCCE0F2"/>
        <bgColor rgb="FFCCE0F2"/>
      </patternFill>
    </fill>
    <fill>
      <patternFill patternType="solid">
        <fgColor rgb="FFD2EDE0"/>
        <bgColor rgb="FFD2EDE0"/>
      </patternFill>
    </fill>
    <fill>
      <patternFill patternType="solid">
        <fgColor rgb="FFA9DDC4"/>
        <bgColor rgb="FFA9DDC4"/>
      </patternFill>
    </fill>
    <fill>
      <patternFill patternType="solid">
        <fgColor rgb="FFA2D9BF"/>
        <bgColor rgb="FFA2D9BF"/>
      </patternFill>
    </fill>
    <fill>
      <patternFill patternType="solid">
        <fgColor rgb="FFC3E7D5"/>
        <bgColor rgb="FFC3E7D5"/>
      </patternFill>
    </fill>
    <fill>
      <patternFill patternType="solid">
        <fgColor rgb="FFFBFCFE"/>
        <bgColor rgb="FFFBFCFE"/>
      </patternFill>
    </fill>
    <fill>
      <patternFill patternType="solid">
        <fgColor rgb="FFF8FBFE"/>
        <bgColor rgb="FFF8FBFE"/>
      </patternFill>
    </fill>
    <fill>
      <patternFill patternType="solid">
        <fgColor rgb="FFECF8F2"/>
        <bgColor rgb="FFECF8F2"/>
      </patternFill>
    </fill>
    <fill>
      <patternFill patternType="solid">
        <fgColor rgb="FFD9F0E5"/>
        <bgColor rgb="FFD9F0E5"/>
      </patternFill>
    </fill>
    <fill>
      <patternFill patternType="solid">
        <fgColor rgb="FFF1F9F5"/>
        <bgColor rgb="FFF1F9F5"/>
      </patternFill>
    </fill>
    <fill>
      <patternFill patternType="solid">
        <fgColor rgb="FFF3FBF7"/>
        <bgColor rgb="FFF3FBF7"/>
      </patternFill>
    </fill>
    <fill>
      <patternFill patternType="solid">
        <fgColor rgb="FFA4DAC0"/>
        <bgColor rgb="FFA4DAC0"/>
      </patternFill>
    </fill>
    <fill>
      <patternFill patternType="solid">
        <fgColor rgb="FF9BD7BA"/>
        <bgColor rgb="FF9BD7BA"/>
      </patternFill>
    </fill>
    <fill>
      <patternFill patternType="solid">
        <fgColor rgb="FFEFF9F4"/>
        <bgColor rgb="FFEFF9F4"/>
      </patternFill>
    </fill>
    <fill>
      <patternFill patternType="solid">
        <fgColor rgb="FFD1E4F4"/>
        <bgColor rgb="FFD1E4F4"/>
      </patternFill>
    </fill>
    <fill>
      <patternFill patternType="solid">
        <fgColor rgb="FFEDF5FB"/>
        <bgColor rgb="FFEDF5FB"/>
      </patternFill>
    </fill>
    <fill>
      <patternFill patternType="solid">
        <fgColor rgb="FFF5F9FD"/>
        <bgColor rgb="FFF5F9FD"/>
      </patternFill>
    </fill>
    <fill>
      <patternFill patternType="solid">
        <fgColor rgb="FFD7E7F5"/>
        <bgColor rgb="FFD7E7F5"/>
      </patternFill>
    </fill>
    <fill>
      <patternFill patternType="solid">
        <fgColor rgb="FFE3EEF8"/>
        <bgColor rgb="FFE3EEF8"/>
      </patternFill>
    </fill>
    <fill>
      <patternFill patternType="solid">
        <fgColor rgb="FFA9DCC3"/>
        <bgColor rgb="FFA9DCC3"/>
      </patternFill>
    </fill>
    <fill>
      <patternFill patternType="solid">
        <fgColor rgb="FF6CC499"/>
        <bgColor rgb="FF6CC499"/>
      </patternFill>
    </fill>
    <fill>
      <patternFill patternType="solid">
        <fgColor rgb="FFC9DFF2"/>
        <bgColor rgb="FFC9DFF2"/>
      </patternFill>
    </fill>
    <fill>
      <patternFill patternType="solid">
        <fgColor rgb="FFCBDFF2"/>
        <bgColor rgb="FFCBDFF2"/>
      </patternFill>
    </fill>
    <fill>
      <patternFill patternType="solid">
        <fgColor rgb="FFC9DEF2"/>
        <bgColor rgb="FFC9DEF2"/>
      </patternFill>
    </fill>
    <fill>
      <patternFill patternType="solid">
        <fgColor rgb="FF92BBE0"/>
        <bgColor rgb="FF92BBE0"/>
      </patternFill>
    </fill>
    <fill>
      <patternFill patternType="solid">
        <fgColor rgb="FF8BB7DE"/>
        <bgColor rgb="FF8BB7DE"/>
      </patternFill>
    </fill>
    <fill>
      <patternFill patternType="solid">
        <fgColor rgb="FFEDF4FB"/>
        <bgColor rgb="FFEDF4FB"/>
      </patternFill>
    </fill>
    <fill>
      <patternFill patternType="solid">
        <fgColor rgb="FFD8EFE4"/>
        <bgColor rgb="FFD8EFE4"/>
      </patternFill>
    </fill>
    <fill>
      <patternFill patternType="solid">
        <fgColor rgb="FFC5E8D7"/>
        <bgColor rgb="FFC5E8D7"/>
      </patternFill>
    </fill>
    <fill>
      <patternFill patternType="solid">
        <fgColor rgb="FFF4FBF8"/>
        <bgColor rgb="FFF4FBF8"/>
      </patternFill>
    </fill>
    <fill>
      <patternFill patternType="solid">
        <fgColor rgb="FFEDF8F3"/>
        <bgColor rgb="FFEDF8F3"/>
      </patternFill>
    </fill>
    <fill>
      <patternFill patternType="solid">
        <fgColor rgb="FFDEEBF7"/>
        <bgColor rgb="FFDEEBF7"/>
      </patternFill>
    </fill>
    <fill>
      <patternFill patternType="solid">
        <fgColor rgb="FFEAF3FA"/>
        <bgColor rgb="FFEAF3FA"/>
      </patternFill>
    </fill>
    <fill>
      <patternFill patternType="solid">
        <fgColor rgb="FF9ED8BC"/>
        <bgColor rgb="FF9ED8BC"/>
      </patternFill>
    </fill>
    <fill>
      <patternFill patternType="solid">
        <fgColor rgb="FF4188C8"/>
        <bgColor rgb="FF4188C8"/>
      </patternFill>
    </fill>
    <fill>
      <patternFill patternType="solid">
        <fgColor rgb="FF98BFE2"/>
        <bgColor rgb="FF98BFE2"/>
      </patternFill>
    </fill>
    <fill>
      <patternFill patternType="solid">
        <fgColor rgb="FFA4DBC0"/>
        <bgColor rgb="FFA4DBC0"/>
      </patternFill>
    </fill>
    <fill>
      <patternFill patternType="solid">
        <fgColor rgb="FFBBE4D0"/>
        <bgColor rgb="FFBBE4D0"/>
      </patternFill>
    </fill>
    <fill>
      <patternFill patternType="solid">
        <fgColor rgb="FFEFF5FB"/>
        <bgColor rgb="FFEFF5FB"/>
      </patternFill>
    </fill>
    <fill>
      <patternFill patternType="solid">
        <fgColor rgb="FF91BBE0"/>
        <bgColor rgb="FF91BBE0"/>
      </patternFill>
    </fill>
    <fill>
      <patternFill patternType="solid">
        <fgColor rgb="FFE7F1F9"/>
        <bgColor rgb="FFE7F1F9"/>
      </patternFill>
    </fill>
    <fill>
      <patternFill patternType="solid">
        <fgColor rgb="FFB3D0EB"/>
        <bgColor rgb="FFB3D0EB"/>
      </patternFill>
    </fill>
    <fill>
      <patternFill patternType="solid">
        <fgColor rgb="FF83B2DC"/>
        <bgColor rgb="FF83B2DC"/>
      </patternFill>
    </fill>
    <fill>
      <patternFill patternType="solid">
        <fgColor rgb="FFA3DAC0"/>
        <bgColor rgb="FFA3DAC0"/>
      </patternFill>
    </fill>
    <fill>
      <patternFill patternType="solid">
        <fgColor rgb="FFE0EDF8"/>
        <bgColor rgb="FFE0EDF8"/>
      </patternFill>
    </fill>
    <fill>
      <patternFill patternType="solid">
        <fgColor rgb="FFF2F8FC"/>
        <bgColor rgb="FFF2F8FC"/>
      </patternFill>
    </fill>
    <fill>
      <patternFill patternType="solid">
        <fgColor rgb="FFB1E0C9"/>
        <bgColor rgb="FFB1E0C9"/>
      </patternFill>
    </fill>
    <fill>
      <patternFill patternType="solid">
        <fgColor rgb="FFA6DBC1"/>
        <bgColor rgb="FFA6DBC1"/>
      </patternFill>
    </fill>
    <fill>
      <patternFill patternType="solid">
        <fgColor rgb="FFD6EFE3"/>
        <bgColor rgb="FFD6EFE3"/>
      </patternFill>
    </fill>
    <fill>
      <patternFill patternType="solid">
        <fgColor rgb="FFD7EFE4"/>
        <bgColor rgb="FFD7EFE4"/>
      </patternFill>
    </fill>
    <fill>
      <patternFill patternType="solid">
        <fgColor rgb="FFFAFDFB"/>
        <bgColor rgb="FFFAFDFB"/>
      </patternFill>
    </fill>
    <fill>
      <patternFill patternType="solid">
        <fgColor rgb="FFF8FDFB"/>
        <bgColor rgb="FFF8FDFB"/>
      </patternFill>
    </fill>
    <fill>
      <patternFill patternType="solid">
        <fgColor rgb="FFA7C9E7"/>
        <bgColor rgb="FFA7C9E7"/>
      </patternFill>
    </fill>
    <fill>
      <patternFill patternType="solid">
        <fgColor rgb="FFDAE9F6"/>
        <bgColor rgb="FFDAE9F6"/>
      </patternFill>
    </fill>
    <fill>
      <patternFill patternType="solid">
        <fgColor rgb="FF488CCA"/>
        <bgColor rgb="FF488CCA"/>
      </patternFill>
    </fill>
    <fill>
      <patternFill patternType="solid">
        <fgColor rgb="FF9DC3E4"/>
        <bgColor rgb="FF9DC3E4"/>
      </patternFill>
    </fill>
    <fill>
      <patternFill patternType="solid">
        <fgColor rgb="FFE06666"/>
        <bgColor rgb="FFE06666"/>
      </patternFill>
    </fill>
    <fill>
      <patternFill patternType="solid">
        <fgColor rgb="FFF3C4C4"/>
        <bgColor rgb="FFF3C4C4"/>
      </patternFill>
    </fill>
    <fill>
      <patternFill patternType="solid">
        <fgColor rgb="FFFEF9F9"/>
        <bgColor rgb="FFFEF9F9"/>
      </patternFill>
    </fill>
    <fill>
      <patternFill patternType="solid">
        <fgColor rgb="FFFBE9E9"/>
        <bgColor rgb="FFFBE9E9"/>
      </patternFill>
    </fill>
    <fill>
      <patternFill patternType="solid">
        <fgColor rgb="FFE26F6F"/>
        <bgColor rgb="FFE26F6F"/>
      </patternFill>
    </fill>
    <fill>
      <patternFill patternType="solid">
        <fgColor rgb="FFF9E1E1"/>
        <bgColor rgb="FFF9E1E1"/>
      </patternFill>
    </fill>
    <fill>
      <patternFill patternType="solid">
        <fgColor rgb="FFF5CECE"/>
        <bgColor rgb="FFF5CECE"/>
      </patternFill>
    </fill>
    <fill>
      <patternFill patternType="solid">
        <fgColor rgb="FFF0B6B6"/>
        <bgColor rgb="FFF0B6B6"/>
      </patternFill>
    </fill>
    <fill>
      <patternFill patternType="solid">
        <fgColor rgb="FFF5CFCF"/>
        <bgColor rgb="FFF5CFCF"/>
      </patternFill>
    </fill>
    <fill>
      <patternFill patternType="solid">
        <fgColor rgb="FFF7FBFD"/>
        <bgColor rgb="FFF7FBFD"/>
      </patternFill>
    </fill>
    <fill>
      <patternFill patternType="solid">
        <fgColor rgb="FFF7D7D7"/>
        <bgColor rgb="FFF7D7D7"/>
      </patternFill>
    </fill>
    <fill>
      <patternFill patternType="solid">
        <fgColor rgb="FFF9E0E0"/>
        <bgColor rgb="FFF9E0E0"/>
      </patternFill>
    </fill>
    <fill>
      <patternFill patternType="solid">
        <fgColor rgb="FFFAE4E4"/>
        <bgColor rgb="FFFAE4E4"/>
      </patternFill>
    </fill>
    <fill>
      <patternFill patternType="solid">
        <fgColor rgb="FFF4CACA"/>
        <bgColor rgb="FFF4CACA"/>
      </patternFill>
    </fill>
    <fill>
      <patternFill patternType="solid">
        <fgColor rgb="FFF5D0D0"/>
        <bgColor rgb="FFF5D0D0"/>
      </patternFill>
    </fill>
    <fill>
      <patternFill patternType="solid">
        <fgColor rgb="FFF4CBCB"/>
        <bgColor rgb="FFF4CBCB"/>
      </patternFill>
    </fill>
    <fill>
      <patternFill patternType="solid">
        <fgColor rgb="FFF1BBBB"/>
        <bgColor rgb="FFF1BBBB"/>
      </patternFill>
    </fill>
    <fill>
      <patternFill patternType="solid">
        <fgColor rgb="FFF0B5B5"/>
        <bgColor rgb="FFF0B5B5"/>
      </patternFill>
    </fill>
    <fill>
      <patternFill patternType="solid">
        <fgColor rgb="FFFAE6E6"/>
        <bgColor rgb="FFFAE6E6"/>
      </patternFill>
    </fill>
    <fill>
      <patternFill patternType="solid">
        <fgColor rgb="FFFEFAFA"/>
        <bgColor rgb="FFFEFAFA"/>
      </patternFill>
    </fill>
    <fill>
      <patternFill patternType="solid">
        <fgColor rgb="FFF3C5C5"/>
        <bgColor rgb="FFF3C5C5"/>
      </patternFill>
    </fill>
    <fill>
      <patternFill patternType="solid">
        <fgColor rgb="FFFDF6F6"/>
        <bgColor rgb="FFFDF6F6"/>
      </patternFill>
    </fill>
    <fill>
      <patternFill patternType="solid">
        <fgColor rgb="FFFAE5E5"/>
        <bgColor rgb="FFFAE5E5"/>
      </patternFill>
    </fill>
    <fill>
      <patternFill patternType="solid">
        <fgColor rgb="FFF8DBDB"/>
        <bgColor rgb="FFF8DBDB"/>
      </patternFill>
    </fill>
    <fill>
      <patternFill patternType="solid">
        <fgColor rgb="FFF4C9C9"/>
        <bgColor rgb="FFF4C9C9"/>
      </patternFill>
    </fill>
    <fill>
      <patternFill patternType="solid">
        <fgColor rgb="FFD6E6F5"/>
        <bgColor rgb="FFD6E6F5"/>
      </patternFill>
    </fill>
    <fill>
      <patternFill patternType="solid">
        <fgColor rgb="FFFEF8F8"/>
        <bgColor rgb="FFFEF8F8"/>
      </patternFill>
    </fill>
    <fill>
      <patternFill patternType="solid">
        <fgColor rgb="FFF8DCDC"/>
        <bgColor rgb="FFF8DCDC"/>
      </patternFill>
    </fill>
    <fill>
      <patternFill patternType="solid">
        <fgColor rgb="FFEFAFAF"/>
        <bgColor rgb="FFEFAFAF"/>
      </patternFill>
    </fill>
    <fill>
      <patternFill patternType="solid">
        <fgColor rgb="FFF2BEBE"/>
        <bgColor rgb="FFF2BEBE"/>
      </patternFill>
    </fill>
    <fill>
      <patternFill patternType="solid">
        <fgColor rgb="FFF6D3D3"/>
        <bgColor rgb="FFF6D3D3"/>
      </patternFill>
    </fill>
    <fill>
      <patternFill patternType="solid">
        <fgColor rgb="FFF0B7B7"/>
        <bgColor rgb="FFF0B7B7"/>
      </patternFill>
    </fill>
    <fill>
      <patternFill patternType="solid">
        <fgColor rgb="FFEFAEAE"/>
        <bgColor rgb="FFEFAEAE"/>
      </patternFill>
    </fill>
    <fill>
      <patternFill patternType="solid">
        <fgColor rgb="FFF1B8B8"/>
        <bgColor rgb="FFF1B8B8"/>
      </patternFill>
    </fill>
    <fill>
      <patternFill patternType="solid">
        <fgColor rgb="FFF4C8C8"/>
        <bgColor rgb="FFF4C8C8"/>
      </patternFill>
    </fill>
    <fill>
      <patternFill patternType="solid">
        <fgColor rgb="FFF7D9D9"/>
        <bgColor rgb="FFF7D9D9"/>
      </patternFill>
    </fill>
    <fill>
      <patternFill patternType="solid">
        <fgColor rgb="FFF1BABA"/>
        <bgColor rgb="FFF1BABA"/>
      </patternFill>
    </fill>
    <fill>
      <patternFill patternType="solid">
        <fgColor rgb="FFEEADAD"/>
        <bgColor rgb="FFEEADAD"/>
      </patternFill>
    </fill>
    <fill>
      <patternFill patternType="solid">
        <fgColor rgb="FFEFF6FB"/>
        <bgColor rgb="FFEFF6FB"/>
      </patternFill>
    </fill>
    <fill>
      <patternFill patternType="solid">
        <fgColor rgb="FFFDF4F4"/>
        <bgColor rgb="FFFDF4F4"/>
      </patternFill>
    </fill>
    <fill>
      <patternFill patternType="solid">
        <fgColor rgb="FF71A6D6"/>
        <bgColor rgb="FF71A6D6"/>
      </patternFill>
    </fill>
    <fill>
      <patternFill patternType="solid">
        <fgColor rgb="FFC6DDF1"/>
        <bgColor rgb="FFC6DDF1"/>
      </patternFill>
    </fill>
    <fill>
      <patternFill patternType="solid">
        <fgColor rgb="FFDBE9F6"/>
        <bgColor rgb="FFDBE9F6"/>
      </patternFill>
    </fill>
    <fill>
      <patternFill patternType="solid">
        <fgColor rgb="FFFCF1F1"/>
        <bgColor rgb="FFFCF1F1"/>
      </patternFill>
    </fill>
    <fill>
      <patternFill patternType="solid">
        <fgColor rgb="FFFDF2F2"/>
        <bgColor rgb="FFFDF2F2"/>
      </patternFill>
    </fill>
    <fill>
      <patternFill patternType="solid">
        <fgColor rgb="FFFCF0F0"/>
        <bgColor rgb="FFFCF0F0"/>
      </patternFill>
    </fill>
    <fill>
      <patternFill patternType="solid">
        <fgColor rgb="FF78ABD9"/>
        <bgColor rgb="FF78ABD9"/>
      </patternFill>
    </fill>
    <fill>
      <patternFill patternType="solid">
        <fgColor rgb="FFEA9898"/>
        <bgColor rgb="FFEA9898"/>
      </patternFill>
    </fill>
    <fill>
      <patternFill patternType="solid">
        <fgColor rgb="FFEDA5A5"/>
        <bgColor rgb="FFEDA5A5"/>
      </patternFill>
    </fill>
    <fill>
      <patternFill patternType="solid">
        <fgColor rgb="FFFBEDED"/>
        <bgColor rgb="FFFBEDED"/>
      </patternFill>
    </fill>
    <fill>
      <patternFill patternType="solid">
        <fgColor rgb="FFEFB0B0"/>
        <bgColor rgb="FFEFB0B0"/>
      </patternFill>
    </fill>
    <fill>
      <patternFill patternType="solid">
        <fgColor rgb="FFF6D5D5"/>
        <bgColor rgb="FFF6D5D5"/>
      </patternFill>
    </fill>
    <fill>
      <patternFill patternType="solid">
        <fgColor rgb="FFEDA4A4"/>
        <bgColor rgb="FFEDA4A4"/>
      </patternFill>
    </fill>
    <fill>
      <patternFill patternType="solid">
        <fgColor rgb="FFF1BDBD"/>
        <bgColor rgb="FFF1BDBD"/>
      </patternFill>
    </fill>
    <fill>
      <patternFill patternType="solid">
        <fgColor rgb="FFFBEAEA"/>
        <bgColor rgb="FFFBEAEA"/>
      </patternFill>
    </fill>
    <fill>
      <patternFill patternType="solid">
        <fgColor rgb="FFD3E4F4"/>
        <bgColor rgb="FFD3E4F4"/>
      </patternFill>
    </fill>
    <fill>
      <patternFill patternType="solid">
        <fgColor rgb="FF5594CE"/>
        <bgColor rgb="FF5594CE"/>
      </patternFill>
    </fill>
    <fill>
      <patternFill patternType="solid">
        <fgColor rgb="FF77AAD8"/>
        <bgColor rgb="FF77AAD8"/>
      </patternFill>
    </fill>
    <fill>
      <patternFill patternType="solid">
        <fgColor rgb="FFB6D2EC"/>
        <bgColor rgb="FFB6D2EC"/>
      </patternFill>
    </fill>
    <fill>
      <patternFill patternType="solid">
        <fgColor rgb="FFECA2A2"/>
        <bgColor rgb="FFECA2A2"/>
      </patternFill>
    </fill>
    <fill>
      <patternFill patternType="solid">
        <fgColor rgb="FFECA0A0"/>
        <bgColor rgb="FFECA0A0"/>
      </patternFill>
    </fill>
    <fill>
      <patternFill patternType="solid">
        <fgColor rgb="FFE99393"/>
        <bgColor rgb="FFE99393"/>
      </patternFill>
    </fill>
    <fill>
      <patternFill patternType="solid">
        <fgColor rgb="FFEB9D9D"/>
        <bgColor rgb="FFEB9D9D"/>
      </patternFill>
    </fill>
    <fill>
      <patternFill patternType="solid">
        <fgColor rgb="FFE68080"/>
        <bgColor rgb="FFE68080"/>
      </patternFill>
    </fill>
    <fill>
      <patternFill patternType="solid">
        <fgColor rgb="FFE26D6D"/>
        <bgColor rgb="FFE26D6D"/>
      </patternFill>
    </fill>
    <fill>
      <patternFill patternType="solid">
        <fgColor rgb="FFB2D0EA"/>
        <bgColor rgb="FFB2D0EA"/>
      </patternFill>
    </fill>
    <fill>
      <patternFill patternType="solid">
        <fgColor rgb="FF629DD2"/>
        <bgColor rgb="FF629DD2"/>
      </patternFill>
    </fill>
    <fill>
      <patternFill patternType="solid">
        <fgColor rgb="FFF0B4B4"/>
        <bgColor rgb="FFF0B4B4"/>
      </patternFill>
    </fill>
    <fill>
      <patternFill patternType="solid">
        <fgColor rgb="FFF3C3C3"/>
        <bgColor rgb="FFF3C3C3"/>
      </patternFill>
    </fill>
    <fill>
      <patternFill patternType="solid">
        <fgColor rgb="FFF2C1C1"/>
        <bgColor rgb="FFF2C1C1"/>
      </patternFill>
    </fill>
    <fill>
      <patternFill patternType="solid">
        <fgColor rgb="FFE78686"/>
        <bgColor rgb="FFE78686"/>
      </patternFill>
    </fill>
    <fill>
      <patternFill patternType="solid">
        <fgColor rgb="FFF9E2E2"/>
        <bgColor rgb="FFF9E2E2"/>
      </patternFill>
    </fill>
    <fill>
      <patternFill patternType="solid">
        <fgColor rgb="FFE16B6B"/>
        <bgColor rgb="FFE16B6B"/>
      </patternFill>
    </fill>
    <fill>
      <patternFill patternType="solid">
        <fgColor rgb="FFF9E4E4"/>
        <bgColor rgb="FFF9E4E4"/>
      </patternFill>
    </fill>
    <fill>
      <patternFill patternType="solid">
        <fgColor rgb="FFF3C6C6"/>
        <bgColor rgb="FFF3C6C6"/>
      </patternFill>
    </fill>
    <fill>
      <patternFill patternType="solid">
        <fgColor rgb="FFF9E3E3"/>
        <bgColor rgb="FFF9E3E3"/>
      </patternFill>
    </fill>
    <fill>
      <patternFill patternType="solid">
        <fgColor rgb="FFF9FBFE"/>
        <bgColor rgb="FFF9FBFE"/>
      </patternFill>
    </fill>
    <fill>
      <patternFill patternType="solid">
        <fgColor rgb="FFFEFBFB"/>
        <bgColor rgb="FFFEFBFB"/>
      </patternFill>
    </fill>
    <fill>
      <patternFill patternType="solid">
        <fgColor rgb="FFF6D4D4"/>
        <bgColor rgb="FFF6D4D4"/>
      </patternFill>
    </fill>
    <fill>
      <patternFill patternType="solid">
        <fgColor rgb="FF669FD3"/>
        <bgColor rgb="FF669FD3"/>
      </patternFill>
    </fill>
    <fill>
      <patternFill patternType="solid">
        <fgColor rgb="FFFBECEC"/>
        <bgColor rgb="FFFBECEC"/>
      </patternFill>
    </fill>
    <fill>
      <patternFill patternType="solid">
        <fgColor rgb="FFEB9B9B"/>
        <bgColor rgb="FFEB9B9B"/>
      </patternFill>
    </fill>
    <fill>
      <patternFill patternType="solid">
        <fgColor rgb="FFEA9999"/>
        <bgColor rgb="FFEA9999"/>
      </patternFill>
    </fill>
    <fill>
      <patternFill patternType="solid">
        <fgColor rgb="FFA8D08D"/>
        <bgColor rgb="FFA8D08D"/>
      </patternFill>
    </fill>
    <fill>
      <patternFill patternType="solid">
        <fgColor rgb="FFC5E0B3"/>
        <bgColor rgb="FFC5E0B3"/>
      </patternFill>
    </fill>
    <fill>
      <patternFill patternType="solid">
        <fgColor rgb="FFC189F7"/>
        <bgColor rgb="FFC189F7"/>
      </patternFill>
    </fill>
    <fill>
      <patternFill patternType="solid">
        <fgColor rgb="FFF6C3FF"/>
        <bgColor rgb="FFF6C3FF"/>
      </patternFill>
    </fill>
  </fills>
  <borders count="41">
    <border/>
    <border>
      <bottom style="thick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left/>
      <right/>
      <top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0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readingOrder="0" vertical="bottom"/>
    </xf>
    <xf borderId="1" fillId="3" fontId="3" numFmtId="0" xfId="0" applyAlignment="1" applyBorder="1" applyFill="1" applyFont="1">
      <alignment readingOrder="0"/>
    </xf>
    <xf borderId="1" fillId="0" fontId="3" numFmtId="0" xfId="0" applyAlignment="1" applyBorder="1" applyFont="1">
      <alignment readingOrder="0"/>
    </xf>
    <xf borderId="0" fillId="0" fontId="4" numFmtId="0" xfId="0" applyAlignment="1" applyFont="1">
      <alignment horizontal="left" readingOrder="0" vertical="top"/>
    </xf>
    <xf borderId="2" fillId="4" fontId="4" numFmtId="0" xfId="0" applyAlignment="1" applyBorder="1" applyFill="1" applyFont="1">
      <alignment horizontal="left" vertical="top"/>
    </xf>
    <xf borderId="2" fillId="5" fontId="5" numFmtId="0" xfId="0" applyAlignment="1" applyBorder="1" applyFill="1" applyFont="1">
      <alignment horizontal="left"/>
    </xf>
    <xf borderId="2" fillId="3" fontId="4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readingOrder="0"/>
    </xf>
    <xf borderId="0" fillId="0" fontId="5" numFmtId="0" xfId="0" applyAlignment="1" applyFont="1">
      <alignment readingOrder="0"/>
    </xf>
    <xf borderId="2" fillId="6" fontId="5" numFmtId="0" xfId="0" applyAlignment="1" applyBorder="1" applyFill="1" applyFont="1">
      <alignment horizontal="left"/>
    </xf>
    <xf borderId="2" fillId="3" fontId="5" numFmtId="0" xfId="0" applyAlignment="1" applyBorder="1" applyFont="1">
      <alignment horizontal="left" readingOrder="0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 shrinkToFit="0" wrapText="1"/>
    </xf>
    <xf borderId="0" fillId="7" fontId="3" numFmtId="0" xfId="0" applyAlignment="1" applyFill="1" applyFont="1">
      <alignment readingOrder="0"/>
    </xf>
    <xf borderId="0" fillId="7" fontId="5" numFmtId="0" xfId="0" applyFont="1"/>
    <xf borderId="3" fillId="0" fontId="2" numFmtId="0" xfId="0" applyAlignment="1" applyBorder="1" applyFont="1">
      <alignment horizontal="center" vertical="top"/>
    </xf>
    <xf borderId="4" fillId="0" fontId="6" numFmtId="0" xfId="0" applyBorder="1" applyFont="1"/>
    <xf borderId="5" fillId="0" fontId="6" numFmtId="0" xfId="0" applyBorder="1" applyFont="1"/>
    <xf borderId="3" fillId="0" fontId="5" numFmtId="0" xfId="0" applyAlignment="1" applyBorder="1" applyFont="1">
      <alignment horizontal="center" readingOrder="0"/>
    </xf>
    <xf borderId="0" fillId="0" fontId="4" numFmtId="0" xfId="0" applyAlignment="1" applyFont="1">
      <alignment readingOrder="0" vertical="bottom"/>
    </xf>
    <xf borderId="0" fillId="2" fontId="2" numFmtId="0" xfId="0" applyAlignment="1" applyFont="1">
      <alignment vertical="top"/>
    </xf>
    <xf borderId="0" fillId="0" fontId="7" numFmtId="0" xfId="0" applyAlignment="1" applyFont="1">
      <alignment vertical="bottom"/>
    </xf>
    <xf borderId="0" fillId="0" fontId="4" numFmtId="0" xfId="0" applyAlignment="1" applyFont="1">
      <alignment vertical="bottom"/>
    </xf>
    <xf borderId="6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readingOrder="0" vertical="top"/>
    </xf>
    <xf borderId="6" fillId="8" fontId="2" numFmtId="0" xfId="0" applyAlignment="1" applyBorder="1" applyFill="1" applyFont="1">
      <alignment vertical="top"/>
    </xf>
    <xf borderId="0" fillId="2" fontId="2" numFmtId="0" xfId="0" applyAlignment="1" applyFont="1">
      <alignment horizontal="right" readingOrder="0" vertical="bottom"/>
    </xf>
    <xf borderId="7" fillId="5" fontId="2" numFmtId="0" xfId="0" applyAlignment="1" applyBorder="1" applyFont="1">
      <alignment horizontal="center" vertical="top"/>
    </xf>
    <xf borderId="7" fillId="9" fontId="2" numFmtId="0" xfId="0" applyAlignment="1" applyBorder="1" applyFill="1" applyFont="1">
      <alignment horizontal="center" vertical="top"/>
    </xf>
    <xf borderId="7" fillId="10" fontId="2" numFmtId="0" xfId="0" applyAlignment="1" applyBorder="1" applyFill="1" applyFont="1">
      <alignment horizontal="center" vertical="top"/>
    </xf>
    <xf borderId="0" fillId="11" fontId="4" numFmtId="0" xfId="0" applyAlignment="1" applyFill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12" fontId="4" numFmtId="0" xfId="0" applyAlignment="1" applyFill="1" applyFont="1">
      <alignment horizontal="right" vertical="bottom"/>
    </xf>
    <xf borderId="0" fillId="13" fontId="4" numFmtId="0" xfId="0" applyAlignment="1" applyFill="1" applyFont="1">
      <alignment horizontal="right" vertical="bottom"/>
    </xf>
    <xf borderId="0" fillId="14" fontId="4" numFmtId="0" xfId="0" applyAlignment="1" applyFill="1" applyFont="1">
      <alignment horizontal="right" vertical="bottom"/>
    </xf>
    <xf borderId="8" fillId="15" fontId="4" numFmtId="0" xfId="0" applyAlignment="1" applyBorder="1" applyFill="1" applyFont="1">
      <alignment horizontal="right" vertical="bottom"/>
    </xf>
    <xf borderId="9" fillId="2" fontId="4" numFmtId="0" xfId="0" applyAlignment="1" applyBorder="1" applyFont="1">
      <alignment horizontal="right" vertical="bottom"/>
    </xf>
    <xf borderId="9" fillId="16" fontId="4" numFmtId="0" xfId="0" applyAlignment="1" applyBorder="1" applyFill="1" applyFont="1">
      <alignment horizontal="right" vertical="bottom"/>
    </xf>
    <xf borderId="9" fillId="17" fontId="4" numFmtId="0" xfId="0" applyAlignment="1" applyBorder="1" applyFill="1" applyFont="1">
      <alignment horizontal="right" vertical="bottom"/>
    </xf>
    <xf borderId="10" fillId="2" fontId="4" numFmtId="0" xfId="0" applyAlignment="1" applyBorder="1" applyFont="1">
      <alignment horizontal="right" vertical="bottom"/>
    </xf>
    <xf borderId="8" fillId="11" fontId="4" numFmtId="0" xfId="0" applyAlignment="1" applyBorder="1" applyFont="1">
      <alignment horizontal="right" vertical="bottom"/>
    </xf>
    <xf borderId="9" fillId="18" fontId="4" numFmtId="0" xfId="0" applyAlignment="1" applyBorder="1" applyFill="1" applyFont="1">
      <alignment horizontal="right" vertical="bottom"/>
    </xf>
    <xf borderId="11" fillId="19" fontId="4" numFmtId="0" xfId="0" applyAlignment="1" applyBorder="1" applyFill="1" applyFont="1">
      <alignment horizontal="right" vertical="bottom"/>
    </xf>
    <xf borderId="5" fillId="20" fontId="2" numFmtId="0" xfId="0" applyAlignment="1" applyBorder="1" applyFill="1" applyFont="1">
      <alignment horizontal="center" vertical="top"/>
    </xf>
    <xf borderId="0" fillId="2" fontId="4" numFmtId="0" xfId="0" applyAlignment="1" applyFont="1">
      <alignment horizontal="right" readingOrder="0" vertical="bottom"/>
    </xf>
    <xf borderId="3" fillId="5" fontId="2" numFmtId="0" xfId="0" applyAlignment="1" applyBorder="1" applyFont="1">
      <alignment horizontal="center" vertical="top"/>
    </xf>
    <xf borderId="12" fillId="21" fontId="4" numFmtId="0" xfId="0" applyAlignment="1" applyBorder="1" applyFill="1" applyFont="1">
      <alignment horizontal="right" readingOrder="0" vertical="bottom"/>
    </xf>
    <xf borderId="13" fillId="21" fontId="4" numFmtId="0" xfId="0" applyAlignment="1" applyBorder="1" applyFont="1">
      <alignment horizontal="right" readingOrder="0" vertical="bottom"/>
    </xf>
    <xf borderId="14" fillId="21" fontId="4" numFmtId="0" xfId="0" applyAlignment="1" applyBorder="1" applyFont="1">
      <alignment horizontal="right" readingOrder="0" vertical="bottom"/>
    </xf>
    <xf borderId="0" fillId="22" fontId="4" numFmtId="0" xfId="0" applyAlignment="1" applyFill="1" applyFont="1">
      <alignment horizontal="right" vertical="bottom"/>
    </xf>
    <xf borderId="0" fillId="23" fontId="4" numFmtId="0" xfId="0" applyAlignment="1" applyFill="1" applyFont="1">
      <alignment horizontal="right" vertical="bottom"/>
    </xf>
    <xf borderId="0" fillId="24" fontId="4" numFmtId="0" xfId="0" applyAlignment="1" applyFill="1" applyFont="1">
      <alignment horizontal="right" vertical="bottom"/>
    </xf>
    <xf borderId="15" fillId="25" fontId="4" numFmtId="0" xfId="0" applyAlignment="1" applyBorder="1" applyFill="1" applyFont="1">
      <alignment horizontal="right" vertical="bottom"/>
    </xf>
    <xf borderId="0" fillId="26" fontId="4" numFmtId="0" xfId="0" applyAlignment="1" applyFill="1" applyFont="1">
      <alignment horizontal="right" vertical="bottom"/>
    </xf>
    <xf borderId="16" fillId="2" fontId="4" numFmtId="0" xfId="0" applyAlignment="1" applyBorder="1" applyFont="1">
      <alignment horizontal="right" vertical="bottom"/>
    </xf>
    <xf borderId="15" fillId="27" fontId="4" numFmtId="0" xfId="0" applyAlignment="1" applyBorder="1" applyFill="1" applyFont="1">
      <alignment horizontal="right" vertical="bottom"/>
    </xf>
    <xf borderId="0" fillId="25" fontId="4" numFmtId="0" xfId="0" applyAlignment="1" applyFont="1">
      <alignment horizontal="right" vertical="bottom"/>
    </xf>
    <xf borderId="17" fillId="19" fontId="4" numFmtId="0" xfId="0" applyAlignment="1" applyBorder="1" applyFont="1">
      <alignment horizontal="right" vertical="bottom"/>
    </xf>
    <xf borderId="18" fillId="0" fontId="6" numFmtId="0" xfId="0" applyBorder="1" applyFont="1"/>
    <xf borderId="19" fillId="21" fontId="4" numFmtId="0" xfId="0" applyAlignment="1" applyBorder="1" applyFont="1">
      <alignment horizontal="right" readingOrder="0" vertical="bottom"/>
    </xf>
    <xf borderId="6" fillId="21" fontId="4" numFmtId="0" xfId="0" applyAlignment="1" applyBorder="1" applyFont="1">
      <alignment horizontal="right" readingOrder="0" vertical="bottom"/>
    </xf>
    <xf borderId="20" fillId="21" fontId="4" numFmtId="0" xfId="0" applyAlignment="1" applyBorder="1" applyFont="1">
      <alignment horizontal="right" readingOrder="0" vertical="bottom"/>
    </xf>
    <xf borderId="0" fillId="28" fontId="4" numFmtId="0" xfId="0" applyAlignment="1" applyFill="1" applyFont="1">
      <alignment horizontal="right" vertical="bottom"/>
    </xf>
    <xf borderId="0" fillId="29" fontId="4" numFmtId="0" xfId="0" applyAlignment="1" applyFill="1" applyFont="1">
      <alignment horizontal="right" vertical="bottom"/>
    </xf>
    <xf borderId="0" fillId="30" fontId="4" numFmtId="0" xfId="0" applyAlignment="1" applyFill="1" applyFont="1">
      <alignment horizontal="right" vertical="bottom"/>
    </xf>
    <xf borderId="0" fillId="31" fontId="4" numFmtId="0" xfId="0" applyAlignment="1" applyFill="1" applyFont="1">
      <alignment horizontal="right" vertical="bottom"/>
    </xf>
    <xf borderId="0" fillId="32" fontId="4" numFmtId="0" xfId="0" applyAlignment="1" applyFill="1" applyFont="1">
      <alignment horizontal="right" vertical="bottom"/>
    </xf>
    <xf borderId="15" fillId="17" fontId="4" numFmtId="0" xfId="0" applyAlignment="1" applyBorder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33" fontId="4" numFmtId="0" xfId="0" applyAlignment="1" applyFill="1" applyFont="1">
      <alignment horizontal="right" vertical="bottom"/>
    </xf>
    <xf borderId="0" fillId="34" fontId="4" numFmtId="0" xfId="0" applyAlignment="1" applyFill="1" applyFont="1">
      <alignment horizontal="right" vertical="bottom"/>
    </xf>
    <xf borderId="0" fillId="35" fontId="4" numFmtId="0" xfId="0" applyAlignment="1" applyFill="1" applyFont="1">
      <alignment horizontal="right" vertical="bottom"/>
    </xf>
    <xf borderId="0" fillId="36" fontId="4" numFmtId="0" xfId="0" applyAlignment="1" applyFill="1" applyFont="1">
      <alignment horizontal="right" vertical="bottom"/>
    </xf>
    <xf borderId="15" fillId="37" fontId="4" numFmtId="0" xfId="0" applyAlignment="1" applyBorder="1" applyFill="1" applyFont="1">
      <alignment horizontal="right" vertical="bottom"/>
    </xf>
    <xf borderId="0" fillId="38" fontId="4" numFmtId="0" xfId="0" applyAlignment="1" applyFill="1" applyFont="1">
      <alignment horizontal="right" vertical="bottom"/>
    </xf>
    <xf borderId="17" fillId="19" fontId="4" numFmtId="0" xfId="0" applyAlignment="1" applyBorder="1" applyFont="1">
      <alignment horizontal="right" vertical="bottom"/>
    </xf>
    <xf borderId="5" fillId="39" fontId="2" numFmtId="0" xfId="0" applyAlignment="1" applyBorder="1" applyFill="1" applyFont="1">
      <alignment horizontal="center" vertical="top"/>
    </xf>
    <xf borderId="3" fillId="9" fontId="2" numFmtId="0" xfId="0" applyAlignment="1" applyBorder="1" applyFont="1">
      <alignment horizontal="center" vertical="top"/>
    </xf>
    <xf borderId="0" fillId="40" fontId="4" numFmtId="0" xfId="0" applyAlignment="1" applyFill="1" applyFont="1">
      <alignment horizontal="right" vertical="bottom"/>
    </xf>
    <xf borderId="0" fillId="41" fontId="4" numFmtId="0" xfId="0" applyAlignment="1" applyFill="1" applyFont="1">
      <alignment horizontal="right" vertical="bottom"/>
    </xf>
    <xf borderId="0" fillId="42" fontId="4" numFmtId="0" xfId="0" applyAlignment="1" applyFill="1" applyFont="1">
      <alignment horizontal="right" vertical="bottom"/>
    </xf>
    <xf borderId="15" fillId="43" fontId="4" numFmtId="0" xfId="0" applyAlignment="1" applyBorder="1" applyFill="1" applyFont="1">
      <alignment horizontal="right" vertical="bottom"/>
    </xf>
    <xf borderId="0" fillId="44" fontId="4" numFmtId="0" xfId="0" applyAlignment="1" applyFill="1" applyFont="1">
      <alignment horizontal="right" vertical="bottom"/>
    </xf>
    <xf borderId="15" fillId="45" fontId="4" numFmtId="0" xfId="0" applyAlignment="1" applyBorder="1" applyFill="1" applyFont="1">
      <alignment horizontal="right" vertical="bottom"/>
    </xf>
    <xf borderId="0" fillId="46" fontId="4" numFmtId="0" xfId="0" applyAlignment="1" applyFill="1" applyFont="1">
      <alignment horizontal="right" vertical="bottom"/>
    </xf>
    <xf borderId="0" fillId="47" fontId="4" numFmtId="0" xfId="0" applyAlignment="1" applyFill="1" applyFont="1">
      <alignment horizontal="right" vertical="bottom"/>
    </xf>
    <xf borderId="0" fillId="48" fontId="4" numFmtId="0" xfId="0" applyAlignment="1" applyFill="1" applyFont="1">
      <alignment horizontal="right" vertical="bottom"/>
    </xf>
    <xf borderId="0" fillId="49" fontId="4" numFmtId="0" xfId="0" applyAlignment="1" applyFill="1" applyFont="1">
      <alignment horizontal="right" vertical="bottom"/>
    </xf>
    <xf borderId="0" fillId="50" fontId="4" numFmtId="0" xfId="0" applyAlignment="1" applyFill="1" applyFont="1">
      <alignment horizontal="right" vertical="bottom"/>
    </xf>
    <xf borderId="15" fillId="51" fontId="4" numFmtId="0" xfId="0" applyAlignment="1" applyBorder="1" applyFill="1" applyFont="1">
      <alignment horizontal="right" vertical="bottom"/>
    </xf>
    <xf borderId="0" fillId="52" fontId="4" numFmtId="0" xfId="0" applyAlignment="1" applyFill="1" applyFont="1">
      <alignment horizontal="right" vertical="bottom"/>
    </xf>
    <xf borderId="15" fillId="53" fontId="4" numFmtId="0" xfId="0" applyAlignment="1" applyBorder="1" applyFill="1" applyFont="1">
      <alignment horizontal="right" vertical="bottom"/>
    </xf>
    <xf borderId="0" fillId="51" fontId="4" numFmtId="0" xfId="0" applyAlignment="1" applyFont="1">
      <alignment horizontal="right" vertical="bottom"/>
    </xf>
    <xf borderId="5" fillId="54" fontId="2" numFmtId="0" xfId="0" applyAlignment="1" applyBorder="1" applyFill="1" applyFont="1">
      <alignment horizontal="center" vertical="top"/>
    </xf>
    <xf borderId="3" fillId="10" fontId="2" numFmtId="0" xfId="0" applyAlignment="1" applyBorder="1" applyFont="1">
      <alignment horizontal="center" vertical="top"/>
    </xf>
    <xf borderId="0" fillId="55" fontId="4" numFmtId="0" xfId="0" applyAlignment="1" applyFill="1" applyFont="1">
      <alignment horizontal="right" vertical="bottom"/>
    </xf>
    <xf borderId="0" fillId="56" fontId="4" numFmtId="0" xfId="0" applyAlignment="1" applyFill="1" applyFont="1">
      <alignment horizontal="right" vertical="bottom"/>
    </xf>
    <xf borderId="0" fillId="57" fontId="4" numFmtId="0" xfId="0" applyAlignment="1" applyFill="1" applyFont="1">
      <alignment horizontal="right" vertical="bottom"/>
    </xf>
    <xf borderId="15" fillId="44" fontId="4" numFmtId="0" xfId="0" applyAlignment="1" applyBorder="1" applyFont="1">
      <alignment horizontal="right" vertical="bottom"/>
    </xf>
    <xf borderId="15" fillId="58" fontId="4" numFmtId="0" xfId="0" applyAlignment="1" applyBorder="1" applyFill="1" applyFont="1">
      <alignment horizontal="right" vertical="bottom"/>
    </xf>
    <xf borderId="0" fillId="59" fontId="4" numFmtId="0" xfId="0" applyAlignment="1" applyFill="1" applyFont="1">
      <alignment horizontal="right" vertical="bottom"/>
    </xf>
    <xf borderId="0" fillId="60" fontId="4" numFmtId="0" xfId="0" applyAlignment="1" applyFill="1" applyFont="1">
      <alignment horizontal="right" vertical="bottom"/>
    </xf>
    <xf borderId="0" fillId="61" fontId="4" numFmtId="0" xfId="0" applyAlignment="1" applyFill="1" applyFont="1">
      <alignment horizontal="right" vertical="bottom"/>
    </xf>
    <xf borderId="0" fillId="62" fontId="4" numFmtId="0" xfId="0" applyAlignment="1" applyFill="1" applyFont="1">
      <alignment horizontal="right" vertical="bottom"/>
    </xf>
    <xf borderId="15" fillId="63" fontId="4" numFmtId="0" xfId="0" applyAlignment="1" applyBorder="1" applyFill="1" applyFont="1">
      <alignment horizontal="right" vertical="bottom"/>
    </xf>
    <xf borderId="0" fillId="17" fontId="4" numFmtId="0" xfId="0" applyAlignment="1" applyFont="1">
      <alignment horizontal="right" vertical="bottom"/>
    </xf>
    <xf borderId="15" fillId="27" fontId="4" numFmtId="0" xfId="0" applyAlignment="1" applyBorder="1" applyFont="1">
      <alignment horizontal="right" vertical="bottom"/>
    </xf>
    <xf borderId="0" fillId="64" fontId="4" numFmtId="0" xfId="0" applyAlignment="1" applyFill="1" applyFont="1">
      <alignment horizontal="right" vertical="bottom"/>
    </xf>
    <xf borderId="5" fillId="0" fontId="2" numFmtId="0" xfId="0" applyAlignment="1" applyBorder="1" applyFont="1">
      <alignment horizontal="center" vertical="top"/>
    </xf>
    <xf borderId="0" fillId="65" fontId="4" numFmtId="0" xfId="0" applyAlignment="1" applyFill="1" applyFont="1">
      <alignment horizontal="right" vertical="bottom"/>
    </xf>
    <xf borderId="0" fillId="66" fontId="4" numFmtId="0" xfId="0" applyAlignment="1" applyFill="1" applyFont="1">
      <alignment horizontal="right" vertical="bottom"/>
    </xf>
    <xf borderId="15" fillId="67" fontId="4" numFmtId="0" xfId="0" applyAlignment="1" applyBorder="1" applyFill="1" applyFont="1">
      <alignment horizontal="right" vertical="bottom"/>
    </xf>
    <xf borderId="0" fillId="68" fontId="4" numFmtId="0" xfId="0" applyAlignment="1" applyFill="1" applyFont="1">
      <alignment horizontal="right" vertical="bottom"/>
    </xf>
    <xf borderId="0" fillId="63" fontId="4" numFmtId="0" xfId="0" applyAlignment="1" applyFont="1">
      <alignment horizontal="right" vertical="bottom"/>
    </xf>
    <xf borderId="0" fillId="67" fontId="4" numFmtId="0" xfId="0" applyAlignment="1" applyFont="1">
      <alignment horizontal="right" vertical="bottom"/>
    </xf>
    <xf borderId="0" fillId="69" fontId="4" numFmtId="0" xfId="0" applyAlignment="1" applyFill="1" applyFont="1">
      <alignment horizontal="right" vertical="bottom"/>
    </xf>
    <xf borderId="15" fillId="65" fontId="4" numFmtId="0" xfId="0" applyAlignment="1" applyBorder="1" applyFont="1">
      <alignment horizontal="right" vertical="bottom"/>
    </xf>
    <xf borderId="0" fillId="67" fontId="4" numFmtId="0" xfId="0" applyAlignment="1" applyFont="1">
      <alignment horizontal="right" vertical="bottom"/>
    </xf>
    <xf borderId="0" fillId="70" fontId="4" numFmtId="0" xfId="0" applyAlignment="1" applyFill="1" applyFont="1">
      <alignment horizontal="right" vertical="bottom"/>
    </xf>
    <xf borderId="0" fillId="71" fontId="4" numFmtId="0" xfId="0" applyAlignment="1" applyFill="1" applyFont="1">
      <alignment horizontal="right" vertical="bottom"/>
    </xf>
    <xf borderId="15" fillId="72" fontId="4" numFmtId="0" xfId="0" applyAlignment="1" applyBorder="1" applyFill="1" applyFont="1">
      <alignment horizontal="right" vertical="bottom"/>
    </xf>
    <xf borderId="0" fillId="59" fontId="4" numFmtId="0" xfId="0" applyAlignment="1" applyFont="1">
      <alignment horizontal="right" vertical="bottom"/>
    </xf>
    <xf borderId="15" fillId="73" fontId="4" numFmtId="0" xfId="0" applyAlignment="1" applyBorder="1" applyFill="1" applyFont="1">
      <alignment horizontal="right" vertical="bottom"/>
    </xf>
    <xf borderId="0" fillId="74" fontId="4" numFmtId="0" xfId="0" applyAlignment="1" applyFill="1" applyFont="1">
      <alignment horizontal="right" vertical="bottom"/>
    </xf>
    <xf borderId="0" fillId="75" fontId="4" numFmtId="0" xfId="0" applyAlignment="1" applyFill="1" applyFont="1">
      <alignment horizontal="right" vertical="bottom"/>
    </xf>
    <xf borderId="0" fillId="76" fontId="4" numFmtId="0" xfId="0" applyAlignment="1" applyFill="1" applyFont="1">
      <alignment horizontal="right" vertical="bottom"/>
    </xf>
    <xf borderId="0" fillId="77" fontId="4" numFmtId="0" xfId="0" applyAlignment="1" applyFill="1" applyFont="1">
      <alignment horizontal="right" vertical="bottom"/>
    </xf>
    <xf borderId="15" fillId="78" fontId="4" numFmtId="0" xfId="0" applyAlignment="1" applyBorder="1" applyFill="1" applyFont="1">
      <alignment horizontal="right" vertical="bottom"/>
    </xf>
    <xf borderId="0" fillId="79" fontId="4" numFmtId="0" xfId="0" applyAlignment="1" applyFill="1" applyFont="1">
      <alignment horizontal="right" vertical="bottom"/>
    </xf>
    <xf borderId="0" fillId="80" fontId="4" numFmtId="0" xfId="0" applyAlignment="1" applyFill="1" applyFont="1">
      <alignment horizontal="right" vertical="bottom"/>
    </xf>
    <xf borderId="0" fillId="15" fontId="4" numFmtId="0" xfId="0" applyAlignment="1" applyFont="1">
      <alignment horizontal="right" vertical="bottom"/>
    </xf>
    <xf borderId="0" fillId="81" fontId="4" numFmtId="0" xfId="0" applyAlignment="1" applyFill="1" applyFont="1">
      <alignment horizontal="right" vertical="bottom"/>
    </xf>
    <xf borderId="15" fillId="65" fontId="4" numFmtId="0" xfId="0" applyAlignment="1" applyBorder="1" applyFont="1">
      <alignment horizontal="right" vertical="bottom"/>
    </xf>
    <xf borderId="0" fillId="82" fontId="4" numFmtId="0" xfId="0" applyAlignment="1" applyFill="1" applyFont="1">
      <alignment horizontal="right" vertical="bottom"/>
    </xf>
    <xf borderId="5" fillId="54" fontId="2" numFmtId="0" xfId="0" applyAlignment="1" applyBorder="1" applyFont="1">
      <alignment horizontal="center" vertical="top"/>
    </xf>
    <xf borderId="0" fillId="83" fontId="4" numFmtId="0" xfId="0" applyAlignment="1" applyFill="1" applyFont="1">
      <alignment horizontal="right" vertical="bottom"/>
    </xf>
    <xf borderId="0" fillId="84" fontId="4" numFmtId="0" xfId="0" applyAlignment="1" applyFill="1" applyFont="1">
      <alignment horizontal="right" vertical="bottom"/>
    </xf>
    <xf borderId="15" fillId="85" fontId="4" numFmtId="0" xfId="0" applyAlignment="1" applyBorder="1" applyFill="1" applyFont="1">
      <alignment horizontal="right" vertical="bottom"/>
    </xf>
    <xf borderId="0" fillId="86" fontId="4" numFmtId="0" xfId="0" applyAlignment="1" applyFill="1" applyFont="1">
      <alignment horizontal="right" vertical="bottom"/>
    </xf>
    <xf borderId="0" fillId="87" fontId="4" numFmtId="0" xfId="0" applyAlignment="1" applyFill="1" applyFont="1">
      <alignment horizontal="right" vertical="bottom"/>
    </xf>
    <xf borderId="0" fillId="88" fontId="4" numFmtId="0" xfId="0" applyAlignment="1" applyFill="1" applyFont="1">
      <alignment horizontal="right" vertical="bottom"/>
    </xf>
    <xf borderId="0" fillId="89" fontId="4" numFmtId="0" xfId="0" applyAlignment="1" applyFill="1" applyFont="1">
      <alignment horizontal="right" vertical="bottom"/>
    </xf>
    <xf borderId="0" fillId="90" fontId="4" numFmtId="0" xfId="0" applyAlignment="1" applyFill="1" applyFont="1">
      <alignment horizontal="right" vertical="bottom"/>
    </xf>
    <xf borderId="0" fillId="91" fontId="4" numFmtId="0" xfId="0" applyAlignment="1" applyFill="1" applyFont="1">
      <alignment horizontal="right" vertical="bottom"/>
    </xf>
    <xf borderId="0" fillId="92" fontId="4" numFmtId="0" xfId="0" applyAlignment="1" applyFill="1" applyFont="1">
      <alignment horizontal="right" vertical="bottom"/>
    </xf>
    <xf borderId="15" fillId="52" fontId="4" numFmtId="0" xfId="0" applyAlignment="1" applyBorder="1" applyFont="1">
      <alignment horizontal="right" vertical="bottom"/>
    </xf>
    <xf borderId="15" fillId="93" fontId="4" numFmtId="0" xfId="0" applyAlignment="1" applyBorder="1" applyFill="1" applyFont="1">
      <alignment horizontal="right" vertical="bottom"/>
    </xf>
    <xf borderId="0" fillId="26" fontId="4" numFmtId="0" xfId="0" applyAlignment="1" applyFont="1">
      <alignment horizontal="right" vertical="bottom"/>
    </xf>
    <xf borderId="0" fillId="94" fontId="4" numFmtId="0" xfId="0" applyAlignment="1" applyFill="1" applyFont="1">
      <alignment horizontal="right" vertical="bottom"/>
    </xf>
    <xf borderId="15" fillId="2" fontId="4" numFmtId="0" xfId="0" applyAlignment="1" applyBorder="1" applyFont="1">
      <alignment horizontal="right" vertical="bottom"/>
    </xf>
    <xf borderId="15" fillId="95" fontId="4" numFmtId="0" xfId="0" applyAlignment="1" applyBorder="1" applyFill="1" applyFont="1">
      <alignment horizontal="right" vertical="bottom"/>
    </xf>
    <xf borderId="0" fillId="2" fontId="4" numFmtId="0" xfId="0" applyAlignment="1" applyFont="1">
      <alignment horizontal="right" vertical="bottom"/>
    </xf>
    <xf borderId="0" fillId="96" fontId="4" numFmtId="0" xfId="0" applyAlignment="1" applyFill="1" applyFont="1">
      <alignment horizontal="right" vertical="bottom"/>
    </xf>
    <xf borderId="0" fillId="97" fontId="4" numFmtId="0" xfId="0" applyAlignment="1" applyFill="1" applyFont="1">
      <alignment horizontal="right" vertical="bottom"/>
    </xf>
    <xf borderId="0" fillId="73" fontId="4" numFmtId="0" xfId="0" applyAlignment="1" applyFont="1">
      <alignment horizontal="right" vertical="bottom"/>
    </xf>
    <xf borderId="21" fillId="98" fontId="4" numFmtId="0" xfId="0" applyAlignment="1" applyBorder="1" applyFill="1" applyFont="1">
      <alignment horizontal="right" vertical="bottom"/>
    </xf>
    <xf borderId="2" fillId="99" fontId="4" numFmtId="0" xfId="0" applyAlignment="1" applyBorder="1" applyFill="1" applyFont="1">
      <alignment horizontal="right" vertical="bottom"/>
    </xf>
    <xf borderId="2" fillId="100" fontId="4" numFmtId="0" xfId="0" applyAlignment="1" applyBorder="1" applyFill="1" applyFont="1">
      <alignment horizontal="right" vertical="bottom"/>
    </xf>
    <xf borderId="2" fillId="26" fontId="4" numFmtId="0" xfId="0" applyAlignment="1" applyBorder="1" applyFont="1">
      <alignment horizontal="right" vertical="bottom"/>
    </xf>
    <xf borderId="2" fillId="101" fontId="4" numFmtId="0" xfId="0" applyAlignment="1" applyBorder="1" applyFill="1" applyFont="1">
      <alignment horizontal="right" vertical="bottom"/>
    </xf>
    <xf borderId="2" fillId="102" fontId="4" numFmtId="0" xfId="0" applyAlignment="1" applyBorder="1" applyFill="1" applyFont="1">
      <alignment horizontal="right" vertical="bottom"/>
    </xf>
    <xf borderId="22" fillId="2" fontId="4" numFmtId="0" xfId="0" applyAlignment="1" applyBorder="1" applyFont="1">
      <alignment horizontal="right" vertical="bottom"/>
    </xf>
    <xf borderId="15" fillId="103" fontId="4" numFmtId="0" xfId="0" applyAlignment="1" applyBorder="1" applyFill="1" applyFont="1">
      <alignment horizontal="right" vertical="bottom"/>
    </xf>
    <xf borderId="0" fillId="104" fontId="4" numFmtId="0" xfId="0" applyAlignment="1" applyFill="1" applyFont="1">
      <alignment horizontal="right" vertical="bottom"/>
    </xf>
    <xf borderId="23" fillId="19" fontId="4" numFmtId="0" xfId="0" applyAlignment="1" applyBorder="1" applyFont="1">
      <alignment horizontal="right" vertical="bottom"/>
    </xf>
    <xf borderId="24" fillId="0" fontId="6" numFmtId="0" xfId="0" applyBorder="1" applyFont="1"/>
    <xf borderId="25" fillId="21" fontId="4" numFmtId="0" xfId="0" applyAlignment="1" applyBorder="1" applyFont="1">
      <alignment horizontal="right" readingOrder="0" vertical="bottom"/>
    </xf>
    <xf borderId="26" fillId="21" fontId="4" numFmtId="0" xfId="0" applyAlignment="1" applyBorder="1" applyFont="1">
      <alignment horizontal="right" readingOrder="0" vertical="bottom"/>
    </xf>
    <xf borderId="27" fillId="21" fontId="4" numFmtId="0" xfId="0" applyAlignment="1" applyBorder="1" applyFont="1">
      <alignment horizontal="right" readingOrder="0" vertical="bottom"/>
    </xf>
    <xf borderId="9" fillId="105" fontId="4" numFmtId="0" xfId="0" applyAlignment="1" applyBorder="1" applyFill="1" applyFont="1">
      <alignment horizontal="right" vertical="bottom"/>
    </xf>
    <xf borderId="9" fillId="106" fontId="4" numFmtId="0" xfId="0" applyAlignment="1" applyBorder="1" applyFill="1" applyFont="1">
      <alignment horizontal="right" vertical="bottom"/>
    </xf>
    <xf borderId="9" fillId="33" fontId="4" numFmtId="0" xfId="0" applyAlignment="1" applyBorder="1" applyFont="1">
      <alignment horizontal="right" vertical="bottom"/>
    </xf>
    <xf borderId="8" fillId="107" fontId="4" numFmtId="0" xfId="0" applyAlignment="1" applyBorder="1" applyFill="1" applyFont="1">
      <alignment horizontal="right" vertical="bottom"/>
    </xf>
    <xf borderId="9" fillId="108" fontId="4" numFmtId="0" xfId="0" applyAlignment="1" applyBorder="1" applyFill="1" applyFont="1">
      <alignment horizontal="right" vertical="bottom"/>
    </xf>
    <xf borderId="9" fillId="109" fontId="4" numFmtId="0" xfId="0" applyAlignment="1" applyBorder="1" applyFill="1" applyFont="1">
      <alignment horizontal="right" vertical="bottom"/>
    </xf>
    <xf borderId="9" fillId="110" fontId="4" numFmtId="0" xfId="0" applyAlignment="1" applyBorder="1" applyFill="1" applyFont="1">
      <alignment horizontal="right" vertical="bottom"/>
    </xf>
    <xf borderId="9" fillId="111" fontId="4" numFmtId="0" xfId="0" applyAlignment="1" applyBorder="1" applyFill="1" applyFont="1">
      <alignment horizontal="right" vertical="bottom"/>
    </xf>
    <xf borderId="9" fillId="0" fontId="5" numFmtId="0" xfId="0" applyBorder="1" applyFont="1"/>
    <xf borderId="8" fillId="112" fontId="4" numFmtId="0" xfId="0" applyAlignment="1" applyBorder="1" applyFill="1" applyFont="1">
      <alignment horizontal="right" vertical="bottom"/>
    </xf>
    <xf borderId="9" fillId="102" fontId="4" numFmtId="0" xfId="0" applyAlignment="1" applyBorder="1" applyFont="1">
      <alignment horizontal="right" vertical="bottom"/>
    </xf>
    <xf borderId="11" fillId="19" fontId="4" numFmtId="0" xfId="0" applyAlignment="1" applyBorder="1" applyFont="1">
      <alignment horizontal="right" vertical="bottom"/>
    </xf>
    <xf borderId="0" fillId="0" fontId="2" numFmtId="0" xfId="0" applyAlignment="1" applyFont="1">
      <alignment horizontal="center" readingOrder="0" vertical="top"/>
    </xf>
    <xf borderId="0" fillId="113" fontId="4" numFmtId="0" xfId="0" applyAlignment="1" applyFill="1" applyFont="1">
      <alignment horizontal="right" vertical="bottom"/>
    </xf>
    <xf borderId="15" fillId="114" fontId="4" numFmtId="0" xfId="0" applyAlignment="1" applyBorder="1" applyFill="1" applyFont="1">
      <alignment horizontal="right" vertical="bottom"/>
    </xf>
    <xf borderId="0" fillId="115" fontId="4" numFmtId="0" xfId="0" applyAlignment="1" applyFill="1" applyFont="1">
      <alignment horizontal="right" vertical="bottom"/>
    </xf>
    <xf borderId="0" fillId="116" fontId="4" numFmtId="0" xfId="0" applyAlignment="1" applyFill="1" applyFont="1">
      <alignment horizontal="right" vertical="bottom"/>
    </xf>
    <xf borderId="0" fillId="117" fontId="4" numFmtId="0" xfId="0" applyAlignment="1" applyFill="1" applyFont="1">
      <alignment horizontal="right" vertical="bottom"/>
    </xf>
    <xf borderId="15" fillId="118" fontId="4" numFmtId="0" xfId="0" applyAlignment="1" applyBorder="1" applyFill="1" applyFont="1">
      <alignment horizontal="right" vertical="bottom"/>
    </xf>
    <xf borderId="0" fillId="113" fontId="4" numFmtId="0" xfId="0" applyAlignment="1" applyFont="1">
      <alignment horizontal="right" vertical="bottom"/>
    </xf>
    <xf borderId="15" fillId="119" fontId="4" numFmtId="0" xfId="0" applyAlignment="1" applyBorder="1" applyFill="1" applyFont="1">
      <alignment horizontal="right" vertical="bottom"/>
    </xf>
    <xf borderId="0" fillId="120" fontId="4" numFmtId="0" xfId="0" applyAlignment="1" applyFill="1" applyFont="1">
      <alignment horizontal="right" vertical="bottom"/>
    </xf>
    <xf borderId="0" fillId="121" fontId="4" numFmtId="0" xfId="0" applyAlignment="1" applyFill="1" applyFont="1">
      <alignment horizontal="right" vertical="bottom"/>
    </xf>
    <xf borderId="0" fillId="122" fontId="4" numFmtId="0" xfId="0" applyAlignment="1" applyFill="1" applyFont="1">
      <alignment horizontal="right" vertical="bottom"/>
    </xf>
    <xf borderId="0" fillId="123" fontId="4" numFmtId="0" xfId="0" applyAlignment="1" applyFill="1" applyFont="1">
      <alignment horizontal="right" vertical="bottom"/>
    </xf>
    <xf borderId="0" fillId="124" fontId="4" numFmtId="0" xfId="0" applyAlignment="1" applyFill="1" applyFont="1">
      <alignment horizontal="right" vertical="bottom"/>
    </xf>
    <xf borderId="15" fillId="125" fontId="4" numFmtId="0" xfId="0" applyAlignment="1" applyBorder="1" applyFill="1" applyFont="1">
      <alignment horizontal="right" vertical="bottom"/>
    </xf>
    <xf borderId="0" fillId="126" fontId="4" numFmtId="0" xfId="0" applyAlignment="1" applyFill="1" applyFont="1">
      <alignment horizontal="right" vertical="bottom"/>
    </xf>
    <xf borderId="0" fillId="102" fontId="4" numFmtId="0" xfId="0" applyAlignment="1" applyFont="1">
      <alignment horizontal="right" vertical="bottom"/>
    </xf>
    <xf borderId="0" fillId="127" fontId="4" numFmtId="0" xfId="0" applyAlignment="1" applyFill="1" applyFont="1">
      <alignment horizontal="right" vertical="bottom"/>
    </xf>
    <xf borderId="15" fillId="112" fontId="4" numFmtId="0" xfId="0" applyAlignment="1" applyBorder="1" applyFont="1">
      <alignment horizontal="right" vertical="bottom"/>
    </xf>
    <xf borderId="0" fillId="109" fontId="4" numFmtId="0" xfId="0" applyAlignment="1" applyFont="1">
      <alignment horizontal="right" vertical="bottom"/>
    </xf>
    <xf borderId="0" fillId="128" fontId="4" numFmtId="0" xfId="0" applyAlignment="1" applyFill="1" applyFont="1">
      <alignment horizontal="right" vertical="bottom"/>
    </xf>
    <xf borderId="0" fillId="129" fontId="4" numFmtId="0" xfId="0" applyAlignment="1" applyFill="1" applyFont="1">
      <alignment horizontal="right" vertical="bottom"/>
    </xf>
    <xf borderId="0" fillId="130" fontId="4" numFmtId="0" xfId="0" applyAlignment="1" applyFill="1" applyFont="1">
      <alignment horizontal="right" vertical="bottom"/>
    </xf>
    <xf borderId="15" fillId="112" fontId="4" numFmtId="0" xfId="0" applyAlignment="1" applyBorder="1" applyFont="1">
      <alignment horizontal="right" vertical="bottom"/>
    </xf>
    <xf borderId="0" fillId="102" fontId="4" numFmtId="0" xfId="0" applyAlignment="1" applyFont="1">
      <alignment horizontal="right" vertical="bottom"/>
    </xf>
    <xf borderId="0" fillId="131" fontId="4" numFmtId="0" xfId="0" applyAlignment="1" applyFill="1" applyFont="1">
      <alignment horizontal="right" vertical="bottom"/>
    </xf>
    <xf borderId="0" fillId="132" fontId="4" numFmtId="0" xfId="0" applyAlignment="1" applyFill="1" applyFont="1">
      <alignment horizontal="right" vertical="bottom"/>
    </xf>
    <xf borderId="0" fillId="131" fontId="4" numFmtId="0" xfId="0" applyAlignment="1" applyFont="1">
      <alignment horizontal="right" vertical="bottom"/>
    </xf>
    <xf borderId="0" fillId="133" fontId="4" numFmtId="0" xfId="0" applyAlignment="1" applyFill="1" applyFont="1">
      <alignment horizontal="right" vertical="bottom"/>
    </xf>
    <xf borderId="15" fillId="121" fontId="4" numFmtId="0" xfId="0" applyAlignment="1" applyBorder="1" applyFont="1">
      <alignment horizontal="right" vertical="bottom"/>
    </xf>
    <xf borderId="0" fillId="134" fontId="4" numFmtId="0" xfId="0" applyAlignment="1" applyFill="1" applyFont="1">
      <alignment horizontal="right" vertical="bottom"/>
    </xf>
    <xf borderId="0" fillId="135" fontId="4" numFmtId="0" xfId="0" applyAlignment="1" applyFill="1" applyFont="1">
      <alignment horizontal="right" vertical="bottom"/>
    </xf>
    <xf borderId="15" fillId="110" fontId="4" numFmtId="0" xfId="0" applyAlignment="1" applyBorder="1" applyFont="1">
      <alignment horizontal="right" vertical="bottom"/>
    </xf>
    <xf borderId="0" fillId="136" fontId="4" numFmtId="0" xfId="0" applyAlignment="1" applyFill="1" applyFont="1">
      <alignment horizontal="right" vertical="bottom"/>
    </xf>
    <xf borderId="15" fillId="137" fontId="4" numFmtId="0" xfId="0" applyAlignment="1" applyBorder="1" applyFill="1" applyFont="1">
      <alignment horizontal="right" vertical="bottom"/>
    </xf>
    <xf borderId="0" fillId="138" fontId="4" numFmtId="0" xfId="0" applyAlignment="1" applyFill="1" applyFont="1">
      <alignment horizontal="right" vertical="bottom"/>
    </xf>
    <xf borderId="15" fillId="139" fontId="4" numFmtId="0" xfId="0" applyAlignment="1" applyBorder="1" applyFill="1" applyFont="1">
      <alignment horizontal="right" vertical="bottom"/>
    </xf>
    <xf borderId="0" fillId="140" fontId="4" numFmtId="0" xfId="0" applyAlignment="1" applyFill="1" applyFont="1">
      <alignment horizontal="right" vertical="bottom"/>
    </xf>
    <xf borderId="0" fillId="141" fontId="4" numFmtId="0" xfId="0" applyAlignment="1" applyFill="1" applyFont="1">
      <alignment horizontal="right" vertical="bottom"/>
    </xf>
    <xf borderId="0" fillId="112" fontId="4" numFmtId="0" xfId="0" applyAlignment="1" applyFont="1">
      <alignment horizontal="right" vertical="bottom"/>
    </xf>
    <xf borderId="0" fillId="142" fontId="4" numFmtId="0" xfId="0" applyAlignment="1" applyFill="1" applyFont="1">
      <alignment horizontal="right" vertical="bottom"/>
    </xf>
    <xf borderId="0" fillId="143" fontId="4" numFmtId="0" xfId="0" applyAlignment="1" applyFill="1" applyFont="1">
      <alignment horizontal="right" vertical="bottom"/>
    </xf>
    <xf borderId="15" fillId="129" fontId="4" numFmtId="0" xfId="0" applyAlignment="1" applyBorder="1" applyFont="1">
      <alignment horizontal="right" vertical="bottom"/>
    </xf>
    <xf borderId="0" fillId="144" fontId="4" numFmtId="0" xfId="0" applyAlignment="1" applyFill="1" applyFont="1">
      <alignment horizontal="right" vertical="bottom"/>
    </xf>
    <xf borderId="0" fillId="145" fontId="4" numFmtId="0" xfId="0" applyAlignment="1" applyFill="1" applyFont="1">
      <alignment horizontal="right" vertical="bottom"/>
    </xf>
    <xf borderId="0" fillId="146" fontId="4" numFmtId="0" xfId="0" applyAlignment="1" applyFill="1" applyFont="1">
      <alignment horizontal="right" vertical="bottom"/>
    </xf>
    <xf borderId="15" fillId="147" fontId="4" numFmtId="0" xfId="0" applyAlignment="1" applyBorder="1" applyFill="1" applyFont="1">
      <alignment horizontal="right" vertical="bottom"/>
    </xf>
    <xf borderId="0" fillId="148" fontId="4" numFmtId="0" xfId="0" applyAlignment="1" applyFill="1" applyFont="1">
      <alignment horizontal="right" vertical="bottom"/>
    </xf>
    <xf borderId="0" fillId="149" fontId="4" numFmtId="0" xfId="0" applyAlignment="1" applyFill="1" applyFont="1">
      <alignment horizontal="right" vertical="bottom"/>
    </xf>
    <xf borderId="0" fillId="150" fontId="4" numFmtId="0" xfId="0" applyAlignment="1" applyFill="1" applyFont="1">
      <alignment horizontal="right" vertical="bottom"/>
    </xf>
    <xf borderId="0" fillId="151" fontId="4" numFmtId="0" xfId="0" applyAlignment="1" applyFill="1" applyFont="1">
      <alignment horizontal="right" vertical="bottom"/>
    </xf>
    <xf borderId="0" fillId="152" fontId="4" numFmtId="0" xfId="0" applyAlignment="1" applyFill="1" applyFont="1">
      <alignment horizontal="right" vertical="bottom"/>
    </xf>
    <xf borderId="0" fillId="153" fontId="4" numFmtId="0" xfId="0" applyAlignment="1" applyFill="1" applyFont="1">
      <alignment horizontal="right" vertical="bottom"/>
    </xf>
    <xf borderId="0" fillId="154" fontId="4" numFmtId="0" xfId="0" applyAlignment="1" applyFill="1" applyFont="1">
      <alignment horizontal="right" vertical="bottom"/>
    </xf>
    <xf borderId="0" fillId="155" fontId="4" numFmtId="0" xfId="0" applyAlignment="1" applyFill="1" applyFont="1">
      <alignment horizontal="right" vertical="bottom"/>
    </xf>
    <xf borderId="0" fillId="156" fontId="4" numFmtId="0" xfId="0" applyAlignment="1" applyFill="1" applyFont="1">
      <alignment horizontal="right" vertical="bottom"/>
    </xf>
    <xf borderId="0" fillId="157" fontId="4" numFmtId="0" xfId="0" applyAlignment="1" applyFill="1" applyFont="1">
      <alignment horizontal="right" vertical="bottom"/>
    </xf>
    <xf borderId="0" fillId="158" fontId="4" numFmtId="0" xfId="0" applyAlignment="1" applyFill="1" applyFont="1">
      <alignment horizontal="right" vertical="bottom"/>
    </xf>
    <xf borderId="0" fillId="159" fontId="4" numFmtId="0" xfId="0" applyAlignment="1" applyFill="1" applyFont="1">
      <alignment horizontal="right" vertical="bottom"/>
    </xf>
    <xf borderId="0" fillId="160" fontId="4" numFmtId="0" xfId="0" applyAlignment="1" applyFill="1" applyFont="1">
      <alignment horizontal="right" vertical="bottom"/>
    </xf>
    <xf borderId="0" fillId="161" fontId="4" numFmtId="0" xfId="0" applyAlignment="1" applyFill="1" applyFont="1">
      <alignment horizontal="right" vertical="bottom"/>
    </xf>
    <xf borderId="0" fillId="162" fontId="4" numFmtId="0" xfId="0" applyAlignment="1" applyFill="1" applyFont="1">
      <alignment horizontal="right" vertical="bottom"/>
    </xf>
    <xf borderId="0" fillId="163" fontId="4" numFmtId="0" xfId="0" applyAlignment="1" applyFill="1" applyFont="1">
      <alignment horizontal="right" vertical="bottom"/>
    </xf>
    <xf borderId="15" fillId="164" fontId="4" numFmtId="0" xfId="0" applyAlignment="1" applyBorder="1" applyFill="1" applyFont="1">
      <alignment horizontal="right" vertical="bottom"/>
    </xf>
    <xf borderId="0" fillId="165" fontId="4" numFmtId="0" xfId="0" applyAlignment="1" applyFill="1" applyFont="1">
      <alignment horizontal="right" vertical="bottom"/>
    </xf>
    <xf borderId="0" fillId="166" fontId="4" numFmtId="0" xfId="0" applyAlignment="1" applyFill="1" applyFont="1">
      <alignment horizontal="right" vertical="bottom"/>
    </xf>
    <xf borderId="2" fillId="167" fontId="4" numFmtId="0" xfId="0" applyAlignment="1" applyBorder="1" applyFill="1" applyFont="1">
      <alignment horizontal="right" vertical="bottom"/>
    </xf>
    <xf borderId="2" fillId="2" fontId="4" numFmtId="0" xfId="0" applyAlignment="1" applyBorder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1" fillId="112" fontId="4" numFmtId="0" xfId="0" applyAlignment="1" applyBorder="1" applyFont="1">
      <alignment horizontal="right" vertical="bottom"/>
    </xf>
    <xf borderId="2" fillId="121" fontId="4" numFmtId="0" xfId="0" applyAlignment="1" applyBorder="1" applyFont="1">
      <alignment horizontal="right" vertical="bottom"/>
    </xf>
    <xf borderId="2" fillId="168" fontId="4" numFmtId="0" xfId="0" applyAlignment="1" applyBorder="1" applyFill="1" applyFont="1">
      <alignment horizontal="right" vertical="bottom"/>
    </xf>
    <xf borderId="2" fillId="165" fontId="4" numFmtId="0" xfId="0" applyAlignment="1" applyBorder="1" applyFont="1">
      <alignment horizontal="right" vertical="bottom"/>
    </xf>
    <xf borderId="2" fillId="169" fontId="4" numFmtId="0" xfId="0" applyAlignment="1" applyBorder="1" applyFill="1" applyFont="1">
      <alignment horizontal="right" vertical="bottom"/>
    </xf>
    <xf borderId="22" fillId="127" fontId="4" numFmtId="0" xfId="0" applyAlignment="1" applyBorder="1" applyFont="1">
      <alignment horizontal="right" vertical="bottom"/>
    </xf>
    <xf borderId="28" fillId="19" fontId="4" numFmtId="0" xfId="0" applyAlignment="1" applyBorder="1" applyFont="1">
      <alignment horizontal="right" vertical="bottom"/>
    </xf>
    <xf borderId="29" fillId="170" fontId="2" numFmtId="0" xfId="0" applyAlignment="1" applyBorder="1" applyFill="1" applyFont="1">
      <alignment readingOrder="0" vertical="bottom"/>
    </xf>
    <xf borderId="30" fillId="170" fontId="4" numFmtId="0" xfId="0" applyAlignment="1" applyBorder="1" applyFont="1">
      <alignment vertical="bottom"/>
    </xf>
    <xf borderId="6" fillId="0" fontId="2" numFmtId="0" xfId="0" applyAlignment="1" applyBorder="1" applyFont="1">
      <alignment horizontal="center" readingOrder="0" vertical="top"/>
    </xf>
    <xf borderId="3" fillId="0" fontId="2" numFmtId="0" xfId="0" applyAlignment="1" applyBorder="1" applyFont="1">
      <alignment horizontal="center" readingOrder="0" vertical="top"/>
    </xf>
    <xf borderId="4" fillId="0" fontId="2" numFmtId="0" xfId="0" applyAlignment="1" applyBorder="1" applyFont="1">
      <alignment horizontal="center" vertical="top"/>
    </xf>
    <xf borderId="5" fillId="0" fontId="2" numFmtId="0" xfId="0" applyAlignment="1" applyBorder="1" applyFont="1">
      <alignment horizontal="center" vertical="top"/>
    </xf>
    <xf borderId="7" fillId="0" fontId="2" numFmtId="0" xfId="0" applyAlignment="1" applyBorder="1" applyFont="1">
      <alignment horizontal="center" readingOrder="0" vertical="top"/>
    </xf>
    <xf borderId="8" fillId="0" fontId="2" numFmtId="0" xfId="0" applyAlignment="1" applyBorder="1" applyFont="1">
      <alignment horizontal="center" readingOrder="0" vertical="top"/>
    </xf>
    <xf borderId="31" fillId="171" fontId="4" numFmtId="0" xfId="0" applyAlignment="1" applyBorder="1" applyFill="1" applyFont="1">
      <alignment readingOrder="0" vertical="bottom"/>
    </xf>
    <xf borderId="9" fillId="0" fontId="4" numFmtId="0" xfId="0" applyAlignment="1" applyBorder="1" applyFont="1">
      <alignment horizontal="right" readingOrder="0" vertical="bottom"/>
    </xf>
    <xf borderId="10" fillId="0" fontId="4" numFmtId="0" xfId="0" applyAlignment="1" applyBorder="1" applyFont="1">
      <alignment horizontal="right" readingOrder="0" vertical="bottom"/>
    </xf>
    <xf borderId="32" fillId="172" fontId="4" numFmtId="0" xfId="0" applyAlignment="1" applyBorder="1" applyFill="1" applyFont="1">
      <alignment readingOrder="0" vertical="bottom"/>
    </xf>
    <xf borderId="0" fillId="0" fontId="4" numFmtId="0" xfId="0" applyAlignment="1" applyFont="1">
      <alignment horizontal="right" readingOrder="0" vertical="bottom"/>
    </xf>
    <xf borderId="16" fillId="0" fontId="4" numFmtId="0" xfId="0" applyAlignment="1" applyBorder="1" applyFont="1">
      <alignment horizontal="right" readingOrder="0" vertical="bottom"/>
    </xf>
    <xf borderId="32" fillId="173" fontId="4" numFmtId="0" xfId="0" applyAlignment="1" applyBorder="1" applyFill="1" applyFont="1">
      <alignment readingOrder="0" vertical="bottom"/>
    </xf>
    <xf borderId="32" fillId="174" fontId="4" numFmtId="0" xfId="0" applyAlignment="1" applyBorder="1" applyFill="1" applyFont="1">
      <alignment readingOrder="0" vertical="bottom"/>
    </xf>
    <xf borderId="32" fillId="175" fontId="4" numFmtId="0" xfId="0" applyAlignment="1" applyBorder="1" applyFill="1" applyFont="1">
      <alignment readingOrder="0" vertical="bottom"/>
    </xf>
    <xf borderId="21" fillId="0" fontId="4" numFmtId="0" xfId="0" applyAlignment="1" applyBorder="1" applyFont="1">
      <alignment readingOrder="0" vertical="bottom"/>
    </xf>
    <xf borderId="2" fillId="0" fontId="4" numFmtId="0" xfId="0" applyAlignment="1" applyBorder="1" applyFont="1">
      <alignment horizontal="right" readingOrder="0" vertical="bottom"/>
    </xf>
    <xf borderId="22" fillId="0" fontId="4" numFmtId="0" xfId="0" applyAlignment="1" applyBorder="1" applyFont="1">
      <alignment horizontal="right" readingOrder="0" vertical="bottom"/>
    </xf>
    <xf borderId="24" fillId="0" fontId="2" numFmtId="0" xfId="0" applyAlignment="1" applyBorder="1" applyFont="1">
      <alignment horizontal="center" readingOrder="0" vertical="top"/>
    </xf>
    <xf borderId="0" fillId="0" fontId="5" numFmtId="0" xfId="0" applyAlignment="1" applyFont="1">
      <alignment readingOrder="0"/>
    </xf>
    <xf borderId="8" fillId="0" fontId="4" numFmtId="0" xfId="0" applyAlignment="1" applyBorder="1" applyFont="1">
      <alignment readingOrder="0" vertical="bottom"/>
    </xf>
    <xf borderId="15" fillId="0" fontId="4" numFmtId="0" xfId="0" applyAlignment="1" applyBorder="1" applyFont="1">
      <alignment readingOrder="0" vertical="bottom"/>
    </xf>
    <xf borderId="3" fillId="0" fontId="3" numFmtId="0" xfId="0" applyAlignment="1" applyBorder="1" applyFont="1">
      <alignment horizontal="center" readingOrder="0"/>
    </xf>
    <xf borderId="6" fillId="5" fontId="2" numFmtId="0" xfId="0" applyAlignment="1" applyBorder="1" applyFont="1">
      <alignment horizontal="center" vertical="top"/>
    </xf>
    <xf borderId="6" fillId="9" fontId="2" numFmtId="0" xfId="0" applyAlignment="1" applyBorder="1" applyFont="1">
      <alignment horizontal="center" vertical="top"/>
    </xf>
    <xf borderId="6" fillId="10" fontId="2" numFmtId="0" xfId="0" applyAlignment="1" applyBorder="1" applyFont="1">
      <alignment horizontal="center" vertical="top"/>
    </xf>
    <xf borderId="6" fillId="0" fontId="2" numFmtId="0" xfId="0" applyAlignment="1" applyBorder="1" applyFont="1">
      <alignment vertical="top"/>
    </xf>
    <xf borderId="6" fillId="176" fontId="2" numFmtId="0" xfId="0" applyAlignment="1" applyBorder="1" applyFill="1" applyFont="1">
      <alignment vertical="top"/>
    </xf>
    <xf borderId="5" fillId="21" fontId="4" numFmtId="0" xfId="0" applyAlignment="1" applyBorder="1" applyFont="1">
      <alignment horizontal="right" readingOrder="0" vertical="bottom"/>
    </xf>
    <xf borderId="8" fillId="11" fontId="4" numFmtId="0" xfId="0" applyAlignment="1" applyBorder="1" applyFont="1">
      <alignment horizontal="right" readingOrder="0" vertical="bottom"/>
    </xf>
    <xf borderId="11" fillId="177" fontId="4" numFmtId="0" xfId="0" applyAlignment="1" applyBorder="1" applyFill="1" applyFont="1">
      <alignment horizontal="right" vertical="bottom"/>
    </xf>
    <xf borderId="18" fillId="0" fontId="2" numFmtId="0" xfId="0" applyAlignment="1" applyBorder="1" applyFont="1">
      <alignment horizontal="center" vertical="top"/>
    </xf>
    <xf borderId="17" fillId="177" fontId="4" numFmtId="0" xfId="0" applyAlignment="1" applyBorder="1" applyFont="1">
      <alignment horizontal="right" vertical="bottom"/>
    </xf>
    <xf borderId="0" fillId="28" fontId="4" numFmtId="0" xfId="0" applyAlignment="1" applyFont="1">
      <alignment horizontal="right" vertical="bottom"/>
    </xf>
    <xf borderId="0" fillId="29" fontId="4" numFmtId="0" xfId="0" applyAlignment="1" applyFont="1">
      <alignment horizontal="right" vertical="bottom"/>
    </xf>
    <xf borderId="0" fillId="30" fontId="4" numFmtId="0" xfId="0" applyAlignment="1" applyFont="1">
      <alignment horizontal="right" vertical="bottom"/>
    </xf>
    <xf borderId="0" fillId="31" fontId="4" numFmtId="0" xfId="0" applyAlignment="1" applyFont="1">
      <alignment horizontal="right" vertical="bottom"/>
    </xf>
    <xf borderId="0" fillId="32" fontId="4" numFmtId="0" xfId="0" applyAlignment="1" applyFont="1">
      <alignment horizontal="right" vertical="bottom"/>
    </xf>
    <xf borderId="15" fillId="17" fontId="4" numFmtId="0" xfId="0" applyAlignment="1" applyBorder="1" applyFont="1">
      <alignment horizontal="right" vertical="bottom"/>
    </xf>
    <xf borderId="0" fillId="16" fontId="4" numFmtId="0" xfId="0" applyAlignment="1" applyFont="1">
      <alignment horizontal="right" vertical="bottom"/>
    </xf>
    <xf borderId="0" fillId="33" fontId="4" numFmtId="0" xfId="0" applyAlignment="1" applyFont="1">
      <alignment horizontal="right" vertical="bottom"/>
    </xf>
    <xf borderId="0" fillId="34" fontId="4" numFmtId="0" xfId="0" applyAlignment="1" applyFont="1">
      <alignment horizontal="right" vertical="bottom"/>
    </xf>
    <xf borderId="0" fillId="35" fontId="4" numFmtId="0" xfId="0" applyAlignment="1" applyFont="1">
      <alignment horizontal="right" vertical="bottom"/>
    </xf>
    <xf borderId="0" fillId="36" fontId="4" numFmtId="0" xfId="0" applyAlignment="1" applyFont="1">
      <alignment horizontal="right" vertical="bottom"/>
    </xf>
    <xf borderId="16" fillId="2" fontId="4" numFmtId="0" xfId="0" applyAlignment="1" applyBorder="1" applyFont="1">
      <alignment horizontal="right" vertical="bottom"/>
    </xf>
    <xf borderId="17" fillId="177" fontId="4" numFmtId="0" xfId="0" applyAlignment="1" applyBorder="1" applyFont="1">
      <alignment horizontal="right" vertical="bottom"/>
    </xf>
    <xf borderId="0" fillId="40" fontId="4" numFmtId="0" xfId="0" applyAlignment="1" applyFont="1">
      <alignment horizontal="right" vertical="bottom"/>
    </xf>
    <xf borderId="0" fillId="41" fontId="4" numFmtId="0" xfId="0" applyAlignment="1" applyFont="1">
      <alignment horizontal="right" vertical="bottom"/>
    </xf>
    <xf borderId="0" fillId="42" fontId="4" numFmtId="0" xfId="0" applyAlignment="1" applyFont="1">
      <alignment horizontal="right" vertical="bottom"/>
    </xf>
    <xf borderId="0" fillId="14" fontId="4" numFmtId="0" xfId="0" applyAlignment="1" applyFont="1">
      <alignment horizontal="right" vertical="bottom"/>
    </xf>
    <xf borderId="15" fillId="43" fontId="4" numFmtId="0" xfId="0" applyAlignment="1" applyBorder="1" applyFont="1">
      <alignment horizontal="right" vertical="bottom"/>
    </xf>
    <xf borderId="0" fillId="44" fontId="4" numFmtId="0" xfId="0" applyAlignment="1" applyFont="1">
      <alignment horizontal="right" vertical="bottom"/>
    </xf>
    <xf borderId="0" fillId="47" fontId="4" numFmtId="0" xfId="0" applyAlignment="1" applyFont="1">
      <alignment horizontal="right" vertical="bottom"/>
    </xf>
    <xf borderId="0" fillId="13" fontId="4" numFmtId="0" xfId="0" applyAlignment="1" applyFont="1">
      <alignment horizontal="right" vertical="bottom"/>
    </xf>
    <xf borderId="0" fillId="48" fontId="4" numFmtId="0" xfId="0" applyAlignment="1" applyFont="1">
      <alignment horizontal="right" vertical="bottom"/>
    </xf>
    <xf borderId="0" fillId="49" fontId="4" numFmtId="0" xfId="0" applyAlignment="1" applyFont="1">
      <alignment horizontal="right" vertical="bottom"/>
    </xf>
    <xf borderId="0" fillId="50" fontId="4" numFmtId="0" xfId="0" applyAlignment="1" applyFont="1">
      <alignment horizontal="right" vertical="bottom"/>
    </xf>
    <xf borderId="15" fillId="51" fontId="4" numFmtId="0" xfId="0" applyAlignment="1" applyBorder="1" applyFont="1">
      <alignment horizontal="right" vertical="bottom"/>
    </xf>
    <xf borderId="0" fillId="52" fontId="4" numFmtId="0" xfId="0" applyAlignment="1" applyFont="1">
      <alignment horizontal="right" vertical="bottom"/>
    </xf>
    <xf borderId="0" fillId="55" fontId="4" numFmtId="0" xfId="0" applyAlignment="1" applyFont="1">
      <alignment horizontal="right" vertical="bottom"/>
    </xf>
    <xf borderId="0" fillId="56" fontId="4" numFmtId="0" xfId="0" applyAlignment="1" applyFont="1">
      <alignment horizontal="right" vertical="bottom"/>
    </xf>
    <xf borderId="0" fillId="57" fontId="4" numFmtId="0" xfId="0" applyAlignment="1" applyFont="1">
      <alignment horizontal="right" vertical="bottom"/>
    </xf>
    <xf borderId="15" fillId="44" fontId="4" numFmtId="0" xfId="0" applyAlignment="1" applyBorder="1" applyFont="1">
      <alignment horizontal="right" vertical="bottom"/>
    </xf>
    <xf borderId="0" fillId="60" fontId="4" numFmtId="0" xfId="0" applyAlignment="1" applyFont="1">
      <alignment horizontal="right" vertical="bottom"/>
    </xf>
    <xf borderId="0" fillId="61" fontId="4" numFmtId="0" xfId="0" applyAlignment="1" applyFont="1">
      <alignment horizontal="right" vertical="bottom"/>
    </xf>
    <xf borderId="0" fillId="62" fontId="4" numFmtId="0" xfId="0" applyAlignment="1" applyFont="1">
      <alignment horizontal="right" vertical="bottom"/>
    </xf>
    <xf borderId="15" fillId="63" fontId="4" numFmtId="0" xfId="0" applyAlignment="1" applyBorder="1" applyFont="1">
      <alignment horizontal="right" vertical="bottom"/>
    </xf>
    <xf borderId="0" fillId="17" fontId="4" numFmtId="0" xfId="0" applyAlignment="1" applyFont="1">
      <alignment horizontal="right" vertical="bottom"/>
    </xf>
    <xf borderId="0" fillId="65" fontId="4" numFmtId="0" xfId="0" applyAlignment="1" applyFont="1">
      <alignment horizontal="right" vertical="bottom"/>
    </xf>
    <xf borderId="0" fillId="66" fontId="4" numFmtId="0" xfId="0" applyAlignment="1" applyFont="1">
      <alignment horizontal="right" vertical="bottom"/>
    </xf>
    <xf borderId="15" fillId="67" fontId="4" numFmtId="0" xfId="0" applyAlignment="1" applyBorder="1" applyFont="1">
      <alignment horizontal="right" vertical="bottom"/>
    </xf>
    <xf borderId="0" fillId="68" fontId="4" numFmtId="0" xfId="0" applyAlignment="1" applyFont="1">
      <alignment horizontal="right" vertical="bottom"/>
    </xf>
    <xf borderId="0" fillId="63" fontId="4" numFmtId="0" xfId="0" applyAlignment="1" applyFont="1">
      <alignment horizontal="right" vertical="bottom"/>
    </xf>
    <xf borderId="0" fillId="69" fontId="4" numFmtId="0" xfId="0" applyAlignment="1" applyFont="1">
      <alignment horizontal="right" vertical="bottom"/>
    </xf>
    <xf borderId="0" fillId="70" fontId="4" numFmtId="0" xfId="0" applyAlignment="1" applyFont="1">
      <alignment horizontal="right" vertical="bottom"/>
    </xf>
    <xf borderId="0" fillId="71" fontId="4" numFmtId="0" xfId="0" applyAlignment="1" applyFont="1">
      <alignment horizontal="right" vertical="bottom"/>
    </xf>
    <xf borderId="15" fillId="72" fontId="4" numFmtId="0" xfId="0" applyAlignment="1" applyBorder="1" applyFont="1">
      <alignment horizontal="right" vertical="bottom"/>
    </xf>
    <xf borderId="0" fillId="83" fontId="4" numFmtId="0" xfId="0" applyAlignment="1" applyFont="1">
      <alignment horizontal="right" vertical="bottom"/>
    </xf>
    <xf borderId="0" fillId="84" fontId="4" numFmtId="0" xfId="0" applyAlignment="1" applyFont="1">
      <alignment horizontal="right" vertical="bottom"/>
    </xf>
    <xf borderId="15" fillId="85" fontId="4" numFmtId="0" xfId="0" applyAlignment="1" applyBorder="1" applyFont="1">
      <alignment horizontal="right" vertical="bottom"/>
    </xf>
    <xf borderId="0" fillId="86" fontId="4" numFmtId="0" xfId="0" applyAlignment="1" applyFont="1">
      <alignment horizontal="right" vertical="bottom"/>
    </xf>
    <xf borderId="0" fillId="80" fontId="4" numFmtId="0" xfId="0" applyAlignment="1" applyFont="1">
      <alignment horizontal="right" vertical="bottom"/>
    </xf>
    <xf borderId="0" fillId="87" fontId="4" numFmtId="0" xfId="0" applyAlignment="1" applyFont="1">
      <alignment horizontal="right" vertical="bottom"/>
    </xf>
    <xf borderId="0" fillId="89" fontId="4" numFmtId="0" xfId="0" applyAlignment="1" applyFont="1">
      <alignment horizontal="right" vertical="bottom"/>
    </xf>
    <xf borderId="0" fillId="90" fontId="4" numFmtId="0" xfId="0" applyAlignment="1" applyFont="1">
      <alignment horizontal="right" vertical="bottom"/>
    </xf>
    <xf borderId="0" fillId="91" fontId="4" numFmtId="0" xfId="0" applyAlignment="1" applyFont="1">
      <alignment horizontal="right" vertical="bottom"/>
    </xf>
    <xf borderId="0" fillId="92" fontId="4" numFmtId="0" xfId="0" applyAlignment="1" applyFont="1">
      <alignment horizontal="right" vertical="bottom"/>
    </xf>
    <xf borderId="15" fillId="52" fontId="4" numFmtId="0" xfId="0" applyAlignment="1" applyBorder="1" applyFont="1">
      <alignment horizontal="right" vertical="bottom"/>
    </xf>
    <xf borderId="0" fillId="94" fontId="4" numFmtId="0" xfId="0" applyAlignment="1" applyFont="1">
      <alignment horizontal="right" vertical="bottom"/>
    </xf>
    <xf borderId="15" fillId="2" fontId="4" numFmtId="0" xfId="0" applyAlignment="1" applyBorder="1" applyFont="1">
      <alignment horizontal="right" vertical="bottom"/>
    </xf>
    <xf borderId="24" fillId="0" fontId="2" numFmtId="0" xfId="0" applyAlignment="1" applyBorder="1" applyFont="1">
      <alignment horizontal="center" vertical="top"/>
    </xf>
    <xf borderId="10" fillId="21" fontId="4" numFmtId="0" xfId="0" applyAlignment="1" applyBorder="1" applyFont="1">
      <alignment horizontal="right" readingOrder="0" vertical="bottom"/>
    </xf>
    <xf borderId="7" fillId="21" fontId="4" numFmtId="0" xfId="0" applyAlignment="1" applyBorder="1" applyFont="1">
      <alignment horizontal="right" readingOrder="0" vertical="bottom"/>
    </xf>
    <xf borderId="0" fillId="96" fontId="4" numFmtId="0" xfId="0" applyAlignment="1" applyFont="1">
      <alignment horizontal="right" vertical="bottom"/>
    </xf>
    <xf borderId="0" fillId="97" fontId="4" numFmtId="0" xfId="0" applyAlignment="1" applyFont="1">
      <alignment horizontal="right" vertical="bottom"/>
    </xf>
    <xf borderId="0" fillId="73" fontId="4" numFmtId="0" xfId="0" applyAlignment="1" applyFont="1">
      <alignment horizontal="right" vertical="bottom"/>
    </xf>
    <xf borderId="21" fillId="98" fontId="4" numFmtId="0" xfId="0" applyAlignment="1" applyBorder="1" applyFont="1">
      <alignment horizontal="right" vertical="bottom"/>
    </xf>
    <xf borderId="2" fillId="99" fontId="4" numFmtId="0" xfId="0" applyAlignment="1" applyBorder="1" applyFont="1">
      <alignment horizontal="right" vertical="bottom"/>
    </xf>
    <xf borderId="2" fillId="100" fontId="4" numFmtId="0" xfId="0" applyAlignment="1" applyBorder="1" applyFont="1">
      <alignment horizontal="right" vertical="bottom"/>
    </xf>
    <xf borderId="2" fillId="26" fontId="4" numFmtId="0" xfId="0" applyAlignment="1" applyBorder="1" applyFont="1">
      <alignment horizontal="right" vertical="bottom"/>
    </xf>
    <xf borderId="2" fillId="101" fontId="4" numFmtId="0" xfId="0" applyAlignment="1" applyBorder="1" applyFont="1">
      <alignment horizontal="right" vertical="bottom"/>
    </xf>
    <xf borderId="2" fillId="102" fontId="4" numFmtId="0" xfId="0" applyAlignment="1" applyBorder="1" applyFont="1">
      <alignment horizontal="right" vertical="bottom"/>
    </xf>
    <xf borderId="22" fillId="2" fontId="4" numFmtId="0" xfId="0" applyAlignment="1" applyBorder="1" applyFont="1">
      <alignment horizontal="right" vertical="bottom"/>
    </xf>
    <xf borderId="7" fillId="0" fontId="2" numFmtId="0" xfId="0" applyAlignment="1" applyBorder="1" applyFont="1">
      <alignment horizontal="center" vertical="top"/>
    </xf>
    <xf borderId="24" fillId="21" fontId="4" numFmtId="0" xfId="0" applyAlignment="1" applyBorder="1" applyFont="1">
      <alignment horizontal="right" readingOrder="0" vertical="bottom"/>
    </xf>
    <xf borderId="21" fillId="21" fontId="4" numFmtId="0" xfId="0" applyAlignment="1" applyBorder="1" applyFont="1">
      <alignment horizontal="right" readingOrder="0" vertical="bottom"/>
    </xf>
    <xf borderId="8" fillId="105" fontId="4" numFmtId="0" xfId="0" applyAlignment="1" applyBorder="1" applyFont="1">
      <alignment horizontal="right" vertical="bottom"/>
    </xf>
    <xf borderId="9" fillId="2" fontId="4" numFmtId="0" xfId="0" applyAlignment="1" applyBorder="1" applyFont="1">
      <alignment horizontal="right" vertical="bottom"/>
    </xf>
    <xf borderId="9" fillId="106" fontId="4" numFmtId="0" xfId="0" applyAlignment="1" applyBorder="1" applyFont="1">
      <alignment horizontal="right" vertical="bottom"/>
    </xf>
    <xf borderId="9" fillId="33" fontId="4" numFmtId="0" xfId="0" applyAlignment="1" applyBorder="1" applyFont="1">
      <alignment horizontal="right" vertical="bottom"/>
    </xf>
    <xf borderId="10" fillId="2" fontId="4" numFmtId="0" xfId="0" applyAlignment="1" applyBorder="1" applyFont="1">
      <alignment horizontal="right" vertical="bottom"/>
    </xf>
    <xf borderId="8" fillId="107" fontId="4" numFmtId="0" xfId="0" applyAlignment="1" applyBorder="1" applyFont="1">
      <alignment horizontal="right" vertical="bottom"/>
    </xf>
    <xf borderId="9" fillId="108" fontId="4" numFmtId="0" xfId="0" applyAlignment="1" applyBorder="1" applyFont="1">
      <alignment horizontal="right" vertical="bottom"/>
    </xf>
    <xf borderId="9" fillId="109" fontId="4" numFmtId="0" xfId="0" applyAlignment="1" applyBorder="1" applyFont="1">
      <alignment horizontal="right" vertical="bottom"/>
    </xf>
    <xf borderId="9" fillId="110" fontId="4" numFmtId="0" xfId="0" applyAlignment="1" applyBorder="1" applyFont="1">
      <alignment horizontal="right" vertical="bottom"/>
    </xf>
    <xf borderId="9" fillId="111" fontId="4" numFmtId="0" xfId="0" applyAlignment="1" applyBorder="1" applyFont="1">
      <alignment horizontal="right" vertical="bottom"/>
    </xf>
    <xf borderId="5" fillId="20" fontId="2" numFmtId="0" xfId="0" applyAlignment="1" applyBorder="1" applyFont="1">
      <alignment horizontal="center" vertical="top"/>
    </xf>
    <xf borderId="3" fillId="21" fontId="4" numFmtId="0" xfId="0" applyAlignment="1" applyBorder="1" applyFont="1">
      <alignment horizontal="right" readingOrder="0" vertical="bottom"/>
    </xf>
    <xf borderId="15" fillId="114" fontId="4" numFmtId="0" xfId="0" applyAlignment="1" applyBorder="1" applyFont="1">
      <alignment horizontal="right" vertical="bottom"/>
    </xf>
    <xf borderId="0" fillId="115" fontId="4" numFmtId="0" xfId="0" applyAlignment="1" applyFont="1">
      <alignment horizontal="right" vertical="bottom"/>
    </xf>
    <xf borderId="0" fillId="116" fontId="4" numFmtId="0" xfId="0" applyAlignment="1" applyFont="1">
      <alignment horizontal="right" vertical="bottom"/>
    </xf>
    <xf borderId="0" fillId="117" fontId="4" numFmtId="0" xfId="0" applyAlignment="1" applyFont="1">
      <alignment horizontal="right" vertical="bottom"/>
    </xf>
    <xf borderId="15" fillId="119" fontId="4" numFmtId="0" xfId="0" applyAlignment="1" applyBorder="1" applyFont="1">
      <alignment horizontal="right" vertical="bottom"/>
    </xf>
    <xf borderId="0" fillId="120" fontId="4" numFmtId="0" xfId="0" applyAlignment="1" applyFont="1">
      <alignment horizontal="right" vertical="bottom"/>
    </xf>
    <xf borderId="0" fillId="121" fontId="4" numFmtId="0" xfId="0" applyAlignment="1" applyFont="1">
      <alignment horizontal="right" vertical="bottom"/>
    </xf>
    <xf borderId="0" fillId="122" fontId="4" numFmtId="0" xfId="0" applyAlignment="1" applyFont="1">
      <alignment horizontal="right" vertical="bottom"/>
    </xf>
    <xf borderId="0" fillId="123" fontId="4" numFmtId="0" xfId="0" applyAlignment="1" applyFont="1">
      <alignment horizontal="right" vertical="bottom"/>
    </xf>
    <xf borderId="0" fillId="124" fontId="4" numFmtId="0" xfId="0" applyAlignment="1" applyFont="1">
      <alignment horizontal="right" vertical="bottom"/>
    </xf>
    <xf borderId="0" fillId="127" fontId="4" numFmtId="0" xfId="0" applyAlignment="1" applyFont="1">
      <alignment horizontal="right" vertical="bottom"/>
    </xf>
    <xf borderId="0" fillId="109" fontId="4" numFmtId="0" xfId="0" applyAlignment="1" applyFont="1">
      <alignment horizontal="right" vertical="bottom"/>
    </xf>
    <xf borderId="0" fillId="128" fontId="4" numFmtId="0" xfId="0" applyAlignment="1" applyFont="1">
      <alignment horizontal="right" vertical="bottom"/>
    </xf>
    <xf borderId="0" fillId="129" fontId="4" numFmtId="0" xfId="0" applyAlignment="1" applyFont="1">
      <alignment horizontal="right" vertical="bottom"/>
    </xf>
    <xf borderId="0" fillId="130" fontId="4" numFmtId="0" xfId="0" applyAlignment="1" applyFont="1">
      <alignment horizontal="right" vertical="bottom"/>
    </xf>
    <xf borderId="0" fillId="132" fontId="4" numFmtId="0" xfId="0" applyAlignment="1" applyFont="1">
      <alignment horizontal="right" vertical="bottom"/>
    </xf>
    <xf borderId="28" fillId="177" fontId="4" numFmtId="0" xfId="0" applyAlignment="1" applyBorder="1" applyFont="1">
      <alignment horizontal="right" vertical="bottom"/>
    </xf>
    <xf borderId="9" fillId="2" fontId="4" numFmtId="0" xfId="0" applyAlignment="1" applyBorder="1" applyFont="1">
      <alignment horizontal="right" readingOrder="0" vertical="bottom"/>
    </xf>
    <xf borderId="29" fillId="178" fontId="2" numFmtId="0" xfId="0" applyAlignment="1" applyBorder="1" applyFill="1" applyFont="1">
      <alignment vertical="bottom"/>
    </xf>
    <xf borderId="29" fillId="178" fontId="4" numFmtId="0" xfId="0" applyAlignment="1" applyBorder="1" applyFont="1">
      <alignment vertical="bottom"/>
    </xf>
    <xf borderId="29" fillId="179" fontId="2" numFmtId="0" xfId="0" applyAlignment="1" applyBorder="1" applyFill="1" applyFont="1">
      <alignment readingOrder="0" vertical="bottom"/>
    </xf>
    <xf borderId="29" fillId="179" fontId="4" numFmtId="0" xfId="0" applyAlignment="1" applyBorder="1" applyFont="1">
      <alignment vertical="bottom"/>
    </xf>
    <xf borderId="0" fillId="2" fontId="4" numFmtId="0" xfId="0" applyAlignment="1" applyFont="1">
      <alignment vertical="bottom"/>
    </xf>
    <xf borderId="0" fillId="179" fontId="4" numFmtId="0" xfId="0" applyAlignment="1" applyFont="1">
      <alignment vertical="bottom"/>
    </xf>
    <xf borderId="6" fillId="0" fontId="4" numFmtId="0" xfId="0" applyAlignment="1" applyBorder="1" applyFont="1">
      <alignment vertical="bottom"/>
    </xf>
    <xf borderId="6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6" fillId="180" fontId="4" numFmtId="0" xfId="0" applyAlignment="1" applyBorder="1" applyFill="1" applyFont="1">
      <alignment horizontal="right" vertical="bottom"/>
    </xf>
    <xf borderId="6" fillId="181" fontId="4" numFmtId="0" xfId="0" applyAlignment="1" applyBorder="1" applyFill="1" applyFont="1">
      <alignment horizontal="right" vertical="bottom"/>
    </xf>
    <xf borderId="0" fillId="181" fontId="4" numFmtId="0" xfId="0" applyAlignment="1" applyFont="1">
      <alignment horizontal="right" vertical="bottom"/>
    </xf>
    <xf borderId="33" fillId="182" fontId="2" numFmtId="0" xfId="0" applyAlignment="1" applyBorder="1" applyFill="1" applyFont="1">
      <alignment readingOrder="0" vertical="bottom"/>
    </xf>
    <xf borderId="34" fillId="0" fontId="6" numFmtId="0" xfId="0" applyBorder="1" applyFont="1"/>
    <xf borderId="35" fillId="0" fontId="6" numFmtId="0" xfId="0" applyBorder="1" applyFont="1"/>
    <xf borderId="33" fillId="5" fontId="4" numFmtId="0" xfId="0" applyAlignment="1" applyBorder="1" applyFont="1">
      <alignment horizontal="center" readingOrder="0" vertical="bottom"/>
    </xf>
    <xf borderId="33" fillId="182" fontId="4" numFmtId="0" xfId="0" applyAlignment="1" applyBorder="1" applyFont="1">
      <alignment horizontal="center" readingOrder="0" vertical="bottom"/>
    </xf>
    <xf borderId="29" fillId="182" fontId="2" numFmtId="0" xfId="0" applyAlignment="1" applyBorder="1" applyFont="1">
      <alignment readingOrder="0" vertical="bottom"/>
    </xf>
    <xf borderId="29" fillId="182" fontId="4" numFmtId="0" xfId="0" applyAlignment="1" applyBorder="1" applyFont="1">
      <alignment vertical="bottom"/>
    </xf>
    <xf borderId="18" fillId="0" fontId="2" numFmtId="0" xfId="0" applyAlignment="1" applyBorder="1" applyFont="1">
      <alignment horizontal="center" readingOrder="0" vertical="top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6" fillId="183" fontId="4" numFmtId="0" xfId="0" applyAlignment="1" applyBorder="1" applyFill="1" applyFont="1">
      <alignment horizontal="right" vertical="bottom"/>
    </xf>
    <xf borderId="7" fillId="0" fontId="4" numFmtId="0" xfId="0" applyAlignment="1" applyBorder="1" applyFont="1">
      <alignment horizontal="right" vertical="bottom"/>
    </xf>
    <xf borderId="8" fillId="0" fontId="2" numFmtId="0" xfId="0" applyAlignment="1" applyBorder="1" applyFont="1">
      <alignment horizontal="center" vertical="top"/>
    </xf>
    <xf borderId="9" fillId="0" fontId="6" numFmtId="0" xfId="0" applyBorder="1" applyFont="1"/>
    <xf borderId="10" fillId="0" fontId="6" numFmtId="0" xfId="0" applyBorder="1" applyFont="1"/>
    <xf borderId="29" fillId="184" fontId="2" numFmtId="0" xfId="0" applyAlignment="1" applyBorder="1" applyFill="1" applyFont="1">
      <alignment readingOrder="0" vertical="bottom"/>
    </xf>
    <xf borderId="29" fillId="184" fontId="4" numFmtId="0" xfId="0" applyAlignment="1" applyBorder="1" applyFont="1">
      <alignment vertical="bottom"/>
    </xf>
    <xf borderId="6" fillId="185" fontId="4" numFmtId="0" xfId="0" applyAlignment="1" applyBorder="1" applyFill="1" applyFont="1">
      <alignment horizontal="right" vertical="bottom"/>
    </xf>
    <xf borderId="0" fillId="0" fontId="8" numFmtId="0" xfId="0" applyAlignment="1" applyFont="1">
      <alignment horizontal="center" readingOrder="0" vertical="center"/>
    </xf>
    <xf borderId="5" fillId="5" fontId="2" numFmtId="0" xfId="0" applyAlignment="1" applyBorder="1" applyFont="1">
      <alignment horizontal="center" vertical="top"/>
    </xf>
    <xf borderId="6" fillId="186" fontId="2" numFmtId="0" xfId="0" applyAlignment="1" applyBorder="1" applyFill="1" applyFont="1">
      <alignment horizontal="center" vertical="top"/>
    </xf>
    <xf borderId="0" fillId="0" fontId="3" numFmtId="0" xfId="0" applyAlignment="1" applyFont="1">
      <alignment readingOrder="0"/>
    </xf>
    <xf borderId="16" fillId="0" fontId="4" numFmtId="0" xfId="0" applyAlignment="1" applyBorder="1" applyFont="1">
      <alignment horizontal="right" vertical="bottom"/>
    </xf>
    <xf borderId="0" fillId="187" fontId="3" numFmtId="0" xfId="0" applyAlignment="1" applyFill="1" applyFont="1">
      <alignment readingOrder="0"/>
    </xf>
    <xf borderId="0" fillId="3" fontId="5" numFmtId="0" xfId="0" applyAlignment="1" applyFont="1">
      <alignment readingOrder="0"/>
    </xf>
    <xf borderId="0" fillId="3" fontId="5" numFmtId="0" xfId="0" applyFont="1"/>
    <xf borderId="16" fillId="3" fontId="5" numFmtId="0" xfId="0" applyBorder="1" applyFont="1"/>
    <xf borderId="0" fillId="187" fontId="4" numFmtId="0" xfId="0" applyAlignment="1" applyFont="1">
      <alignment readingOrder="0" vertical="bottom"/>
    </xf>
    <xf borderId="0" fillId="187" fontId="5" numFmtId="0" xfId="0" applyFont="1"/>
    <xf borderId="16" fillId="187" fontId="5" numFmtId="0" xfId="0" applyBorder="1" applyFont="1"/>
    <xf borderId="0" fillId="3" fontId="3" numFmtId="0" xfId="0" applyAlignment="1" applyFont="1">
      <alignment readingOrder="0"/>
    </xf>
    <xf borderId="0" fillId="187" fontId="5" numFmtId="0" xfId="0" applyAlignment="1" applyFont="1">
      <alignment readingOrder="0"/>
    </xf>
    <xf borderId="6" fillId="5" fontId="2" numFmtId="0" xfId="0" applyAlignment="1" applyBorder="1" applyFont="1">
      <alignment horizontal="center" readingOrder="0" vertical="top"/>
    </xf>
    <xf borderId="0" fillId="10" fontId="5" numFmtId="0" xfId="0" applyAlignment="1" applyFont="1">
      <alignment readingOrder="0"/>
    </xf>
    <xf borderId="0" fillId="186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0" fontId="5" numFmtId="0" xfId="0" applyFont="1"/>
    <xf borderId="16" fillId="0" fontId="5" numFmtId="0" xfId="0" applyBorder="1" applyFont="1"/>
    <xf borderId="29" fillId="8" fontId="2" numFmtId="0" xfId="0" applyAlignment="1" applyBorder="1" applyFont="1">
      <alignment readingOrder="0" vertical="bottom"/>
    </xf>
    <xf borderId="29" fillId="8" fontId="4" numFmtId="0" xfId="0" applyAlignment="1" applyBorder="1" applyFont="1">
      <alignment vertical="bottom"/>
    </xf>
    <xf borderId="6" fillId="19" fontId="4" numFmtId="0" xfId="0" applyAlignment="1" applyBorder="1" applyFont="1">
      <alignment horizontal="right" vertical="bottom"/>
    </xf>
    <xf borderId="0" fillId="188" fontId="4" numFmtId="0" xfId="0" applyAlignment="1" applyFill="1" applyFont="1">
      <alignment horizontal="right" vertical="bottom"/>
    </xf>
    <xf borderId="0" fillId="189" fontId="4" numFmtId="0" xfId="0" applyAlignment="1" applyFill="1" applyFont="1">
      <alignment horizontal="right" vertical="bottom"/>
    </xf>
    <xf borderId="0" fillId="190" fontId="4" numFmtId="0" xfId="0" applyAlignment="1" applyFill="1" applyFont="1">
      <alignment horizontal="right" vertical="bottom"/>
    </xf>
    <xf borderId="0" fillId="191" fontId="4" numFmtId="0" xfId="0" applyAlignment="1" applyFill="1" applyFont="1">
      <alignment horizontal="right" vertical="bottom"/>
    </xf>
    <xf borderId="8" fillId="192" fontId="4" numFmtId="0" xfId="0" applyAlignment="1" applyBorder="1" applyFill="1" applyFont="1">
      <alignment horizontal="right" vertical="bottom"/>
    </xf>
    <xf borderId="9" fillId="193" fontId="4" numFmtId="0" xfId="0" applyAlignment="1" applyBorder="1" applyFill="1" applyFont="1">
      <alignment horizontal="right" vertical="bottom"/>
    </xf>
    <xf borderId="9" fillId="126" fontId="4" numFmtId="0" xfId="0" applyAlignment="1" applyBorder="1" applyFont="1">
      <alignment horizontal="right" vertical="bottom"/>
    </xf>
    <xf borderId="9" fillId="44" fontId="4" numFmtId="0" xfId="0" applyAlignment="1" applyBorder="1" applyFont="1">
      <alignment horizontal="right" vertical="bottom"/>
    </xf>
    <xf borderId="9" fillId="194" fontId="4" numFmtId="0" xfId="0" applyAlignment="1" applyBorder="1" applyFill="1" applyFont="1">
      <alignment horizontal="right" vertical="bottom"/>
    </xf>
    <xf borderId="9" fillId="195" fontId="4" numFmtId="0" xfId="0" applyAlignment="1" applyBorder="1" applyFill="1" applyFont="1">
      <alignment horizontal="right" vertical="bottom"/>
    </xf>
    <xf borderId="9" fillId="80" fontId="4" numFmtId="0" xfId="0" applyAlignment="1" applyBorder="1" applyFont="1">
      <alignment horizontal="right" vertical="bottom"/>
    </xf>
    <xf borderId="10" fillId="196" fontId="4" numFmtId="0" xfId="0" applyAlignment="1" applyBorder="1" applyFill="1" applyFont="1">
      <alignment horizontal="right" vertical="bottom"/>
    </xf>
    <xf borderId="0" fillId="197" fontId="4" numFmtId="0" xfId="0" applyAlignment="1" applyFill="1" applyFont="1">
      <alignment horizontal="right" vertical="bottom"/>
    </xf>
    <xf borderId="0" fillId="198" fontId="4" numFmtId="0" xfId="0" applyAlignment="1" applyFill="1" applyFont="1">
      <alignment horizontal="right" vertical="bottom"/>
    </xf>
    <xf borderId="0" fillId="199" fontId="4" numFmtId="0" xfId="0" applyAlignment="1" applyFill="1" applyFont="1">
      <alignment horizontal="right" vertical="bottom"/>
    </xf>
    <xf borderId="0" fillId="200" fontId="4" numFmtId="0" xfId="0" applyAlignment="1" applyFill="1" applyFont="1">
      <alignment horizontal="right" vertical="bottom"/>
    </xf>
    <xf borderId="0" fillId="74" fontId="4" numFmtId="0" xfId="0" applyAlignment="1" applyFont="1">
      <alignment horizontal="right" vertical="bottom"/>
    </xf>
    <xf borderId="0" fillId="201" fontId="4" numFmtId="0" xfId="0" applyAlignment="1" applyFill="1" applyFont="1">
      <alignment horizontal="right" vertical="bottom"/>
    </xf>
    <xf borderId="0" fillId="202" fontId="4" numFmtId="0" xfId="0" applyAlignment="1" applyFill="1" applyFont="1">
      <alignment horizontal="right" vertical="bottom"/>
    </xf>
    <xf borderId="0" fillId="126" fontId="4" numFmtId="0" xfId="0" applyAlignment="1" applyFont="1">
      <alignment horizontal="right" vertical="bottom"/>
    </xf>
    <xf borderId="0" fillId="203" fontId="4" numFmtId="0" xfId="0" applyAlignment="1" applyFill="1" applyFont="1">
      <alignment horizontal="right" vertical="bottom"/>
    </xf>
    <xf borderId="16" fillId="63" fontId="4" numFmtId="0" xfId="0" applyAlignment="1" applyBorder="1" applyFont="1">
      <alignment horizontal="right" vertical="bottom"/>
    </xf>
    <xf borderId="0" fillId="204" fontId="4" numFmtId="0" xfId="0" applyAlignment="1" applyFill="1" applyFont="1">
      <alignment horizontal="right" vertical="bottom"/>
    </xf>
    <xf borderId="0" fillId="205" fontId="4" numFmtId="0" xfId="0" applyAlignment="1" applyFill="1" applyFont="1">
      <alignment horizontal="right" vertical="bottom"/>
    </xf>
    <xf borderId="0" fillId="72" fontId="4" numFmtId="0" xfId="0" applyAlignment="1" applyFont="1">
      <alignment horizontal="right" vertical="bottom"/>
    </xf>
    <xf borderId="16" fillId="52" fontId="4" numFmtId="0" xfId="0" applyAlignment="1" applyBorder="1" applyFont="1">
      <alignment horizontal="right" vertical="bottom"/>
    </xf>
    <xf borderId="0" fillId="206" fontId="4" numFmtId="0" xfId="0" applyAlignment="1" applyFill="1" applyFont="1">
      <alignment horizontal="right" vertical="bottom"/>
    </xf>
    <xf borderId="15" fillId="207" fontId="4" numFmtId="0" xfId="0" applyAlignment="1" applyBorder="1" applyFill="1" applyFont="1">
      <alignment horizontal="right" vertical="bottom"/>
    </xf>
    <xf borderId="0" fillId="167" fontId="4" numFmtId="0" xfId="0" applyAlignment="1" applyFont="1">
      <alignment horizontal="right" vertical="bottom"/>
    </xf>
    <xf borderId="0" fillId="208" fontId="4" numFmtId="0" xfId="0" applyAlignment="1" applyFill="1" applyFont="1">
      <alignment horizontal="right" vertical="bottom"/>
    </xf>
    <xf borderId="0" fillId="209" fontId="4" numFmtId="0" xfId="0" applyAlignment="1" applyFill="1" applyFont="1">
      <alignment horizontal="right" vertical="bottom"/>
    </xf>
    <xf borderId="0" fillId="210" fontId="4" numFmtId="0" xfId="0" applyAlignment="1" applyFill="1" applyFont="1">
      <alignment horizontal="right" vertical="bottom"/>
    </xf>
    <xf borderId="16" fillId="211" fontId="4" numFmtId="0" xfId="0" applyAlignment="1" applyBorder="1" applyFill="1" applyFont="1">
      <alignment horizontal="right" vertical="bottom"/>
    </xf>
    <xf borderId="0" fillId="212" fontId="4" numFmtId="0" xfId="0" applyAlignment="1" applyFill="1" applyFont="1">
      <alignment horizontal="right" vertical="bottom"/>
    </xf>
    <xf borderId="0" fillId="213" fontId="4" numFmtId="0" xfId="0" applyAlignment="1" applyFill="1" applyFont="1">
      <alignment horizontal="right" vertical="bottom"/>
    </xf>
    <xf borderId="0" fillId="214" fontId="4" numFmtId="0" xfId="0" applyAlignment="1" applyFill="1" applyFont="1">
      <alignment horizontal="right" vertical="bottom"/>
    </xf>
    <xf borderId="0" fillId="215" fontId="4" numFmtId="0" xfId="0" applyAlignment="1" applyFill="1" applyFont="1">
      <alignment horizontal="right" vertical="bottom"/>
    </xf>
    <xf borderId="15" fillId="216" fontId="4" numFmtId="0" xfId="0" applyAlignment="1" applyBorder="1" applyFill="1" applyFont="1">
      <alignment horizontal="right" vertical="bottom"/>
    </xf>
    <xf borderId="0" fillId="106" fontId="4" numFmtId="0" xfId="0" applyAlignment="1" applyFont="1">
      <alignment horizontal="right" vertical="bottom"/>
    </xf>
    <xf borderId="0" fillId="217" fontId="4" numFmtId="0" xfId="0" applyAlignment="1" applyFill="1" applyFont="1">
      <alignment horizontal="right" vertical="bottom"/>
    </xf>
    <xf borderId="16" fillId="209" fontId="4" numFmtId="0" xfId="0" applyAlignment="1" applyBorder="1" applyFont="1">
      <alignment horizontal="right" vertical="bottom"/>
    </xf>
    <xf borderId="0" fillId="218" fontId="4" numFmtId="0" xfId="0" applyAlignment="1" applyFill="1" applyFont="1">
      <alignment horizontal="right" vertical="bottom"/>
    </xf>
    <xf borderId="0" fillId="219" fontId="4" numFmtId="0" xfId="0" applyAlignment="1" applyFill="1" applyFont="1">
      <alignment horizontal="right" vertical="bottom"/>
    </xf>
    <xf borderId="0" fillId="220" fontId="4" numFmtId="0" xfId="0" applyAlignment="1" applyFill="1" applyFont="1">
      <alignment horizontal="right" vertical="bottom"/>
    </xf>
    <xf borderId="0" fillId="221" fontId="4" numFmtId="0" xfId="0" applyAlignment="1" applyFill="1" applyFont="1">
      <alignment horizontal="right" vertical="bottom"/>
    </xf>
    <xf borderId="0" fillId="222" fontId="4" numFmtId="0" xfId="0" applyAlignment="1" applyFill="1" applyFont="1">
      <alignment horizontal="right" vertical="bottom"/>
    </xf>
    <xf borderId="0" fillId="223" fontId="4" numFmtId="0" xfId="0" applyAlignment="1" applyFill="1" applyFont="1">
      <alignment horizontal="right" vertical="bottom"/>
    </xf>
    <xf borderId="0" fillId="224" fontId="4" numFmtId="0" xfId="0" applyAlignment="1" applyFill="1" applyFont="1">
      <alignment horizontal="right" vertical="bottom"/>
    </xf>
    <xf borderId="15" fillId="225" fontId="4" numFmtId="0" xfId="0" applyAlignment="1" applyBorder="1" applyFill="1" applyFont="1">
      <alignment horizontal="right" vertical="bottom"/>
    </xf>
    <xf borderId="0" fillId="226" fontId="4" numFmtId="0" xfId="0" applyAlignment="1" applyFill="1" applyFont="1">
      <alignment horizontal="right" vertical="bottom"/>
    </xf>
    <xf borderId="0" fillId="227" fontId="4" numFmtId="0" xfId="0" applyAlignment="1" applyFill="1" applyFont="1">
      <alignment horizontal="right" vertical="bottom"/>
    </xf>
    <xf borderId="0" fillId="228" fontId="4" numFmtId="0" xfId="0" applyAlignment="1" applyFill="1" applyFont="1">
      <alignment horizontal="right" vertical="bottom"/>
    </xf>
    <xf borderId="16" fillId="229" fontId="4" numFmtId="0" xfId="0" applyAlignment="1" applyBorder="1" applyFill="1" applyFont="1">
      <alignment horizontal="right" vertical="bottom"/>
    </xf>
    <xf borderId="0" fillId="230" fontId="4" numFmtId="0" xfId="0" applyAlignment="1" applyFill="1" applyFont="1">
      <alignment horizontal="right" vertical="bottom"/>
    </xf>
    <xf borderId="0" fillId="231" fontId="4" numFmtId="0" xfId="0" applyAlignment="1" applyFill="1" applyFont="1">
      <alignment horizontal="right" vertical="bottom"/>
    </xf>
    <xf borderId="15" fillId="232" fontId="4" numFmtId="0" xfId="0" applyAlignment="1" applyBorder="1" applyFill="1" applyFont="1">
      <alignment horizontal="right" vertical="bottom"/>
    </xf>
    <xf borderId="0" fillId="233" fontId="4" numFmtId="0" xfId="0" applyAlignment="1" applyFill="1" applyFont="1">
      <alignment horizontal="right" vertical="bottom"/>
    </xf>
    <xf borderId="0" fillId="211" fontId="4" numFmtId="0" xfId="0" applyAlignment="1" applyFont="1">
      <alignment horizontal="right" vertical="bottom"/>
    </xf>
    <xf borderId="0" fillId="234" fontId="4" numFmtId="0" xfId="0" applyAlignment="1" applyFill="1" applyFont="1">
      <alignment horizontal="right" vertical="bottom"/>
    </xf>
    <xf borderId="0" fillId="235" fontId="4" numFmtId="0" xfId="0" applyAlignment="1" applyFill="1" applyFont="1">
      <alignment horizontal="right" vertical="bottom"/>
    </xf>
    <xf borderId="0" fillId="236" fontId="4" numFmtId="0" xfId="0" applyAlignment="1" applyFill="1" applyFont="1">
      <alignment horizontal="right" vertical="bottom"/>
    </xf>
    <xf borderId="0" fillId="237" fontId="4" numFmtId="0" xfId="0" applyAlignment="1" applyFill="1" applyFont="1">
      <alignment horizontal="right" vertical="bottom"/>
    </xf>
    <xf borderId="16" fillId="156" fontId="4" numFmtId="0" xfId="0" applyAlignment="1" applyBorder="1" applyFont="1">
      <alignment horizontal="right" vertical="bottom"/>
    </xf>
    <xf borderId="0" fillId="238" fontId="4" numFmtId="0" xfId="0" applyAlignment="1" applyFill="1" applyFont="1">
      <alignment horizontal="right" vertical="bottom"/>
    </xf>
    <xf borderId="0" fillId="239" fontId="4" numFmtId="0" xfId="0" applyAlignment="1" applyFill="1" applyFont="1">
      <alignment horizontal="right" vertical="bottom"/>
    </xf>
    <xf borderId="0" fillId="240" fontId="4" numFmtId="0" xfId="0" applyAlignment="1" applyFill="1" applyFont="1">
      <alignment horizontal="right" vertical="bottom"/>
    </xf>
    <xf borderId="0" fillId="241" fontId="4" numFmtId="0" xfId="0" applyAlignment="1" applyFill="1" applyFont="1">
      <alignment horizontal="right" vertical="bottom"/>
    </xf>
    <xf borderId="15" fillId="149" fontId="4" numFmtId="0" xfId="0" applyAlignment="1" applyBorder="1" applyFont="1">
      <alignment horizontal="right" vertical="bottom"/>
    </xf>
    <xf borderId="0" fillId="242" fontId="4" numFmtId="0" xfId="0" applyAlignment="1" applyFill="1" applyFont="1">
      <alignment horizontal="right" vertical="bottom"/>
    </xf>
    <xf borderId="0" fillId="243" fontId="4" numFmtId="0" xfId="0" applyAlignment="1" applyFill="1" applyFont="1">
      <alignment horizontal="right" vertical="bottom"/>
    </xf>
    <xf borderId="0" fillId="244" fontId="4" numFmtId="0" xfId="0" applyAlignment="1" applyFill="1" applyFont="1">
      <alignment horizontal="right" vertical="bottom"/>
    </xf>
    <xf borderId="15" fillId="194" fontId="4" numFmtId="0" xfId="0" applyAlignment="1" applyBorder="1" applyFont="1">
      <alignment horizontal="right" vertical="bottom"/>
    </xf>
    <xf borderId="0" fillId="194" fontId="4" numFmtId="0" xfId="0" applyAlignment="1" applyFont="1">
      <alignment horizontal="right" vertical="bottom"/>
    </xf>
    <xf borderId="0" fillId="245" fontId="4" numFmtId="0" xfId="0" applyAlignment="1" applyFill="1" applyFont="1">
      <alignment horizontal="right" vertical="bottom"/>
    </xf>
    <xf borderId="0" fillId="246" fontId="4" numFmtId="0" xfId="0" applyAlignment="1" applyFill="1" applyFont="1">
      <alignment horizontal="right" vertical="bottom"/>
    </xf>
    <xf borderId="16" fillId="156" fontId="4" numFmtId="0" xfId="0" applyAlignment="1" applyBorder="1" applyFont="1">
      <alignment horizontal="right" vertical="bottom"/>
    </xf>
    <xf borderId="0" fillId="247" fontId="4" numFmtId="0" xfId="0" applyAlignment="1" applyFill="1" applyFont="1">
      <alignment horizontal="right" vertical="bottom"/>
    </xf>
    <xf borderId="0" fillId="27" fontId="4" numFmtId="0" xfId="0" applyAlignment="1" applyFont="1">
      <alignment horizontal="right" vertical="bottom"/>
    </xf>
    <xf borderId="0" fillId="248" fontId="4" numFmtId="0" xfId="0" applyAlignment="1" applyFill="1" applyFont="1">
      <alignment horizontal="right" vertical="bottom"/>
    </xf>
    <xf borderId="15" fillId="80" fontId="4" numFmtId="0" xfId="0" applyAlignment="1" applyBorder="1" applyFont="1">
      <alignment horizontal="right" vertical="bottom"/>
    </xf>
    <xf borderId="0" fillId="249" fontId="4" numFmtId="0" xfId="0" applyAlignment="1" applyFill="1" applyFont="1">
      <alignment horizontal="right" vertical="bottom"/>
    </xf>
    <xf borderId="0" fillId="250" fontId="4" numFmtId="0" xfId="0" applyAlignment="1" applyFill="1" applyFont="1">
      <alignment horizontal="right" vertical="bottom"/>
    </xf>
    <xf borderId="0" fillId="251" fontId="4" numFmtId="0" xfId="0" applyAlignment="1" applyFill="1" applyFont="1">
      <alignment horizontal="right" vertical="bottom"/>
    </xf>
    <xf borderId="0" fillId="252" fontId="4" numFmtId="0" xfId="0" applyAlignment="1" applyFill="1" applyFont="1">
      <alignment horizontal="right" vertical="bottom"/>
    </xf>
    <xf borderId="0" fillId="253" fontId="4" numFmtId="0" xfId="0" applyAlignment="1" applyFill="1" applyFont="1">
      <alignment horizontal="right" vertical="bottom"/>
    </xf>
    <xf borderId="0" fillId="217" fontId="4" numFmtId="0" xfId="0" applyAlignment="1" applyFont="1">
      <alignment horizontal="right" vertical="bottom"/>
    </xf>
    <xf borderId="16" fillId="80" fontId="4" numFmtId="0" xfId="0" applyAlignment="1" applyBorder="1" applyFont="1">
      <alignment horizontal="right" vertical="bottom"/>
    </xf>
    <xf borderId="0" fillId="254" fontId="4" numFmtId="0" xfId="0" applyAlignment="1" applyFill="1" applyFont="1">
      <alignment horizontal="right" vertical="bottom"/>
    </xf>
    <xf borderId="15" fillId="33" fontId="4" numFmtId="0" xfId="0" applyAlignment="1" applyBorder="1" applyFont="1">
      <alignment horizontal="right" vertical="bottom"/>
    </xf>
    <xf borderId="0" fillId="255" fontId="4" numFmtId="0" xfId="0" applyAlignment="1" applyFill="1" applyFont="1">
      <alignment horizontal="right" vertical="bottom"/>
    </xf>
    <xf borderId="0" fillId="256" fontId="4" numFmtId="0" xfId="0" applyAlignment="1" applyFill="1" applyFont="1">
      <alignment horizontal="right" vertical="bottom"/>
    </xf>
    <xf borderId="0" fillId="216" fontId="4" numFmtId="0" xfId="0" applyAlignment="1" applyFont="1">
      <alignment horizontal="right" vertical="bottom"/>
    </xf>
    <xf borderId="0" fillId="257" fontId="4" numFmtId="0" xfId="0" applyAlignment="1" applyFill="1" applyFont="1">
      <alignment horizontal="right" vertical="bottom"/>
    </xf>
    <xf borderId="0" fillId="258" fontId="4" numFmtId="0" xfId="0" applyAlignment="1" applyFill="1" applyFont="1">
      <alignment horizontal="right" vertical="bottom"/>
    </xf>
    <xf borderId="0" fillId="259" fontId="4" numFmtId="0" xfId="0" applyAlignment="1" applyFill="1" applyFont="1">
      <alignment horizontal="right" vertical="bottom"/>
    </xf>
    <xf borderId="0" fillId="260" fontId="4" numFmtId="0" xfId="0" applyAlignment="1" applyFill="1" applyFont="1">
      <alignment horizontal="right" vertical="bottom"/>
    </xf>
    <xf borderId="0" fillId="261" fontId="4" numFmtId="0" xfId="0" applyAlignment="1" applyFill="1" applyFont="1">
      <alignment horizontal="right" vertical="bottom"/>
    </xf>
    <xf borderId="0" fillId="262" fontId="4" numFmtId="0" xfId="0" applyAlignment="1" applyFill="1" applyFont="1">
      <alignment horizontal="right" vertical="bottom"/>
    </xf>
    <xf borderId="21" fillId="79" fontId="4" numFmtId="0" xfId="0" applyAlignment="1" applyBorder="1" applyFont="1">
      <alignment horizontal="right" vertical="bottom"/>
    </xf>
    <xf borderId="2" fillId="79" fontId="4" numFmtId="0" xfId="0" applyAlignment="1" applyBorder="1" applyFont="1">
      <alignment horizontal="right" vertical="bottom"/>
    </xf>
    <xf borderId="2" fillId="203" fontId="4" numFmtId="0" xfId="0" applyAlignment="1" applyBorder="1" applyFont="1">
      <alignment horizontal="right" vertical="bottom"/>
    </xf>
    <xf borderId="2" fillId="227" fontId="4" numFmtId="0" xfId="0" applyAlignment="1" applyBorder="1" applyFont="1">
      <alignment horizontal="right" vertical="bottom"/>
    </xf>
    <xf borderId="2" fillId="237" fontId="4" numFmtId="0" xfId="0" applyAlignment="1" applyBorder="1" applyFont="1">
      <alignment horizontal="right" vertical="bottom"/>
    </xf>
    <xf borderId="2" fillId="59" fontId="4" numFmtId="0" xfId="0" applyAlignment="1" applyBorder="1" applyFont="1">
      <alignment horizontal="right" vertical="bottom"/>
    </xf>
    <xf borderId="2" fillId="35" fontId="4" numFmtId="0" xfId="0" applyAlignment="1" applyBorder="1" applyFont="1">
      <alignment horizontal="right" vertical="bottom"/>
    </xf>
    <xf borderId="2" fillId="263" fontId="4" numFmtId="0" xfId="0" applyAlignment="1" applyBorder="1" applyFill="1" applyFont="1">
      <alignment horizontal="right" vertical="bottom"/>
    </xf>
    <xf borderId="2" fillId="264" fontId="4" numFmtId="0" xfId="0" applyAlignment="1" applyBorder="1" applyFill="1" applyFont="1">
      <alignment horizontal="right" vertical="bottom"/>
    </xf>
    <xf borderId="2" fillId="265" fontId="4" numFmtId="0" xfId="0" applyAlignment="1" applyBorder="1" applyFill="1" applyFont="1">
      <alignment horizontal="right" vertical="bottom"/>
    </xf>
    <xf borderId="2" fillId="266" fontId="4" numFmtId="0" xfId="0" applyAlignment="1" applyBorder="1" applyFill="1" applyFont="1">
      <alignment horizontal="right" vertical="bottom"/>
    </xf>
    <xf borderId="2" fillId="16" fontId="4" numFmtId="0" xfId="0" applyAlignment="1" applyBorder="1" applyFont="1">
      <alignment horizontal="right" vertical="bottom"/>
    </xf>
    <xf borderId="22" fillId="80" fontId="4" numFmtId="0" xfId="0" applyAlignment="1" applyBorder="1" applyFont="1">
      <alignment horizontal="right" vertical="bottom"/>
    </xf>
    <xf borderId="8" fillId="72" fontId="4" numFmtId="0" xfId="0" applyAlignment="1" applyBorder="1" applyFont="1">
      <alignment horizontal="right" vertical="bottom"/>
    </xf>
    <xf borderId="9" fillId="63" fontId="4" numFmtId="0" xfId="0" applyAlignment="1" applyBorder="1" applyFont="1">
      <alignment horizontal="right" vertical="bottom"/>
    </xf>
    <xf borderId="9" fillId="99" fontId="4" numFmtId="0" xfId="0" applyAlignment="1" applyBorder="1" applyFont="1">
      <alignment horizontal="right" vertical="bottom"/>
    </xf>
    <xf borderId="9" fillId="26" fontId="4" numFmtId="0" xfId="0" applyAlignment="1" applyBorder="1" applyFont="1">
      <alignment horizontal="right" vertical="bottom"/>
    </xf>
    <xf borderId="9" fillId="35" fontId="4" numFmtId="0" xfId="0" applyAlignment="1" applyBorder="1" applyFont="1">
      <alignment horizontal="right" vertical="bottom"/>
    </xf>
    <xf borderId="10" fillId="17" fontId="4" numFmtId="0" xfId="0" applyAlignment="1" applyBorder="1" applyFont="1">
      <alignment horizontal="right" vertical="bottom"/>
    </xf>
    <xf borderId="8" fillId="267" fontId="4" numFmtId="0" xfId="0" applyAlignment="1" applyBorder="1" applyFill="1" applyFont="1">
      <alignment horizontal="right" vertical="bottom"/>
    </xf>
    <xf borderId="9" fillId="39" fontId="4" numFmtId="0" xfId="0" applyAlignment="1" applyBorder="1" applyFont="1">
      <alignment horizontal="right" vertical="bottom"/>
    </xf>
    <xf borderId="9" fillId="268" fontId="4" numFmtId="0" xfId="0" applyAlignment="1" applyBorder="1" applyFill="1" applyFont="1">
      <alignment horizontal="right" vertical="bottom"/>
    </xf>
    <xf borderId="9" fillId="269" fontId="4" numFmtId="0" xfId="0" applyAlignment="1" applyBorder="1" applyFill="1" applyFont="1">
      <alignment horizontal="right" vertical="bottom"/>
    </xf>
    <xf borderId="9" fillId="267" fontId="4" numFmtId="0" xfId="0" applyAlignment="1" applyBorder="1" applyFont="1">
      <alignment horizontal="right" vertical="bottom"/>
    </xf>
    <xf borderId="9" fillId="270" fontId="4" numFmtId="0" xfId="0" applyAlignment="1" applyBorder="1" applyFill="1" applyFont="1">
      <alignment horizontal="right" vertical="bottom"/>
    </xf>
    <xf borderId="9" fillId="271" fontId="4" numFmtId="0" xfId="0" applyAlignment="1" applyBorder="1" applyFill="1" applyFont="1">
      <alignment horizontal="right" vertical="bottom"/>
    </xf>
    <xf borderId="9" fillId="272" fontId="4" numFmtId="0" xfId="0" applyAlignment="1" applyBorder="1" applyFill="1" applyFont="1">
      <alignment horizontal="right" vertical="bottom"/>
    </xf>
    <xf borderId="9" fillId="273" fontId="4" numFmtId="0" xfId="0" applyAlignment="1" applyBorder="1" applyFill="1" applyFont="1">
      <alignment horizontal="right" vertical="bottom"/>
    </xf>
    <xf borderId="9" fillId="274" fontId="4" numFmtId="0" xfId="0" applyAlignment="1" applyBorder="1" applyFill="1" applyFont="1">
      <alignment horizontal="right" vertical="bottom"/>
    </xf>
    <xf borderId="10" fillId="275" fontId="4" numFmtId="0" xfId="0" applyAlignment="1" applyBorder="1" applyFill="1" applyFont="1">
      <alignment horizontal="right" vertical="bottom"/>
    </xf>
    <xf borderId="4" fillId="0" fontId="2" numFmtId="0" xfId="0" applyAlignment="1" applyBorder="1" applyFont="1">
      <alignment horizontal="center" vertical="top"/>
    </xf>
    <xf borderId="0" fillId="276" fontId="4" numFmtId="0" xfId="0" applyAlignment="1" applyFill="1" applyFont="1">
      <alignment horizontal="right" vertical="bottom"/>
    </xf>
    <xf borderId="16" fillId="80" fontId="4" numFmtId="0" xfId="0" applyAlignment="1" applyBorder="1" applyFont="1">
      <alignment horizontal="right" vertical="bottom"/>
    </xf>
    <xf borderId="15" fillId="108" fontId="4" numFmtId="0" xfId="0" applyAlignment="1" applyBorder="1" applyFont="1">
      <alignment horizontal="right" vertical="bottom"/>
    </xf>
    <xf borderId="0" fillId="277" fontId="4" numFmtId="0" xfId="0" applyAlignment="1" applyFill="1" applyFont="1">
      <alignment horizontal="right" vertical="bottom"/>
    </xf>
    <xf borderId="0" fillId="278" fontId="4" numFmtId="0" xfId="0" applyAlignment="1" applyFill="1" applyFont="1">
      <alignment horizontal="right" vertical="bottom"/>
    </xf>
    <xf borderId="0" fillId="279" fontId="4" numFmtId="0" xfId="0" applyAlignment="1" applyFill="1" applyFont="1">
      <alignment horizontal="right" vertical="bottom"/>
    </xf>
    <xf borderId="0" fillId="280" fontId="4" numFmtId="0" xfId="0" applyAlignment="1" applyFill="1" applyFont="1">
      <alignment horizontal="right" vertical="bottom"/>
    </xf>
    <xf borderId="0" fillId="281" fontId="4" numFmtId="0" xfId="0" applyAlignment="1" applyFill="1" applyFont="1">
      <alignment horizontal="right" vertical="bottom"/>
    </xf>
    <xf borderId="0" fillId="108" fontId="4" numFmtId="0" xfId="0" applyAlignment="1" applyFont="1">
      <alignment horizontal="right" vertical="bottom"/>
    </xf>
    <xf borderId="0" fillId="275" fontId="4" numFmtId="0" xfId="0" applyAlignment="1" applyFont="1">
      <alignment horizontal="right" vertical="bottom"/>
    </xf>
    <xf borderId="0" fillId="282" fontId="4" numFmtId="0" xfId="0" applyAlignment="1" applyFill="1" applyFont="1">
      <alignment horizontal="right" vertical="bottom"/>
    </xf>
    <xf borderId="16" fillId="283" fontId="4" numFmtId="0" xfId="0" applyAlignment="1" applyBorder="1" applyFill="1" applyFont="1">
      <alignment horizontal="right" vertical="bottom"/>
    </xf>
    <xf borderId="16" fillId="195" fontId="4" numFmtId="0" xfId="0" applyAlignment="1" applyBorder="1" applyFont="1">
      <alignment horizontal="right" vertical="bottom"/>
    </xf>
    <xf borderId="0" fillId="284" fontId="4" numFmtId="0" xfId="0" applyAlignment="1" applyFill="1" applyFont="1">
      <alignment horizontal="right" vertical="bottom"/>
    </xf>
    <xf borderId="0" fillId="267" fontId="4" numFmtId="0" xfId="0" applyAlignment="1" applyFont="1">
      <alignment horizontal="right" vertical="bottom"/>
    </xf>
    <xf borderId="0" fillId="285" fontId="4" numFmtId="0" xfId="0" applyAlignment="1" applyFill="1" applyFont="1">
      <alignment horizontal="right" vertical="bottom"/>
    </xf>
    <xf borderId="0" fillId="286" fontId="4" numFmtId="0" xfId="0" applyAlignment="1" applyFill="1" applyFont="1">
      <alignment horizontal="right" vertical="bottom"/>
    </xf>
    <xf borderId="0" fillId="287" fontId="4" numFmtId="0" xfId="0" applyAlignment="1" applyFill="1" applyFont="1">
      <alignment horizontal="right" vertical="bottom"/>
    </xf>
    <xf borderId="0" fillId="288" fontId="4" numFmtId="0" xfId="0" applyAlignment="1" applyFill="1" applyFont="1">
      <alignment horizontal="right" vertical="bottom"/>
    </xf>
    <xf borderId="0" fillId="289" fontId="4" numFmtId="0" xfId="0" applyAlignment="1" applyFill="1" applyFont="1">
      <alignment horizontal="right" vertical="bottom"/>
    </xf>
    <xf borderId="0" fillId="290" fontId="4" numFmtId="0" xfId="0" applyAlignment="1" applyFill="1" applyFont="1">
      <alignment horizontal="right" vertical="bottom"/>
    </xf>
    <xf borderId="16" fillId="291" fontId="4" numFmtId="0" xfId="0" applyAlignment="1" applyBorder="1" applyFill="1" applyFont="1">
      <alignment horizontal="right" vertical="bottom"/>
    </xf>
    <xf borderId="0" fillId="292" fontId="4" numFmtId="0" xfId="0" applyAlignment="1" applyFill="1" applyFont="1">
      <alignment horizontal="right" vertical="bottom"/>
    </xf>
    <xf borderId="0" fillId="99" fontId="4" numFmtId="0" xfId="0" applyAlignment="1" applyFont="1">
      <alignment horizontal="right" vertical="bottom"/>
    </xf>
    <xf borderId="15" fillId="293" fontId="4" numFmtId="0" xfId="0" applyAlignment="1" applyBorder="1" applyFill="1" applyFont="1">
      <alignment horizontal="right" vertical="bottom"/>
    </xf>
    <xf borderId="0" fillId="269" fontId="4" numFmtId="0" xfId="0" applyAlignment="1" applyFont="1">
      <alignment horizontal="right" vertical="bottom"/>
    </xf>
    <xf borderId="0" fillId="294" fontId="4" numFmtId="0" xfId="0" applyAlignment="1" applyFill="1" applyFont="1">
      <alignment horizontal="right" vertical="bottom"/>
    </xf>
    <xf borderId="0" fillId="295" fontId="4" numFmtId="0" xfId="0" applyAlignment="1" applyFill="1" applyFont="1">
      <alignment horizontal="right" vertical="bottom"/>
    </xf>
    <xf borderId="0" fillId="296" fontId="4" numFmtId="0" xfId="0" applyAlignment="1" applyFill="1" applyFont="1">
      <alignment horizontal="right" vertical="bottom"/>
    </xf>
    <xf borderId="0" fillId="297" fontId="4" numFmtId="0" xfId="0" applyAlignment="1" applyFill="1" applyFont="1">
      <alignment horizontal="right" vertical="bottom"/>
    </xf>
    <xf borderId="0" fillId="298" fontId="4" numFmtId="0" xfId="0" applyAlignment="1" applyFill="1" applyFont="1">
      <alignment horizontal="right" vertical="bottom"/>
    </xf>
    <xf borderId="16" fillId="299" fontId="4" numFmtId="0" xfId="0" applyAlignment="1" applyBorder="1" applyFill="1" applyFont="1">
      <alignment horizontal="right" vertical="bottom"/>
    </xf>
    <xf borderId="0" fillId="100" fontId="4" numFmtId="0" xfId="0" applyAlignment="1" applyFont="1">
      <alignment horizontal="right" vertical="bottom"/>
    </xf>
    <xf borderId="0" fillId="229" fontId="4" numFmtId="0" xfId="0" applyAlignment="1" applyFont="1">
      <alignment horizontal="right" vertical="bottom"/>
    </xf>
    <xf borderId="0" fillId="64" fontId="4" numFmtId="0" xfId="0" applyAlignment="1" applyFont="1">
      <alignment horizontal="right" vertical="bottom"/>
    </xf>
    <xf borderId="15" fillId="269" fontId="4" numFmtId="0" xfId="0" applyAlignment="1" applyBorder="1" applyFont="1">
      <alignment horizontal="right" vertical="bottom"/>
    </xf>
    <xf borderId="0" fillId="300" fontId="4" numFmtId="0" xfId="0" applyAlignment="1" applyFill="1" applyFont="1">
      <alignment horizontal="right" vertical="bottom"/>
    </xf>
    <xf borderId="0" fillId="7" fontId="4" numFmtId="0" xfId="0" applyAlignment="1" applyFont="1">
      <alignment horizontal="right" vertical="bottom"/>
    </xf>
    <xf borderId="0" fillId="301" fontId="4" numFmtId="0" xfId="0" applyAlignment="1" applyFill="1" applyFont="1">
      <alignment horizontal="right" vertical="bottom"/>
    </xf>
    <xf borderId="0" fillId="302" fontId="4" numFmtId="0" xfId="0" applyAlignment="1" applyFill="1" applyFont="1">
      <alignment horizontal="right" vertical="bottom"/>
    </xf>
    <xf borderId="0" fillId="303" fontId="4" numFmtId="0" xfId="0" applyAlignment="1" applyFill="1" applyFont="1">
      <alignment horizontal="right" vertical="bottom"/>
    </xf>
    <xf borderId="16" fillId="304" fontId="4" numFmtId="0" xfId="0" applyAlignment="1" applyBorder="1" applyFill="1" applyFont="1">
      <alignment horizontal="right" vertical="bottom"/>
    </xf>
    <xf borderId="0" fillId="305" fontId="4" numFmtId="0" xfId="0" applyAlignment="1" applyFill="1" applyFont="1">
      <alignment horizontal="right" vertical="bottom"/>
    </xf>
    <xf borderId="0" fillId="306" fontId="4" numFmtId="0" xfId="0" applyAlignment="1" applyFill="1" applyFont="1">
      <alignment horizontal="right" vertical="bottom"/>
    </xf>
    <xf borderId="16" fillId="130" fontId="4" numFmtId="0" xfId="0" applyAlignment="1" applyBorder="1" applyFont="1">
      <alignment horizontal="right" vertical="bottom"/>
    </xf>
    <xf borderId="15" fillId="26" fontId="4" numFmtId="0" xfId="0" applyAlignment="1" applyBorder="1" applyFont="1">
      <alignment horizontal="right" vertical="bottom"/>
    </xf>
    <xf borderId="0" fillId="237" fontId="4" numFmtId="0" xfId="0" applyAlignment="1" applyFont="1">
      <alignment horizontal="right" vertical="bottom"/>
    </xf>
    <xf borderId="0" fillId="307" fontId="4" numFmtId="0" xfId="0" applyAlignment="1" applyFill="1" applyFont="1">
      <alignment horizontal="right" vertical="bottom"/>
    </xf>
    <xf borderId="0" fillId="308" fontId="4" numFmtId="0" xfId="0" applyAlignment="1" applyFill="1" applyFont="1">
      <alignment horizontal="right" vertical="bottom"/>
    </xf>
    <xf borderId="0" fillId="309" fontId="4" numFmtId="0" xfId="0" applyAlignment="1" applyFill="1" applyFont="1">
      <alignment horizontal="right" vertical="bottom"/>
    </xf>
    <xf borderId="16" fillId="26" fontId="4" numFmtId="0" xfId="0" applyAlignment="1" applyBorder="1" applyFont="1">
      <alignment horizontal="right" vertical="bottom"/>
    </xf>
    <xf borderId="15" fillId="310" fontId="4" numFmtId="0" xfId="0" applyAlignment="1" applyBorder="1" applyFill="1" applyFont="1">
      <alignment horizontal="right" vertical="bottom"/>
    </xf>
    <xf borderId="0" fillId="311" fontId="4" numFmtId="0" xfId="0" applyAlignment="1" applyFill="1" applyFont="1">
      <alignment horizontal="right" vertical="bottom"/>
    </xf>
    <xf borderId="0" fillId="312" fontId="4" numFmtId="0" xfId="0" applyAlignment="1" applyFill="1" applyFont="1">
      <alignment horizontal="right" vertical="bottom"/>
    </xf>
    <xf borderId="0" fillId="291" fontId="4" numFmtId="0" xfId="0" applyAlignment="1" applyFont="1">
      <alignment horizontal="right" vertical="bottom"/>
    </xf>
    <xf borderId="16" fillId="269" fontId="4" numFmtId="0" xfId="0" applyAlignment="1" applyBorder="1" applyFont="1">
      <alignment horizontal="right" vertical="bottom"/>
    </xf>
    <xf borderId="15" fillId="209" fontId="4" numFmtId="0" xfId="0" applyAlignment="1" applyBorder="1" applyFont="1">
      <alignment horizontal="right" vertical="bottom"/>
    </xf>
    <xf borderId="0" fillId="104" fontId="4" numFmtId="0" xfId="0" applyAlignment="1" applyFont="1">
      <alignment horizontal="right" vertical="bottom"/>
    </xf>
    <xf borderId="0" fillId="313" fontId="4" numFmtId="0" xfId="0" applyAlignment="1" applyFill="1" applyFont="1">
      <alignment horizontal="right" vertical="bottom"/>
    </xf>
    <xf borderId="16" fillId="194" fontId="4" numFmtId="0" xfId="0" applyAlignment="1" applyBorder="1" applyFont="1">
      <alignment horizontal="right" vertical="bottom"/>
    </xf>
    <xf borderId="15" fillId="314" fontId="4" numFmtId="0" xfId="0" applyAlignment="1" applyBorder="1" applyFill="1" applyFont="1">
      <alignment horizontal="right" vertical="bottom"/>
    </xf>
    <xf borderId="0" fillId="274" fontId="4" numFmtId="0" xfId="0" applyAlignment="1" applyFont="1">
      <alignment horizontal="right" vertical="bottom"/>
    </xf>
    <xf borderId="0" fillId="315" fontId="4" numFmtId="0" xfId="0" applyAlignment="1" applyFill="1" applyFont="1">
      <alignment horizontal="right" vertical="bottom"/>
    </xf>
    <xf borderId="0" fillId="316" fontId="4" numFmtId="0" xfId="0" applyAlignment="1" applyFill="1" applyFont="1">
      <alignment horizontal="right" vertical="bottom"/>
    </xf>
    <xf borderId="0" fillId="317" fontId="4" numFmtId="0" xfId="0" applyAlignment="1" applyFill="1" applyFont="1">
      <alignment horizontal="right" vertical="bottom"/>
    </xf>
    <xf borderId="0" fillId="318" fontId="4" numFmtId="0" xfId="0" applyAlignment="1" applyFill="1" applyFont="1">
      <alignment horizontal="right" vertical="bottom"/>
    </xf>
    <xf borderId="16" fillId="299" fontId="4" numFmtId="0" xfId="0" applyAlignment="1" applyBorder="1" applyFont="1">
      <alignment horizontal="right" vertical="bottom"/>
    </xf>
    <xf borderId="15" fillId="127" fontId="4" numFmtId="0" xfId="0" applyAlignment="1" applyBorder="1" applyFont="1">
      <alignment horizontal="right" vertical="bottom"/>
    </xf>
    <xf borderId="15" fillId="319" fontId="4" numFmtId="0" xfId="0" applyAlignment="1" applyBorder="1" applyFill="1" applyFont="1">
      <alignment horizontal="right" vertical="bottom"/>
    </xf>
    <xf borderId="0" fillId="310" fontId="4" numFmtId="0" xfId="0" applyAlignment="1" applyFont="1">
      <alignment horizontal="right" vertical="bottom"/>
    </xf>
    <xf borderId="0" fillId="320" fontId="4" numFmtId="0" xfId="0" applyAlignment="1" applyFill="1" applyFont="1">
      <alignment horizontal="right" vertical="bottom"/>
    </xf>
    <xf borderId="0" fillId="321" fontId="4" numFmtId="0" xfId="0" applyAlignment="1" applyFill="1" applyFont="1">
      <alignment horizontal="right" vertical="bottom"/>
    </xf>
    <xf borderId="16" fillId="124" fontId="4" numFmtId="0" xfId="0" applyAlignment="1" applyBorder="1" applyFont="1">
      <alignment horizontal="right" vertical="bottom"/>
    </xf>
    <xf borderId="15" fillId="226" fontId="4" numFmtId="0" xfId="0" applyAlignment="1" applyBorder="1" applyFont="1">
      <alignment horizontal="right" vertical="bottom"/>
    </xf>
    <xf borderId="0" fillId="322" fontId="4" numFmtId="0" xfId="0" applyAlignment="1" applyFill="1" applyFont="1">
      <alignment horizontal="right" vertical="bottom"/>
    </xf>
    <xf borderId="0" fillId="323" fontId="4" numFmtId="0" xfId="0" applyAlignment="1" applyFill="1" applyFont="1">
      <alignment horizontal="right" vertical="bottom"/>
    </xf>
    <xf borderId="0" fillId="324" fontId="4" numFmtId="0" xfId="0" applyAlignment="1" applyFill="1" applyFont="1">
      <alignment horizontal="right" vertical="bottom"/>
    </xf>
    <xf borderId="0" fillId="325" fontId="4" numFmtId="0" xfId="0" applyAlignment="1" applyFill="1" applyFont="1">
      <alignment horizontal="right" vertical="bottom"/>
    </xf>
    <xf borderId="15" fillId="326" fontId="4" numFmtId="0" xfId="0" applyAlignment="1" applyBorder="1" applyFill="1" applyFont="1">
      <alignment horizontal="right" vertical="bottom"/>
    </xf>
    <xf borderId="0" fillId="327" fontId="4" numFmtId="0" xfId="0" applyAlignment="1" applyFill="1" applyFont="1">
      <alignment horizontal="right" vertical="bottom"/>
    </xf>
    <xf borderId="0" fillId="328" fontId="4" numFmtId="0" xfId="0" applyAlignment="1" applyFill="1" applyFont="1">
      <alignment horizontal="right" vertical="bottom"/>
    </xf>
    <xf borderId="0" fillId="329" fontId="4" numFmtId="0" xfId="0" applyAlignment="1" applyFill="1" applyFont="1">
      <alignment horizontal="right" vertical="bottom"/>
    </xf>
    <xf borderId="0" fillId="330" fontId="4" numFmtId="0" xfId="0" applyAlignment="1" applyFill="1" applyFont="1">
      <alignment horizontal="right" vertical="bottom"/>
    </xf>
    <xf borderId="0" fillId="270" fontId="4" numFmtId="0" xfId="0" applyAlignment="1" applyFont="1">
      <alignment horizontal="right" vertical="bottom"/>
    </xf>
    <xf borderId="16" fillId="331" fontId="4" numFmtId="0" xfId="0" applyAlignment="1" applyBorder="1" applyFill="1" applyFont="1">
      <alignment horizontal="right" vertical="bottom"/>
    </xf>
    <xf borderId="0" fillId="332" fontId="4" numFmtId="0" xfId="0" applyAlignment="1" applyFill="1" applyFont="1">
      <alignment horizontal="right" vertical="bottom"/>
    </xf>
    <xf borderId="0" fillId="333" fontId="4" numFmtId="0" xfId="0" applyAlignment="1" applyFill="1" applyFont="1">
      <alignment horizontal="right" vertical="bottom"/>
    </xf>
    <xf borderId="0" fillId="195" fontId="4" numFmtId="0" xfId="0" applyAlignment="1" applyFont="1">
      <alignment horizontal="right" vertical="bottom"/>
    </xf>
    <xf borderId="15" fillId="334" fontId="4" numFmtId="0" xfId="0" applyAlignment="1" applyBorder="1" applyFill="1" applyFont="1">
      <alignment horizontal="right" vertical="bottom"/>
    </xf>
    <xf borderId="0" fillId="335" fontId="4" numFmtId="0" xfId="0" applyAlignment="1" applyFill="1" applyFont="1">
      <alignment horizontal="right" vertical="bottom"/>
    </xf>
    <xf borderId="0" fillId="336" fontId="4" numFmtId="0" xfId="0" applyAlignment="1" applyFill="1" applyFont="1">
      <alignment horizontal="right" vertical="bottom"/>
    </xf>
    <xf borderId="0" fillId="337" fontId="4" numFmtId="0" xfId="0" applyAlignment="1" applyFill="1" applyFont="1">
      <alignment horizontal="right" vertical="bottom"/>
    </xf>
    <xf borderId="0" fillId="4" fontId="4" numFmtId="0" xfId="0" applyAlignment="1" applyFont="1">
      <alignment horizontal="right" vertical="bottom"/>
    </xf>
    <xf borderId="0" fillId="338" fontId="4" numFmtId="0" xfId="0" applyAlignment="1" applyFill="1" applyFont="1">
      <alignment horizontal="right" vertical="bottom"/>
    </xf>
    <xf borderId="16" fillId="339" fontId="4" numFmtId="0" xfId="0" applyAlignment="1" applyBorder="1" applyFill="1" applyFont="1">
      <alignment horizontal="right" vertical="bottom"/>
    </xf>
    <xf borderId="15" fillId="130" fontId="4" numFmtId="0" xfId="0" applyAlignment="1" applyBorder="1" applyFont="1">
      <alignment horizontal="right" vertical="bottom"/>
    </xf>
    <xf borderId="0" fillId="340" fontId="4" numFmtId="0" xfId="0" applyAlignment="1" applyFill="1" applyFont="1">
      <alignment horizontal="right" vertical="bottom"/>
    </xf>
    <xf borderId="0" fillId="341" fontId="4" numFmtId="0" xfId="0" applyAlignment="1" applyFill="1" applyFont="1">
      <alignment horizontal="right" vertical="bottom"/>
    </xf>
    <xf borderId="0" fillId="342" fontId="4" numFmtId="0" xfId="0" applyAlignment="1" applyFill="1" applyFont="1">
      <alignment horizontal="right" vertical="bottom"/>
    </xf>
    <xf borderId="16" fillId="293" fontId="4" numFmtId="0" xfId="0" applyAlignment="1" applyBorder="1" applyFont="1">
      <alignment horizontal="right" vertical="bottom"/>
    </xf>
    <xf borderId="0" fillId="343" fontId="4" numFmtId="0" xfId="0" applyAlignment="1" applyFill="1" applyFont="1">
      <alignment horizontal="right" vertical="bottom"/>
    </xf>
    <xf borderId="0" fillId="207" fontId="4" numFmtId="0" xfId="0" applyAlignment="1" applyFont="1">
      <alignment horizontal="right" vertical="bottom"/>
    </xf>
    <xf borderId="15" fillId="344" fontId="4" numFmtId="0" xfId="0" applyAlignment="1" applyBorder="1" applyFill="1" applyFont="1">
      <alignment horizontal="right" vertical="bottom"/>
    </xf>
    <xf borderId="0" fillId="345" fontId="4" numFmtId="0" xfId="0" applyAlignment="1" applyFill="1" applyFont="1">
      <alignment horizontal="right" vertical="bottom"/>
    </xf>
    <xf borderId="16" fillId="286" fontId="4" numFmtId="0" xfId="0" applyAlignment="1" applyBorder="1" applyFont="1">
      <alignment horizontal="right" vertical="bottom"/>
    </xf>
    <xf borderId="0" fillId="346" fontId="4" numFmtId="0" xfId="0" applyAlignment="1" applyFill="1" applyFont="1">
      <alignment horizontal="right" vertical="bottom"/>
    </xf>
    <xf borderId="16" fillId="309" fontId="4" numFmtId="0" xfId="0" applyAlignment="1" applyBorder="1" applyFont="1">
      <alignment horizontal="right" vertical="bottom"/>
    </xf>
    <xf borderId="15" fillId="162" fontId="4" numFmtId="0" xfId="0" applyAlignment="1" applyBorder="1" applyFont="1">
      <alignment horizontal="right" vertical="bottom"/>
    </xf>
    <xf borderId="0" fillId="347" fontId="4" numFmtId="0" xfId="0" applyAlignment="1" applyFill="1" applyFont="1">
      <alignment horizontal="right" vertical="bottom"/>
    </xf>
    <xf borderId="0" fillId="348" fontId="4" numFmtId="0" xfId="0" applyAlignment="1" applyFill="1" applyFont="1">
      <alignment horizontal="right" vertical="bottom"/>
    </xf>
    <xf borderId="0" fillId="349" fontId="4" numFmtId="0" xfId="0" applyAlignment="1" applyFill="1" applyFont="1">
      <alignment horizontal="right" vertical="bottom"/>
    </xf>
    <xf borderId="16" fillId="277" fontId="4" numFmtId="0" xfId="0" applyAlignment="1" applyBorder="1" applyFont="1">
      <alignment horizontal="right" vertical="bottom"/>
    </xf>
    <xf borderId="11" fillId="350" fontId="2" numFmtId="0" xfId="0" applyAlignment="1" applyBorder="1" applyFill="1" applyFont="1">
      <alignment vertical="top"/>
    </xf>
    <xf borderId="36" fillId="351" fontId="4" numFmtId="0" xfId="0" applyAlignment="1" applyBorder="1" applyFill="1" applyFont="1">
      <alignment horizontal="right" vertical="bottom"/>
    </xf>
    <xf borderId="37" fillId="351" fontId="4" numFmtId="0" xfId="0" applyAlignment="1" applyBorder="1" applyFont="1">
      <alignment horizontal="right" vertical="bottom"/>
    </xf>
    <xf borderId="29" fillId="351" fontId="4" numFmtId="0" xfId="0" applyAlignment="1" applyBorder="1" applyFont="1">
      <alignment horizontal="right" vertical="bottom"/>
    </xf>
    <xf borderId="29" fillId="351" fontId="4" numFmtId="0" xfId="0" applyAlignment="1" applyBorder="1" applyFont="1">
      <alignment vertical="bottom"/>
    </xf>
    <xf borderId="17" fillId="176" fontId="2" numFmtId="0" xfId="0" applyAlignment="1" applyBorder="1" applyFont="1">
      <alignment vertical="top"/>
    </xf>
    <xf borderId="29" fillId="177" fontId="4" numFmtId="0" xfId="0" applyAlignment="1" applyBorder="1" applyFont="1">
      <alignment horizontal="right" vertical="bottom"/>
    </xf>
    <xf borderId="38" fillId="177" fontId="4" numFmtId="0" xfId="0" applyAlignment="1" applyBorder="1" applyFont="1">
      <alignment horizontal="right" vertical="bottom"/>
    </xf>
    <xf borderId="28" fillId="352" fontId="2" numFmtId="0" xfId="0" applyAlignment="1" applyBorder="1" applyFill="1" applyFont="1">
      <alignment vertical="top"/>
    </xf>
    <xf borderId="39" fillId="353" fontId="4" numFmtId="0" xfId="0" applyAlignment="1" applyBorder="1" applyFill="1" applyFont="1">
      <alignment horizontal="right" vertical="bottom"/>
    </xf>
    <xf borderId="40" fillId="353" fontId="4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Agriculture GHG Footprint of Consumption and direct emissions of domestic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Simulation_AT!$AG$241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Simulation_AT!$AG$242:$AG$245</c:f>
              <c:numCache/>
            </c:numRef>
          </c:val>
        </c:ser>
        <c:ser>
          <c:idx val="1"/>
          <c:order val="1"/>
          <c:tx>
            <c:strRef>
              <c:f>Simulation_AT!$AH$241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Simulation_AT!$AH$242:$AH$245</c:f>
              <c:numCache/>
            </c:numRef>
          </c:val>
        </c:ser>
        <c:ser>
          <c:idx val="2"/>
          <c:order val="2"/>
          <c:tx>
            <c:strRef>
              <c:f>Simulation_AT!$AI$241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Simulation_AT!$AI$242:$AI$245</c:f>
              <c:numCache/>
            </c:numRef>
          </c:val>
        </c:ser>
        <c:ser>
          <c:idx val="3"/>
          <c:order val="3"/>
          <c:tx>
            <c:strRef>
              <c:f>Simulation_AT!$AJ$241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Simulation_AT!$AJ$242:$AJ$245</c:f>
              <c:numCache/>
            </c:numRef>
          </c:val>
        </c:ser>
        <c:ser>
          <c:idx val="4"/>
          <c:order val="4"/>
          <c:tx>
            <c:strRef>
              <c:f>Simulation_AT!$AK$241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Simulation_AT!$AK$242:$AK$245</c:f>
              <c:numCache/>
            </c:numRef>
          </c:val>
        </c:ser>
        <c:ser>
          <c:idx val="5"/>
          <c:order val="5"/>
          <c:tx>
            <c:strRef>
              <c:f>Simulation_AT!$AL$241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Simulation_AT!$AL$242:$AL$245</c:f>
              <c:numCache/>
            </c:numRef>
          </c:val>
        </c:ser>
        <c:ser>
          <c:idx val="6"/>
          <c:order val="6"/>
          <c:tx>
            <c:strRef>
              <c:f>Simulation_AT!$AM$241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Simulation_AT!$AM$242:$AM$245</c:f>
              <c:numCache/>
            </c:numRef>
          </c:val>
        </c:ser>
        <c:ser>
          <c:idx val="7"/>
          <c:order val="7"/>
          <c:tx>
            <c:strRef>
              <c:f>Simulation_AT!$AN$241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Simulation_AT!$AN$242:$AN$245</c:f>
              <c:numCache/>
            </c:numRef>
          </c:val>
        </c:ser>
        <c:ser>
          <c:idx val="8"/>
          <c:order val="8"/>
          <c:tx>
            <c:strRef>
              <c:f>Simulation_AT!$AO$241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Simulation_AT!$AO$242:$AO$245</c:f>
              <c:numCache/>
            </c:numRef>
          </c:val>
        </c:ser>
        <c:ser>
          <c:idx val="9"/>
          <c:order val="9"/>
          <c:tx>
            <c:strRef>
              <c:f>Simulation_AT!$AP$241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Simulation_AT!$AP$242:$AP$245</c:f>
              <c:numCache/>
            </c:numRef>
          </c:val>
        </c:ser>
        <c:ser>
          <c:idx val="10"/>
          <c:order val="10"/>
          <c:tx>
            <c:strRef>
              <c:f>Simulation_AT!$AQ$241</c:f>
            </c:strRef>
          </c:tx>
          <c:spPr>
            <a:solidFill>
              <a:srgbClr val="FFF2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Simulation_AT!$AQ$242:$AQ$245</c:f>
              <c:numCache/>
            </c:numRef>
          </c:val>
        </c:ser>
        <c:ser>
          <c:idx val="11"/>
          <c:order val="11"/>
          <c:tx>
            <c:strRef>
              <c:f>Simulation_AT!$AR$241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Simulation_AT!$AF$242:$AF$245</c:f>
            </c:strRef>
          </c:cat>
          <c:val>
            <c:numRef>
              <c:f>Simulation_AT!$AR$242:$AR$245</c:f>
              <c:numCache/>
            </c:numRef>
          </c:val>
        </c:ser>
        <c:overlap val="100"/>
        <c:axId val="1434590769"/>
        <c:axId val="688678241"/>
      </c:barChart>
      <c:catAx>
        <c:axId val="14345907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-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88678241"/>
      </c:catAx>
      <c:valAx>
        <c:axId val="6886782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3459076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Total GHG Footprint of Consumption and Direct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Simulation_AT!$AV$241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Simulation_AT!$AV$242:$AV$247</c:f>
              <c:numCache/>
            </c:numRef>
          </c:val>
        </c:ser>
        <c:ser>
          <c:idx val="1"/>
          <c:order val="1"/>
          <c:tx>
            <c:strRef>
              <c:f>Simulation_AT!$AW$241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Simulation_AT!$AW$242:$AW$247</c:f>
              <c:numCache/>
            </c:numRef>
          </c:val>
        </c:ser>
        <c:ser>
          <c:idx val="2"/>
          <c:order val="2"/>
          <c:tx>
            <c:strRef>
              <c:f>Simulation_AT!$AX$241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Simulation_AT!$AU$242:$AU$247</c:f>
            </c:strRef>
          </c:cat>
          <c:val>
            <c:numRef>
              <c:f>Simulation_AT!$AX$242:$AX$247</c:f>
              <c:numCache/>
            </c:numRef>
          </c:val>
        </c:ser>
        <c:overlap val="100"/>
        <c:axId val="264169754"/>
        <c:axId val="975246093"/>
      </c:barChart>
      <c:catAx>
        <c:axId val="26416975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5246093"/>
      </c:catAx>
      <c:valAx>
        <c:axId val="975246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64169754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2400">
                <a:solidFill>
                  <a:srgbClr val="757575"/>
                </a:solidFill>
                <a:latin typeface="+mn-lt"/>
              </a:defRPr>
            </a:pPr>
            <a:r>
              <a:rPr b="1" i="0" sz="2400">
                <a:solidFill>
                  <a:srgbClr val="757575"/>
                </a:solidFill>
                <a:latin typeface="+mn-lt"/>
              </a:rPr>
              <a:t>Agriculture GHG Footprint of Consumption and direct emissions of domestic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Simulation_AT!$AG$241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Simulation_AT!$AG$242:$AG$245</c:f>
              <c:numCache/>
            </c:numRef>
          </c:val>
        </c:ser>
        <c:ser>
          <c:idx val="1"/>
          <c:order val="1"/>
          <c:tx>
            <c:strRef>
              <c:f>Simulation_AT!$AH$241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Simulation_AT!$AH$242:$AH$245</c:f>
              <c:numCache/>
            </c:numRef>
          </c:val>
        </c:ser>
        <c:ser>
          <c:idx val="2"/>
          <c:order val="2"/>
          <c:tx>
            <c:strRef>
              <c:f>Simulation_AT!$AI$241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Simulation_AT!$AI$242:$AI$245</c:f>
              <c:numCache/>
            </c:numRef>
          </c:val>
        </c:ser>
        <c:ser>
          <c:idx val="3"/>
          <c:order val="3"/>
          <c:tx>
            <c:strRef>
              <c:f>Simulation_AT!$AJ$241</c:f>
            </c:strRef>
          </c:tx>
          <c:spPr>
            <a:solidFill>
              <a:srgbClr val="B4A7D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Simulation_AT!$AJ$242:$AJ$245</c:f>
              <c:numCache/>
            </c:numRef>
          </c:val>
        </c:ser>
        <c:ser>
          <c:idx val="4"/>
          <c:order val="4"/>
          <c:tx>
            <c:strRef>
              <c:f>Simulation_AT!$AK$241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Simulation_AT!$AK$242:$AK$245</c:f>
              <c:numCache/>
            </c:numRef>
          </c:val>
        </c:ser>
        <c:ser>
          <c:idx val="5"/>
          <c:order val="5"/>
          <c:tx>
            <c:strRef>
              <c:f>Simulation_AT!$AL$241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Simulation_AT!$AL$242:$AL$245</c:f>
              <c:numCache/>
            </c:numRef>
          </c:val>
        </c:ser>
        <c:ser>
          <c:idx val="6"/>
          <c:order val="6"/>
          <c:tx>
            <c:strRef>
              <c:f>Simulation_AT!$AM$241</c:f>
            </c:strRef>
          </c:tx>
          <c:spPr>
            <a:solidFill>
              <a:srgbClr val="C9DAF8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Simulation_AT!$AM$242:$AM$245</c:f>
              <c:numCache/>
            </c:numRef>
          </c:val>
        </c:ser>
        <c:ser>
          <c:idx val="7"/>
          <c:order val="7"/>
          <c:tx>
            <c:strRef>
              <c:f>Simulation_AT!$AN$241</c:f>
            </c:strRef>
          </c:tx>
          <c:spPr>
            <a:solidFill>
              <a:srgbClr val="D9EAD3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Simulation_AT!$AN$242:$AN$245</c:f>
              <c:numCache/>
            </c:numRef>
          </c:val>
        </c:ser>
        <c:ser>
          <c:idx val="8"/>
          <c:order val="8"/>
          <c:tx>
            <c:strRef>
              <c:f>Simulation_AT!$AO$241</c:f>
            </c:strRef>
          </c:tx>
          <c:spPr>
            <a:solidFill>
              <a:srgbClr val="F4CC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Simulation_AT!$AO$242:$AO$245</c:f>
              <c:numCache/>
            </c:numRef>
          </c:val>
        </c:ser>
        <c:ser>
          <c:idx val="9"/>
          <c:order val="9"/>
          <c:tx>
            <c:strRef>
              <c:f>Simulation_AT!$AP$241</c:f>
            </c:strRef>
          </c:tx>
          <c:spPr>
            <a:solidFill>
              <a:srgbClr val="D9D2E9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Simulation_AT!$AP$242:$AP$245</c:f>
              <c:numCache/>
            </c:numRef>
          </c:val>
        </c:ser>
        <c:ser>
          <c:idx val="10"/>
          <c:order val="10"/>
          <c:tx>
            <c:strRef>
              <c:f>Simulation_AT!$AQ$241</c:f>
            </c:strRef>
          </c:tx>
          <c:spPr>
            <a:solidFill>
              <a:srgbClr val="FFF2CC"/>
            </a:solidFill>
            <a:ln cmpd="sng">
              <a:solidFill>
                <a:srgbClr val="000000"/>
              </a:solidFill>
            </a:ln>
          </c:spPr>
          <c:cat>
            <c:strRef>
              <c:f>Simulation_AT!$AF$242:$AF$245</c:f>
            </c:strRef>
          </c:cat>
          <c:val>
            <c:numRef>
              <c:f>Simulation_AT!$AQ$242:$AQ$245</c:f>
              <c:numCache/>
            </c:numRef>
          </c:val>
        </c:ser>
        <c:ser>
          <c:idx val="11"/>
          <c:order val="11"/>
          <c:tx>
            <c:strRef>
              <c:f>Simulation_AT!$AR$241</c:f>
            </c:strRef>
          </c:tx>
          <c:spPr>
            <a:solidFill>
              <a:srgbClr val="D9D9D9"/>
            </a:solidFill>
            <a:ln cmpd="sng">
              <a:solidFill>
                <a:srgbClr val="000000"/>
              </a:solidFill>
            </a:ln>
          </c:spPr>
          <c:dPt>
            <c:idx val="0"/>
          </c:dPt>
          <c:cat>
            <c:strRef>
              <c:f>Simulation_AT!$AF$242:$AF$245</c:f>
            </c:strRef>
          </c:cat>
          <c:val>
            <c:numRef>
              <c:f>Simulation_AT!$AR$242:$AR$245</c:f>
              <c:numCache/>
            </c:numRef>
          </c:val>
        </c:ser>
        <c:overlap val="100"/>
        <c:axId val="1904598234"/>
        <c:axId val="156123678"/>
      </c:barChart>
      <c:catAx>
        <c:axId val="190459823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-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+mn-lt"/>
              </a:defRPr>
            </a:pPr>
          </a:p>
        </c:txPr>
        <c:crossAx val="156123678"/>
      </c:catAx>
      <c:valAx>
        <c:axId val="1561236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0459823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Total GHG Footprint of Consumption and Direct Production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Simulation_AT!$AV$241</c:f>
            </c:strRef>
          </c:tx>
          <c:spPr>
            <a:solidFill>
              <a:srgbClr val="FFE599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Simulation_AT!$AV$242:$AV$247</c:f>
              <c:numCache/>
            </c:numRef>
          </c:val>
        </c:ser>
        <c:ser>
          <c:idx val="1"/>
          <c:order val="1"/>
          <c:tx>
            <c:strRef>
              <c:f>Simulation_AT!$AW$241</c:f>
            </c:strRef>
          </c:tx>
          <c:spPr>
            <a:solidFill>
              <a:srgbClr val="A4C2F4"/>
            </a:solidFill>
            <a:ln cmpd="sng">
              <a:solidFill>
                <a:srgbClr val="000000"/>
              </a:solidFill>
            </a:ln>
          </c:spPr>
          <c:cat>
            <c:strRef>
              <c:f>Simulation_AT!$AU$242:$AU$247</c:f>
            </c:strRef>
          </c:cat>
          <c:val>
            <c:numRef>
              <c:f>Simulation_AT!$AW$242:$AW$247</c:f>
              <c:numCache/>
            </c:numRef>
          </c:val>
        </c:ser>
        <c:ser>
          <c:idx val="2"/>
          <c:order val="2"/>
          <c:tx>
            <c:strRef>
              <c:f>Simulation_AT!$AX$241</c:f>
            </c:strRef>
          </c:tx>
          <c:spPr>
            <a:solidFill>
              <a:srgbClr val="B6D7A8"/>
            </a:solidFill>
            <a:ln cmpd="sng">
              <a:solidFill>
                <a:srgbClr val="000000"/>
              </a:solidFill>
            </a:ln>
          </c:spPr>
          <c:dPt>
            <c:idx val="1"/>
          </c:dPt>
          <c:cat>
            <c:strRef>
              <c:f>Simulation_AT!$AU$242:$AU$247</c:f>
            </c:strRef>
          </c:cat>
          <c:val>
            <c:numRef>
              <c:f>Simulation_AT!$AX$242:$AX$247</c:f>
              <c:numCache/>
            </c:numRef>
          </c:val>
        </c:ser>
        <c:overlap val="100"/>
        <c:axId val="1102452323"/>
        <c:axId val="185532675"/>
      </c:barChart>
      <c:catAx>
        <c:axId val="11024523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Footprints and Direct Sector Outputs Austria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5532675"/>
      </c:catAx>
      <c:valAx>
        <c:axId val="1855326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0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000">
                    <a:solidFill>
                      <a:srgbClr val="000000"/>
                    </a:solidFill>
                    <a:latin typeface="+mn-lt"/>
                  </a:rPr>
                  <a:t>GHG Emissions [kg of CO2e] in 2019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02452323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Value Added: Agriculture and Food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Simulation_AT!$AG$276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Simulation_AT!$AG$277:$AG$278</c:f>
              <c:numCache/>
            </c:numRef>
          </c:val>
        </c:ser>
        <c:ser>
          <c:idx val="1"/>
          <c:order val="1"/>
          <c:tx>
            <c:strRef>
              <c:f>Simulation_AT!$AH$276</c:f>
            </c:strRef>
          </c:tx>
          <c:spPr>
            <a:solidFill>
              <a:srgbClr val="93C47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Simulation_AT!$AH$277:$AH$278</c:f>
              <c:numCache/>
            </c:numRef>
          </c:val>
        </c:ser>
        <c:ser>
          <c:idx val="2"/>
          <c:order val="2"/>
          <c:tx>
            <c:strRef>
              <c:f>Simulation_AT!$AI$276</c:f>
            </c:strRef>
          </c:tx>
          <c:spPr>
            <a:solidFill>
              <a:srgbClr val="E0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Simulation_AT!$AI$277:$AI$278</c:f>
              <c:numCache/>
            </c:numRef>
          </c:val>
        </c:ser>
        <c:ser>
          <c:idx val="3"/>
          <c:order val="3"/>
          <c:tx>
            <c:strRef>
              <c:f>Simulation_AT!$AJ$276</c:f>
            </c:strRef>
          </c:tx>
          <c:spPr>
            <a:solidFill>
              <a:srgbClr val="D5A6BD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Simulation_AT!$AJ$277:$AJ$278</c:f>
              <c:numCache/>
            </c:numRef>
          </c:val>
        </c:ser>
        <c:ser>
          <c:idx val="4"/>
          <c:order val="4"/>
          <c:tx>
            <c:strRef>
              <c:f>Simulation_AT!$AK$276</c:f>
            </c:strRef>
          </c:tx>
          <c:spPr>
            <a:solidFill>
              <a:srgbClr val="FFD9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Simulation_AT!$AK$277:$AK$278</c:f>
              <c:numCache/>
            </c:numRef>
          </c:val>
        </c:ser>
        <c:ser>
          <c:idx val="5"/>
          <c:order val="5"/>
          <c:tx>
            <c:strRef>
              <c:f>Simulation_AT!$AL$276</c:f>
            </c:strRef>
          </c:tx>
          <c:spPr>
            <a:solidFill>
              <a:srgbClr val="666666"/>
            </a:solidFill>
            <a:ln cmpd="sng">
              <a:solidFill>
                <a:srgbClr val="000000"/>
              </a:solidFill>
            </a:ln>
          </c:spPr>
          <c:cat>
            <c:strRef>
              <c:f>Simulation_AT!$AF$277:$AF$278</c:f>
            </c:strRef>
          </c:cat>
          <c:val>
            <c:numRef>
              <c:f>Simulation_AT!$AL$277:$AL$278</c:f>
              <c:numCache/>
            </c:numRef>
          </c:val>
        </c:ser>
        <c:overlap val="100"/>
        <c:axId val="1885455230"/>
        <c:axId val="1018148084"/>
      </c:barChart>
      <c:catAx>
        <c:axId val="18854552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6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600">
                    <a:solidFill>
                      <a:srgbClr val="000000"/>
                    </a:solidFill>
                    <a:latin typeface="+mn-lt"/>
                  </a:rPr>
                  <a:t>Value added in Agriculture and Food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18148084"/>
      </c:catAx>
      <c:valAx>
        <c:axId val="10181480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400">
                    <a:solidFill>
                      <a:srgbClr val="000000"/>
                    </a:solidFill>
                    <a:latin typeface="+mn-lt"/>
                  </a:rPr>
                  <a:t>mio € in 02.2025 prices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854552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Total GDP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strRef>
              <c:f>Simulation_AT!$AU$275:$AU$276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Simulation_AT!$AV$277:$AV$278</c:f>
            </c:strRef>
          </c:cat>
          <c:val>
            <c:numRef>
              <c:f>Simulation_AT!$AU$277:$AU$278</c:f>
              <c:numCache/>
            </c:numRef>
          </c:val>
        </c:ser>
        <c:axId val="2010447222"/>
        <c:axId val="988070685"/>
      </c:barChart>
      <c:catAx>
        <c:axId val="20104472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All Secotrs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8070685"/>
      </c:catAx>
      <c:valAx>
        <c:axId val="98807068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GDP (Million Euros, prices 14.02.2025)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104472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38100</xdr:colOff>
      <xdr:row>25</xdr:row>
      <xdr:rowOff>95250</xdr:rowOff>
    </xdr:from>
    <xdr:ext cx="7800975" cy="4819650"/>
    <xdr:graphicFrame>
      <xdr:nvGraphicFramePr>
        <xdr:cNvPr id="1" name="Chart 1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85725</xdr:colOff>
      <xdr:row>2</xdr:row>
      <xdr:rowOff>95250</xdr:rowOff>
    </xdr:from>
    <xdr:ext cx="7705725" cy="4819650"/>
    <xdr:graphicFrame>
      <xdr:nvGraphicFramePr>
        <xdr:cNvPr id="2" name="Chart 2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923925</xdr:colOff>
      <xdr:row>245</xdr:row>
      <xdr:rowOff>142875</xdr:rowOff>
    </xdr:from>
    <xdr:ext cx="9525000" cy="5886450"/>
    <xdr:graphicFrame>
      <xdr:nvGraphicFramePr>
        <xdr:cNvPr id="3" name="Chart 3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41</xdr:col>
      <xdr:colOff>57150</xdr:colOff>
      <xdr:row>245</xdr:row>
      <xdr:rowOff>190500</xdr:rowOff>
    </xdr:from>
    <xdr:ext cx="9353550" cy="5838825"/>
    <xdr:graphicFrame>
      <xdr:nvGraphicFramePr>
        <xdr:cNvPr id="4" name="Chart 4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32</xdr:col>
      <xdr:colOff>57150</xdr:colOff>
      <xdr:row>279</xdr:row>
      <xdr:rowOff>57150</xdr:rowOff>
    </xdr:from>
    <xdr:ext cx="5715000" cy="3533775"/>
    <xdr:graphicFrame>
      <xdr:nvGraphicFramePr>
        <xdr:cNvPr id="5" name="Chart 5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38</xdr:col>
      <xdr:colOff>304800</xdr:colOff>
      <xdr:row>279</xdr:row>
      <xdr:rowOff>57150</xdr:rowOff>
    </xdr:from>
    <xdr:ext cx="5715000" cy="3533775"/>
    <xdr:graphicFrame>
      <xdr:nvGraphicFramePr>
        <xdr:cNvPr id="6" name="Chart 6" title="Diagramm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3">
      <c r="B3" s="2" t="s">
        <v>1</v>
      </c>
      <c r="C3" s="2"/>
      <c r="D3" s="3" t="s">
        <v>2</v>
      </c>
      <c r="E3" s="4" t="s">
        <v>3</v>
      </c>
      <c r="F3" s="4" t="s">
        <v>4</v>
      </c>
      <c r="G3" s="4" t="s">
        <v>5</v>
      </c>
    </row>
    <row r="4">
      <c r="B4" s="5" t="s">
        <v>6</v>
      </c>
    </row>
    <row r="5">
      <c r="B5" s="6">
        <f>(1-D5)</f>
        <v>1.03</v>
      </c>
      <c r="C5" s="7">
        <f>(1+D5)</f>
        <v>0.97</v>
      </c>
      <c r="D5" s="8">
        <v>-0.03</v>
      </c>
      <c r="E5" s="9" t="s">
        <v>7</v>
      </c>
      <c r="F5" s="9" t="s">
        <v>8</v>
      </c>
      <c r="G5" s="9">
        <v>0.0</v>
      </c>
      <c r="BB5" s="10">
        <v>-0.85</v>
      </c>
    </row>
    <row r="6">
      <c r="B6" s="5" t="s">
        <v>9</v>
      </c>
    </row>
    <row r="7">
      <c r="B7" s="6">
        <f>(1+D7)</f>
        <v>1</v>
      </c>
      <c r="C7" s="11"/>
      <c r="D7" s="12">
        <v>0.0</v>
      </c>
      <c r="E7" s="9" t="s">
        <v>7</v>
      </c>
      <c r="F7" s="9" t="s">
        <v>10</v>
      </c>
      <c r="G7" s="9">
        <v>0.0</v>
      </c>
      <c r="BB7" s="10">
        <v>-0.8</v>
      </c>
    </row>
    <row r="8">
      <c r="B8" s="5" t="s">
        <v>11</v>
      </c>
    </row>
    <row r="9">
      <c r="B9" s="6">
        <f>(1-D9)</f>
        <v>0.5</v>
      </c>
      <c r="C9" s="7">
        <f>(1+D9)</f>
        <v>1.5</v>
      </c>
      <c r="D9" s="12">
        <v>0.5</v>
      </c>
      <c r="E9" s="9" t="s">
        <v>12</v>
      </c>
      <c r="F9" s="9" t="s">
        <v>13</v>
      </c>
      <c r="G9" s="9">
        <v>0.0</v>
      </c>
      <c r="BB9" s="10">
        <v>-0.75</v>
      </c>
    </row>
    <row r="10">
      <c r="B10" s="5" t="s">
        <v>14</v>
      </c>
    </row>
    <row r="11">
      <c r="B11" s="6">
        <f>(1-D11)</f>
        <v>0.5</v>
      </c>
      <c r="C11" s="7">
        <f>(1+D11)</f>
        <v>1.5</v>
      </c>
      <c r="D11" s="12">
        <v>0.5</v>
      </c>
      <c r="E11" s="9" t="s">
        <v>12</v>
      </c>
      <c r="F11" s="9" t="s">
        <v>15</v>
      </c>
      <c r="G11" s="9">
        <v>0.0</v>
      </c>
      <c r="BB11" s="10">
        <v>-0.89</v>
      </c>
    </row>
    <row r="12">
      <c r="B12" s="5" t="s">
        <v>16</v>
      </c>
    </row>
    <row r="13">
      <c r="B13" s="6">
        <f>(1-D13)</f>
        <v>0.5</v>
      </c>
      <c r="C13" s="7">
        <f>(1+D13)</f>
        <v>1.5</v>
      </c>
      <c r="D13" s="12">
        <v>0.5</v>
      </c>
      <c r="E13" s="9" t="s">
        <v>12</v>
      </c>
      <c r="F13" s="9" t="s">
        <v>17</v>
      </c>
      <c r="G13" s="9">
        <v>0.0</v>
      </c>
      <c r="BB13" s="10">
        <v>-0.8</v>
      </c>
    </row>
    <row r="14">
      <c r="B14" s="5" t="s">
        <v>18</v>
      </c>
    </row>
    <row r="15">
      <c r="B15" s="6">
        <f>(1-D15)</f>
        <v>0.5</v>
      </c>
      <c r="C15" s="7">
        <f>(1+D15)</f>
        <v>1.5</v>
      </c>
      <c r="D15" s="12">
        <v>0.5</v>
      </c>
      <c r="E15" s="9" t="s">
        <v>12</v>
      </c>
      <c r="F15" s="9" t="s">
        <v>19</v>
      </c>
      <c r="G15" s="9">
        <v>0.0</v>
      </c>
      <c r="BB15" s="10">
        <v>-0.75</v>
      </c>
    </row>
    <row r="16">
      <c r="B16" s="5" t="s">
        <v>20</v>
      </c>
    </row>
    <row r="17">
      <c r="B17" s="6">
        <f>(1-D17)</f>
        <v>1.05</v>
      </c>
      <c r="C17" s="7">
        <f>(1+D17)</f>
        <v>0.95</v>
      </c>
      <c r="D17" s="12">
        <v>-0.05</v>
      </c>
      <c r="E17" s="9" t="s">
        <v>12</v>
      </c>
      <c r="F17" s="9" t="s">
        <v>21</v>
      </c>
      <c r="G17" s="9">
        <v>0.0</v>
      </c>
      <c r="BB17" s="10">
        <v>-0.8</v>
      </c>
    </row>
    <row r="18">
      <c r="B18" s="5" t="s">
        <v>22</v>
      </c>
    </row>
    <row r="19">
      <c r="B19" s="6">
        <f>(1-D19)/2</f>
        <v>0</v>
      </c>
      <c r="C19" s="11"/>
      <c r="D19" s="12">
        <v>1.0</v>
      </c>
      <c r="E19" s="9" t="s">
        <v>12</v>
      </c>
      <c r="F19" s="9" t="s">
        <v>23</v>
      </c>
      <c r="G19" s="9">
        <v>-1.0</v>
      </c>
      <c r="BB19" s="10">
        <v>-0.93</v>
      </c>
    </row>
    <row r="20">
      <c r="B20" s="5" t="s">
        <v>24</v>
      </c>
    </row>
    <row r="21">
      <c r="B21" s="6">
        <f>(1-D21)/2</f>
        <v>0</v>
      </c>
      <c r="C21" s="11"/>
      <c r="D21" s="12">
        <v>1.0</v>
      </c>
      <c r="E21" s="9" t="s">
        <v>25</v>
      </c>
      <c r="F21" s="9" t="s">
        <v>26</v>
      </c>
      <c r="G21" s="9">
        <v>-1.0</v>
      </c>
      <c r="BB21" s="10">
        <v>-0.93</v>
      </c>
    </row>
    <row r="22">
      <c r="B22" s="5" t="s">
        <v>27</v>
      </c>
    </row>
    <row r="23">
      <c r="B23" s="6">
        <f>(1-D23)/2</f>
        <v>0</v>
      </c>
      <c r="C23" s="11"/>
      <c r="D23" s="12">
        <v>1.0</v>
      </c>
      <c r="E23" s="9" t="s">
        <v>25</v>
      </c>
      <c r="F23" s="9" t="s">
        <v>28</v>
      </c>
      <c r="G23" s="9">
        <v>-1.0</v>
      </c>
      <c r="BB23" s="10">
        <v>-0.9</v>
      </c>
    </row>
    <row r="24">
      <c r="B24" s="5" t="s">
        <v>29</v>
      </c>
    </row>
    <row r="25">
      <c r="B25" s="6">
        <f>(1-D25)</f>
        <v>0.5</v>
      </c>
      <c r="C25" s="7">
        <f>(1+D25)</f>
        <v>1.5</v>
      </c>
      <c r="D25" s="12">
        <v>0.5</v>
      </c>
      <c r="E25" s="9" t="s">
        <v>12</v>
      </c>
      <c r="F25" s="9" t="s">
        <v>30</v>
      </c>
      <c r="G25" s="9">
        <v>0.0</v>
      </c>
      <c r="BB25" s="10">
        <v>-0.9</v>
      </c>
    </row>
    <row r="27">
      <c r="BB27" s="10">
        <v>0.84</v>
      </c>
    </row>
  </sheetData>
  <mergeCells count="12">
    <mergeCell ref="B16:D16"/>
    <mergeCell ref="B18:D18"/>
    <mergeCell ref="B20:D20"/>
    <mergeCell ref="B22:D22"/>
    <mergeCell ref="B24:D24"/>
    <mergeCell ref="B1:E1"/>
    <mergeCell ref="B4:D4"/>
    <mergeCell ref="B6:D6"/>
    <mergeCell ref="B8:D8"/>
    <mergeCell ref="B10:D10"/>
    <mergeCell ref="B12:D12"/>
    <mergeCell ref="B14:D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9.88"/>
    <col customWidth="1" min="49" max="49" width="15.13"/>
    <col customWidth="1" min="50" max="50" width="22.63"/>
  </cols>
  <sheetData>
    <row r="1" ht="71.25" customHeight="1">
      <c r="B1" s="13" t="s">
        <v>31</v>
      </c>
      <c r="AS1" s="14" t="s">
        <v>32</v>
      </c>
      <c r="AT1" s="14" t="s">
        <v>33</v>
      </c>
      <c r="AU1" s="14" t="s">
        <v>34</v>
      </c>
      <c r="AV1" s="14" t="s">
        <v>35</v>
      </c>
      <c r="AW1" s="14" t="s">
        <v>36</v>
      </c>
      <c r="AZ1" s="1" t="s">
        <v>37</v>
      </c>
    </row>
    <row r="2">
      <c r="B2" s="15" t="s">
        <v>38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7" t="s">
        <v>39</v>
      </c>
      <c r="AF2" s="18"/>
      <c r="AG2" s="18"/>
      <c r="AH2" s="18"/>
      <c r="AI2" s="18"/>
      <c r="AJ2" s="18"/>
      <c r="AK2" s="19"/>
      <c r="AL2" s="17" t="s">
        <v>40</v>
      </c>
      <c r="AM2" s="18"/>
      <c r="AN2" s="18"/>
      <c r="AO2" s="18"/>
      <c r="AP2" s="18"/>
      <c r="AQ2" s="18"/>
      <c r="AR2" s="19"/>
      <c r="AS2" s="20" t="s">
        <v>41</v>
      </c>
      <c r="AT2" s="18"/>
      <c r="AU2" s="20" t="s">
        <v>42</v>
      </c>
      <c r="AV2" s="19"/>
      <c r="AW2" s="21" t="s">
        <v>43</v>
      </c>
      <c r="BF2" s="22"/>
      <c r="BR2" s="23"/>
      <c r="BS2" s="23"/>
      <c r="BT2" s="23"/>
    </row>
    <row r="3">
      <c r="A3" s="24"/>
      <c r="B3" s="25" t="s">
        <v>44</v>
      </c>
      <c r="C3" s="17" t="s">
        <v>39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9"/>
      <c r="Q3" s="17" t="s">
        <v>40</v>
      </c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/>
      <c r="AE3" s="25" t="s">
        <v>45</v>
      </c>
      <c r="AF3" s="25" t="s">
        <v>46</v>
      </c>
      <c r="AG3" s="25" t="s">
        <v>47</v>
      </c>
      <c r="AH3" s="25" t="s">
        <v>48</v>
      </c>
      <c r="AI3" s="25" t="s">
        <v>49</v>
      </c>
      <c r="AJ3" s="25" t="s">
        <v>50</v>
      </c>
      <c r="AK3" s="25" t="s">
        <v>51</v>
      </c>
      <c r="AL3" s="26" t="s">
        <v>45</v>
      </c>
      <c r="AM3" s="26" t="s">
        <v>46</v>
      </c>
      <c r="AN3" s="26" t="s">
        <v>47</v>
      </c>
      <c r="AO3" s="26" t="s">
        <v>48</v>
      </c>
      <c r="AP3" s="26" t="s">
        <v>49</v>
      </c>
      <c r="AQ3" s="26" t="s">
        <v>50</v>
      </c>
      <c r="AR3" s="26" t="s">
        <v>51</v>
      </c>
      <c r="AS3" s="27" t="s">
        <v>52</v>
      </c>
      <c r="AT3" s="27" t="s">
        <v>53</v>
      </c>
      <c r="AU3" s="27" t="s">
        <v>54</v>
      </c>
      <c r="AV3" s="27" t="s">
        <v>55</v>
      </c>
      <c r="AW3" s="28" t="s">
        <v>56</v>
      </c>
      <c r="AX3" s="25" t="s">
        <v>57</v>
      </c>
      <c r="AZ3" s="2" t="s">
        <v>1</v>
      </c>
      <c r="BA3" s="2"/>
      <c r="BB3" s="3" t="s">
        <v>2</v>
      </c>
      <c r="BC3" s="4" t="s">
        <v>3</v>
      </c>
      <c r="BD3" s="4" t="s">
        <v>4</v>
      </c>
      <c r="BE3" s="4" t="s">
        <v>5</v>
      </c>
      <c r="BF3" s="29"/>
      <c r="BR3" s="22"/>
      <c r="BS3" s="22"/>
      <c r="BT3" s="22"/>
    </row>
    <row r="4">
      <c r="A4" s="25" t="s">
        <v>44</v>
      </c>
      <c r="B4" s="25" t="s">
        <v>57</v>
      </c>
      <c r="C4" s="30" t="s">
        <v>58</v>
      </c>
      <c r="D4" s="30" t="s">
        <v>59</v>
      </c>
      <c r="E4" s="31" t="s">
        <v>60</v>
      </c>
      <c r="F4" s="31" t="s">
        <v>61</v>
      </c>
      <c r="G4" s="32" t="s">
        <v>62</v>
      </c>
      <c r="H4" s="26" t="s">
        <v>63</v>
      </c>
      <c r="I4" s="26" t="s">
        <v>64</v>
      </c>
      <c r="J4" s="26" t="s">
        <v>65</v>
      </c>
      <c r="K4" s="26" t="s">
        <v>66</v>
      </c>
      <c r="L4" s="32" t="s">
        <v>67</v>
      </c>
      <c r="M4" s="32" t="s">
        <v>68</v>
      </c>
      <c r="N4" s="26" t="s">
        <v>69</v>
      </c>
      <c r="O4" s="26" t="s">
        <v>70</v>
      </c>
      <c r="P4" s="32" t="s">
        <v>71</v>
      </c>
      <c r="Q4" s="30" t="s">
        <v>58</v>
      </c>
      <c r="R4" s="30" t="s">
        <v>59</v>
      </c>
      <c r="S4" s="31" t="s">
        <v>60</v>
      </c>
      <c r="T4" s="31" t="s">
        <v>61</v>
      </c>
      <c r="U4" s="32" t="s">
        <v>62</v>
      </c>
      <c r="V4" s="26" t="s">
        <v>63</v>
      </c>
      <c r="W4" s="26" t="s">
        <v>64</v>
      </c>
      <c r="X4" s="26" t="s">
        <v>65</v>
      </c>
      <c r="Y4" s="26" t="s">
        <v>66</v>
      </c>
      <c r="Z4" s="32" t="s">
        <v>67</v>
      </c>
      <c r="AA4" s="32" t="s">
        <v>68</v>
      </c>
      <c r="AB4" s="26" t="s">
        <v>69</v>
      </c>
      <c r="AC4" s="26" t="s">
        <v>70</v>
      </c>
      <c r="AD4" s="32" t="s">
        <v>71</v>
      </c>
      <c r="AE4" s="33">
        <v>462.26954373294</v>
      </c>
      <c r="AF4" s="34">
        <v>7.31443873378E-4</v>
      </c>
      <c r="AG4" s="34">
        <v>0.0452800470749373</v>
      </c>
      <c r="AH4" s="35">
        <v>31.99376784449027</v>
      </c>
      <c r="AI4" s="36">
        <v>7.419107842632901</v>
      </c>
      <c r="AJ4" s="37">
        <v>2.41139494014469</v>
      </c>
      <c r="AK4" s="34">
        <v>0.0</v>
      </c>
      <c r="AL4" s="38">
        <v>636.9865086661871</v>
      </c>
      <c r="AM4" s="39">
        <v>0.02299175326345493</v>
      </c>
      <c r="AN4" s="40">
        <v>3.654546038884813</v>
      </c>
      <c r="AO4" s="39">
        <v>0.7648449913303524</v>
      </c>
      <c r="AP4" s="41">
        <v>177.9850180194541</v>
      </c>
      <c r="AQ4" s="39">
        <v>0.04771269979099789</v>
      </c>
      <c r="AR4" s="42">
        <v>0.0</v>
      </c>
      <c r="AS4" s="43">
        <v>504.1398258511562</v>
      </c>
      <c r="AU4" s="44">
        <v>819.4616221689108</v>
      </c>
      <c r="AW4" s="45">
        <v>1323.601448020067</v>
      </c>
      <c r="AX4" s="46" t="s">
        <v>58</v>
      </c>
      <c r="AZ4" s="5" t="s">
        <v>6</v>
      </c>
      <c r="BF4" s="47"/>
      <c r="BR4" s="34"/>
      <c r="BS4" s="34"/>
      <c r="BT4" s="34"/>
    </row>
    <row r="5">
      <c r="A5" s="26" t="s">
        <v>39</v>
      </c>
      <c r="B5" s="48" t="s">
        <v>58</v>
      </c>
      <c r="C5" s="49">
        <v>0.0569075839</v>
      </c>
      <c r="D5" s="50">
        <v>0.11536348</v>
      </c>
      <c r="E5" s="50">
        <v>0.07601809045</v>
      </c>
      <c r="F5" s="50">
        <v>5.89112668E-6</v>
      </c>
      <c r="G5" s="50">
        <v>0.003403666362</v>
      </c>
      <c r="H5" s="50">
        <v>1.261407713E-6</v>
      </c>
      <c r="I5" s="50">
        <v>1.597356529E-5</v>
      </c>
      <c r="J5" s="50">
        <v>2.336400361E-4</v>
      </c>
      <c r="K5" s="50">
        <v>5.055879104E-5</v>
      </c>
      <c r="L5" s="50">
        <v>1.668841904E-4</v>
      </c>
      <c r="M5" s="50">
        <v>1.128275771E-4</v>
      </c>
      <c r="N5" s="50">
        <v>1.188093559E-6</v>
      </c>
      <c r="O5" s="50">
        <v>7.400836702E-6</v>
      </c>
      <c r="P5" s="51">
        <v>0.002558972397</v>
      </c>
      <c r="Q5" s="49">
        <v>1.127646458E-5</v>
      </c>
      <c r="R5" s="50">
        <v>6.282956252E-5</v>
      </c>
      <c r="S5" s="50">
        <v>9.966039384E-5</v>
      </c>
      <c r="T5" s="50">
        <v>2.034563788E-6</v>
      </c>
      <c r="U5" s="50">
        <v>1.541638405E-4</v>
      </c>
      <c r="V5" s="50">
        <v>4.513101785E-6</v>
      </c>
      <c r="W5" s="50">
        <v>3.979193557E-6</v>
      </c>
      <c r="X5" s="50">
        <v>3.262491472E-6</v>
      </c>
      <c r="Y5" s="50">
        <v>5.563816669E-6</v>
      </c>
      <c r="Z5" s="50">
        <v>2.45672302E-6</v>
      </c>
      <c r="AA5" s="50">
        <v>3.52497636E-6</v>
      </c>
      <c r="AB5" s="50">
        <v>4.385627006E-6</v>
      </c>
      <c r="AC5" s="50">
        <v>1.836342816E-7</v>
      </c>
      <c r="AD5" s="51">
        <v>1.525625862E-5</v>
      </c>
      <c r="AE5" s="52">
        <v>921.34975180174</v>
      </c>
      <c r="AF5" s="34">
        <v>0.02214475944812184</v>
      </c>
      <c r="AG5" s="37">
        <v>2.81175743743965</v>
      </c>
      <c r="AH5" s="53">
        <v>10.0939566990579</v>
      </c>
      <c r="AI5" s="54">
        <v>3.34959379620186</v>
      </c>
      <c r="AJ5" s="34">
        <v>1.01871152681364</v>
      </c>
      <c r="AK5" s="34">
        <v>0.0</v>
      </c>
      <c r="AL5" s="55">
        <v>2553.031774156392</v>
      </c>
      <c r="AM5" s="34">
        <v>0.4028888463207095</v>
      </c>
      <c r="AN5" s="34">
        <v>2.032167501864795</v>
      </c>
      <c r="AO5" s="34">
        <v>1.83930763742036</v>
      </c>
      <c r="AP5" s="56">
        <v>19.88039017845599</v>
      </c>
      <c r="AQ5" s="34">
        <v>0.6193169968270493</v>
      </c>
      <c r="AR5" s="57">
        <v>0.0</v>
      </c>
      <c r="AS5" s="58">
        <v>938.6459160207011</v>
      </c>
      <c r="AU5" s="59">
        <v>2577.805845317281</v>
      </c>
      <c r="AW5" s="60">
        <v>3516.451761337982</v>
      </c>
      <c r="AX5" s="46" t="s">
        <v>59</v>
      </c>
      <c r="AZ5" s="6">
        <f>(1-BB5)</f>
        <v>1.05</v>
      </c>
      <c r="BA5" s="7">
        <f>(1+BB5)</f>
        <v>0.95</v>
      </c>
      <c r="BB5" s="8">
        <v>-0.05</v>
      </c>
      <c r="BC5" s="9" t="s">
        <v>7</v>
      </c>
      <c r="BD5" s="9" t="s">
        <v>8</v>
      </c>
      <c r="BE5" s="9">
        <v>0.0</v>
      </c>
      <c r="BF5" s="47"/>
      <c r="BR5" s="34"/>
      <c r="BS5" s="34"/>
      <c r="BT5" s="34"/>
    </row>
    <row r="6">
      <c r="A6" s="61"/>
      <c r="B6" s="48" t="s">
        <v>59</v>
      </c>
      <c r="C6" s="62">
        <v>5.223176539E-5</v>
      </c>
      <c r="D6" s="63">
        <v>0.004911812468</v>
      </c>
      <c r="E6" s="63">
        <v>0.02491194625</v>
      </c>
      <c r="F6" s="63">
        <v>5.003274363E-4</v>
      </c>
      <c r="G6" s="63">
        <v>0.008664165361</v>
      </c>
      <c r="H6" s="63">
        <v>5.641716561E-4</v>
      </c>
      <c r="I6" s="63">
        <v>3.087240177E-5</v>
      </c>
      <c r="J6" s="63">
        <v>1.358998201E-4</v>
      </c>
      <c r="K6" s="63">
        <v>4.750040376E-5</v>
      </c>
      <c r="L6" s="63">
        <v>2.709961546E-4</v>
      </c>
      <c r="M6" s="63">
        <v>3.065772712E-4</v>
      </c>
      <c r="N6" s="63">
        <v>5.594184782E-4</v>
      </c>
      <c r="O6" s="63">
        <v>3.983814171E-5</v>
      </c>
      <c r="P6" s="64">
        <v>0.009438475164</v>
      </c>
      <c r="Q6" s="62">
        <v>1.37104786E-6</v>
      </c>
      <c r="R6" s="63">
        <v>6.69110028E-5</v>
      </c>
      <c r="S6" s="63">
        <v>3.901176072E-5</v>
      </c>
      <c r="T6" s="63">
        <v>1.335952127E-5</v>
      </c>
      <c r="U6" s="63">
        <v>8.273621305E-5</v>
      </c>
      <c r="V6" s="63">
        <v>1.862256568E-6</v>
      </c>
      <c r="W6" s="63">
        <v>5.912409252E-6</v>
      </c>
      <c r="X6" s="63">
        <v>2.396656712E-6</v>
      </c>
      <c r="Y6" s="63">
        <v>1.237422965E-5</v>
      </c>
      <c r="Z6" s="63">
        <v>5.474405504E-6</v>
      </c>
      <c r="AA6" s="63">
        <v>3.663766753E-6</v>
      </c>
      <c r="AB6" s="63">
        <v>1.598960588E-5</v>
      </c>
      <c r="AC6" s="63">
        <v>1.501934363E-6</v>
      </c>
      <c r="AD6" s="64">
        <v>1.078260925E-4</v>
      </c>
      <c r="AE6" s="65">
        <v>695.64016024556</v>
      </c>
      <c r="AF6" s="34">
        <v>0.0956286900434</v>
      </c>
      <c r="AG6" s="66">
        <v>30.24559591718313</v>
      </c>
      <c r="AH6" s="67">
        <v>1221.937853143195</v>
      </c>
      <c r="AI6" s="68">
        <v>9.095737590372465</v>
      </c>
      <c r="AJ6" s="69">
        <v>2.148371080436415</v>
      </c>
      <c r="AK6" s="34">
        <v>0.0</v>
      </c>
      <c r="AL6" s="70">
        <v>197.8533029881214</v>
      </c>
      <c r="AM6" s="71">
        <v>3.69487030151954</v>
      </c>
      <c r="AN6" s="72">
        <v>3.238761790470058</v>
      </c>
      <c r="AO6" s="73">
        <v>55.72758786367015</v>
      </c>
      <c r="AP6" s="74">
        <v>47.22766151478891</v>
      </c>
      <c r="AQ6" s="75">
        <v>6.857331209931306</v>
      </c>
      <c r="AR6" s="57">
        <v>0.0</v>
      </c>
      <c r="AS6" s="76">
        <v>1959.1633466667904</v>
      </c>
      <c r="AU6" s="77">
        <v>314.59951566850134</v>
      </c>
      <c r="AW6" s="78">
        <v>2273.7628623352916</v>
      </c>
      <c r="AX6" s="79" t="s">
        <v>60</v>
      </c>
      <c r="AZ6" s="5" t="s">
        <v>9</v>
      </c>
      <c r="BF6" s="47"/>
      <c r="BR6" s="34"/>
      <c r="BS6" s="34"/>
      <c r="BT6" s="34"/>
    </row>
    <row r="7">
      <c r="A7" s="61"/>
      <c r="B7" s="80" t="s">
        <v>60</v>
      </c>
      <c r="C7" s="62">
        <v>4.181688883E-5</v>
      </c>
      <c r="D7" s="63">
        <v>2.546634897E-4</v>
      </c>
      <c r="E7" s="63">
        <v>0.002716279858</v>
      </c>
      <c r="F7" s="63">
        <v>0.106916595</v>
      </c>
      <c r="G7" s="63">
        <v>0.01409774168</v>
      </c>
      <c r="H7" s="63">
        <v>8.151404029E-5</v>
      </c>
      <c r="I7" s="63">
        <v>3.631722376E-5</v>
      </c>
      <c r="J7" s="63">
        <v>1.257376993E-4</v>
      </c>
      <c r="K7" s="63">
        <v>0.008573226512</v>
      </c>
      <c r="L7" s="63">
        <v>0.002684155406</v>
      </c>
      <c r="M7" s="63">
        <v>1.10677935E-4</v>
      </c>
      <c r="N7" s="63">
        <v>8.162872267E-5</v>
      </c>
      <c r="O7" s="63">
        <v>1.417421048E-4</v>
      </c>
      <c r="P7" s="64">
        <v>0.00187816532</v>
      </c>
      <c r="Q7" s="62">
        <v>1.394611702E-7</v>
      </c>
      <c r="R7" s="63">
        <v>2.723029005E-6</v>
      </c>
      <c r="S7" s="63">
        <v>5.645477762E-6</v>
      </c>
      <c r="T7" s="63">
        <v>3.55158498E-5</v>
      </c>
      <c r="U7" s="63">
        <v>9.261811621E-6</v>
      </c>
      <c r="V7" s="63">
        <v>5.671737923E-6</v>
      </c>
      <c r="W7" s="63">
        <v>4.225472813E-7</v>
      </c>
      <c r="X7" s="63">
        <v>2.287147642E-6</v>
      </c>
      <c r="Y7" s="63">
        <v>1.158188717E-5</v>
      </c>
      <c r="Z7" s="63">
        <v>2.302906357E-6</v>
      </c>
      <c r="AA7" s="63">
        <v>9.78057291E-7</v>
      </c>
      <c r="AB7" s="63">
        <v>9.361467751E-6</v>
      </c>
      <c r="AC7" s="63">
        <v>1.832615669E-7</v>
      </c>
      <c r="AD7" s="64">
        <v>2.953003616E-6</v>
      </c>
      <c r="AE7" s="81">
        <v>1506.4836687129</v>
      </c>
      <c r="AF7" s="34">
        <v>0.0232505127898673</v>
      </c>
      <c r="AG7" s="82">
        <v>24.6691922082074</v>
      </c>
      <c r="AH7" s="83">
        <v>61.64258728446999</v>
      </c>
      <c r="AI7" s="68">
        <v>9.486454263385301</v>
      </c>
      <c r="AJ7" s="37">
        <v>2.4528548572334</v>
      </c>
      <c r="AK7" s="34">
        <v>0.0</v>
      </c>
      <c r="AL7" s="84">
        <v>2648.915880994884</v>
      </c>
      <c r="AM7" s="71">
        <v>3.600550526843314</v>
      </c>
      <c r="AN7" s="85">
        <v>5.14507242233153</v>
      </c>
      <c r="AO7" s="75">
        <v>6.807631528143199</v>
      </c>
      <c r="AP7" s="34">
        <v>-184.6499897914667</v>
      </c>
      <c r="AQ7" s="75">
        <v>6.867294105025226</v>
      </c>
      <c r="AR7" s="57">
        <v>0.0</v>
      </c>
      <c r="AS7" s="86">
        <v>1604.758007838986</v>
      </c>
      <c r="AU7" s="87">
        <v>2486.6864397857603</v>
      </c>
      <c r="AW7" s="78">
        <v>4091.4444476247463</v>
      </c>
      <c r="AX7" s="79" t="s">
        <v>61</v>
      </c>
      <c r="AZ7" s="6">
        <f>(1+BB7)</f>
        <v>0.89</v>
      </c>
      <c r="BA7" s="11"/>
      <c r="BB7" s="12">
        <v>-0.11</v>
      </c>
      <c r="BC7" s="9" t="s">
        <v>7</v>
      </c>
      <c r="BD7" s="9" t="s">
        <v>72</v>
      </c>
      <c r="BE7" s="9">
        <v>0.0</v>
      </c>
      <c r="BF7" s="47"/>
      <c r="BR7" s="34"/>
      <c r="BS7" s="34"/>
      <c r="BT7" s="34"/>
    </row>
    <row r="8">
      <c r="A8" s="61"/>
      <c r="B8" s="80" t="s">
        <v>61</v>
      </c>
      <c r="C8" s="62">
        <v>6.984953446E-4</v>
      </c>
      <c r="D8" s="63">
        <v>9.291311917E-4</v>
      </c>
      <c r="E8" s="63">
        <v>0.01233393802</v>
      </c>
      <c r="F8" s="63">
        <v>0.05411078753</v>
      </c>
      <c r="G8" s="63">
        <v>0.008123711591</v>
      </c>
      <c r="H8" s="63">
        <v>4.521009923E-4</v>
      </c>
      <c r="I8" s="63">
        <v>2.526531666E-4</v>
      </c>
      <c r="J8" s="63">
        <v>5.344544921E-4</v>
      </c>
      <c r="K8" s="63">
        <v>7.855598074E-4</v>
      </c>
      <c r="L8" s="63">
        <v>7.678407695E-4</v>
      </c>
      <c r="M8" s="63">
        <v>0.001455620296</v>
      </c>
      <c r="N8" s="63">
        <v>4.562758519E-4</v>
      </c>
      <c r="O8" s="63">
        <v>3.735711325E-4</v>
      </c>
      <c r="P8" s="64">
        <v>0.01501988697</v>
      </c>
      <c r="Q8" s="62">
        <v>5.803955161E-6</v>
      </c>
      <c r="R8" s="63">
        <v>7.629205055E-6</v>
      </c>
      <c r="S8" s="63">
        <v>2.125835934E-5</v>
      </c>
      <c r="T8" s="63">
        <v>2.586537831E-4</v>
      </c>
      <c r="U8" s="63">
        <v>9.950778522E-5</v>
      </c>
      <c r="V8" s="63">
        <v>8.76647524E-6</v>
      </c>
      <c r="W8" s="63">
        <v>6.877960069E-6</v>
      </c>
      <c r="X8" s="63">
        <v>5.286827472E-6</v>
      </c>
      <c r="Y8" s="63">
        <v>6.33711578E-6</v>
      </c>
      <c r="Z8" s="63">
        <v>6.245021383E-6</v>
      </c>
      <c r="AA8" s="63">
        <v>5.475878807E-6</v>
      </c>
      <c r="AB8" s="63">
        <v>7.114442719E-6</v>
      </c>
      <c r="AC8" s="63">
        <v>2.292921331E-6</v>
      </c>
      <c r="AD8" s="64">
        <v>7.565496139E-5</v>
      </c>
      <c r="AE8" s="88">
        <v>6136.36344807</v>
      </c>
      <c r="AF8" s="34">
        <v>0.0216546924313</v>
      </c>
      <c r="AG8" s="36">
        <v>8.15614796412</v>
      </c>
      <c r="AH8" s="89">
        <v>41.1239691604</v>
      </c>
      <c r="AI8" s="90">
        <v>15.6341645197</v>
      </c>
      <c r="AJ8" s="91">
        <v>5.13364392191</v>
      </c>
      <c r="AK8" s="34">
        <v>0.0</v>
      </c>
      <c r="AL8" s="92">
        <v>7105.207309014662</v>
      </c>
      <c r="AM8" s="34">
        <v>1.28565190580754</v>
      </c>
      <c r="AN8" s="93">
        <v>13.71362916809966</v>
      </c>
      <c r="AO8" s="75">
        <v>6.895955759551252</v>
      </c>
      <c r="AP8" s="34">
        <v>-32.52702527126959</v>
      </c>
      <c r="AQ8" s="34">
        <v>1.324783744272544</v>
      </c>
      <c r="AR8" s="57">
        <v>0.0</v>
      </c>
      <c r="AS8" s="94">
        <v>6206.433028328561</v>
      </c>
      <c r="AU8" s="95">
        <v>7095.900304321123</v>
      </c>
      <c r="AW8" s="78">
        <v>13302.333332649683</v>
      </c>
      <c r="AX8" s="96" t="s">
        <v>62</v>
      </c>
      <c r="AZ8" s="5" t="s">
        <v>11</v>
      </c>
      <c r="BF8" s="47"/>
      <c r="BR8" s="34"/>
      <c r="BS8" s="34"/>
      <c r="BT8" s="34"/>
    </row>
    <row r="9">
      <c r="A9" s="61"/>
      <c r="B9" s="97" t="s">
        <v>62</v>
      </c>
      <c r="C9" s="62">
        <v>1.217449221E-4</v>
      </c>
      <c r="D9" s="63">
        <v>0.009604948661</v>
      </c>
      <c r="E9" s="63">
        <v>0.07893907873</v>
      </c>
      <c r="F9" s="63">
        <v>0.005549330603</v>
      </c>
      <c r="G9" s="63">
        <v>0.06424997387</v>
      </c>
      <c r="H9" s="63">
        <v>2.313717055E-4</v>
      </c>
      <c r="I9" s="63">
        <v>8.441044218E-5</v>
      </c>
      <c r="J9" s="63">
        <v>4.544118767E-4</v>
      </c>
      <c r="K9" s="63">
        <v>9.521899385E-5</v>
      </c>
      <c r="L9" s="63">
        <v>4.96115035E-4</v>
      </c>
      <c r="M9" s="63">
        <v>9.3092023E-4</v>
      </c>
      <c r="N9" s="63">
        <v>2.334356856E-4</v>
      </c>
      <c r="O9" s="63">
        <v>1.08379026E-4</v>
      </c>
      <c r="P9" s="64">
        <v>0.02450160066</v>
      </c>
      <c r="Q9" s="62">
        <v>2.900889899E-6</v>
      </c>
      <c r="R9" s="63">
        <v>1.352227961E-4</v>
      </c>
      <c r="S9" s="63">
        <v>1.238110225E-4</v>
      </c>
      <c r="T9" s="63">
        <v>9.362261222E-5</v>
      </c>
      <c r="U9" s="63">
        <v>3.833785024E-4</v>
      </c>
      <c r="V9" s="63">
        <v>5.053172637E-6</v>
      </c>
      <c r="W9" s="63">
        <v>8.073980648E-6</v>
      </c>
      <c r="X9" s="63">
        <v>9.34937878E-6</v>
      </c>
      <c r="Y9" s="63">
        <v>2.174412291E-5</v>
      </c>
      <c r="Z9" s="63">
        <v>8.563267468E-6</v>
      </c>
      <c r="AA9" s="63">
        <v>8.669540364E-6</v>
      </c>
      <c r="AB9" s="63">
        <v>1.397888984E-5</v>
      </c>
      <c r="AC9" s="63">
        <v>2.081904599E-6</v>
      </c>
      <c r="AD9" s="64">
        <v>1.343223171E-4</v>
      </c>
      <c r="AE9" s="98">
        <v>42.19037332436501</v>
      </c>
      <c r="AF9" s="34">
        <v>0.03373553244254699</v>
      </c>
      <c r="AG9" s="99">
        <v>5.5730160790782</v>
      </c>
      <c r="AH9" s="100">
        <v>11.550764466616</v>
      </c>
      <c r="AI9" s="69">
        <v>2.1513444972243</v>
      </c>
      <c r="AJ9" s="34">
        <v>0.33941870821963</v>
      </c>
      <c r="AK9" s="34">
        <v>0.0</v>
      </c>
      <c r="AL9" s="101">
        <v>5.161341639574866</v>
      </c>
      <c r="AM9" s="34">
        <v>0.09043336286702382</v>
      </c>
      <c r="AN9" s="34">
        <v>0.9185608210831885</v>
      </c>
      <c r="AO9" s="34">
        <v>1.538076414532215</v>
      </c>
      <c r="AP9" s="34">
        <v>0.4359034961482118</v>
      </c>
      <c r="AQ9" s="34">
        <v>0.1943411404489888</v>
      </c>
      <c r="AR9" s="57">
        <v>0.0</v>
      </c>
      <c r="AS9" s="102">
        <v>61.8386526079457</v>
      </c>
      <c r="AU9" s="103">
        <v>8.338656874654493</v>
      </c>
      <c r="AW9" s="78">
        <v>70.1773094826002</v>
      </c>
      <c r="AX9" s="96" t="s">
        <v>63</v>
      </c>
      <c r="AZ9" s="6">
        <f>(1-BB9)</f>
        <v>0.04</v>
      </c>
      <c r="BA9" s="7">
        <f>(1+BB9)</f>
        <v>1.96</v>
      </c>
      <c r="BB9" s="12">
        <v>0.96</v>
      </c>
      <c r="BC9" s="9" t="s">
        <v>12</v>
      </c>
      <c r="BD9" s="9" t="s">
        <v>13</v>
      </c>
      <c r="BE9" s="9">
        <v>0.0</v>
      </c>
      <c r="BF9" s="47"/>
      <c r="BR9" s="34"/>
      <c r="BS9" s="34"/>
      <c r="BT9" s="34"/>
    </row>
    <row r="10">
      <c r="A10" s="61"/>
      <c r="B10" s="17" t="s">
        <v>63</v>
      </c>
      <c r="C10" s="62">
        <v>0.008284143753</v>
      </c>
      <c r="D10" s="63">
        <v>5.318991936E-4</v>
      </c>
      <c r="E10" s="63">
        <v>3.493500584E-4</v>
      </c>
      <c r="F10" s="63">
        <v>0.001463534456</v>
      </c>
      <c r="G10" s="63">
        <v>2.707628894E-4</v>
      </c>
      <c r="H10" s="63">
        <v>0.1168124006</v>
      </c>
      <c r="I10" s="63">
        <v>4.784396923E-4</v>
      </c>
      <c r="J10" s="63">
        <v>0.001088890017</v>
      </c>
      <c r="K10" s="63">
        <v>5.432974908E-4</v>
      </c>
      <c r="L10" s="63">
        <v>0.001275448994</v>
      </c>
      <c r="M10" s="63">
        <v>0.003178641506</v>
      </c>
      <c r="N10" s="63">
        <v>0.1176442688</v>
      </c>
      <c r="O10" s="63">
        <v>9.629858831E-4</v>
      </c>
      <c r="P10" s="64">
        <v>7.404438202E-4</v>
      </c>
      <c r="Q10" s="62">
        <v>3.979556871E-7</v>
      </c>
      <c r="R10" s="63">
        <v>7.069906092E-7</v>
      </c>
      <c r="S10" s="63">
        <v>1.202087092E-6</v>
      </c>
      <c r="T10" s="63">
        <v>1.725973993E-6</v>
      </c>
      <c r="U10" s="63">
        <v>3.409264829E-7</v>
      </c>
      <c r="V10" s="63">
        <v>9.502297926E-6</v>
      </c>
      <c r="W10" s="63">
        <v>2.610553992E-7</v>
      </c>
      <c r="X10" s="63">
        <v>5.58685746E-7</v>
      </c>
      <c r="Y10" s="63">
        <v>4.733111172E-7</v>
      </c>
      <c r="Z10" s="63">
        <v>4.068935369E-7</v>
      </c>
      <c r="AA10" s="63">
        <v>2.110993509E-7</v>
      </c>
      <c r="AB10" s="63">
        <v>1.272012088E-5</v>
      </c>
      <c r="AC10" s="63">
        <v>8.312442376E-7</v>
      </c>
      <c r="AD10" s="64">
        <v>2.051007055E-7</v>
      </c>
      <c r="AE10" s="65">
        <v>725.0977191039</v>
      </c>
      <c r="AF10" s="34">
        <v>0.01935723415516077</v>
      </c>
      <c r="AG10" s="104">
        <v>23.7000022314734</v>
      </c>
      <c r="AH10" s="105">
        <v>134.986216157357</v>
      </c>
      <c r="AI10" s="106">
        <v>57.33814368928226</v>
      </c>
      <c r="AJ10" s="34">
        <v>-5.538835757762952</v>
      </c>
      <c r="AK10" s="34">
        <v>0.0</v>
      </c>
      <c r="AL10" s="107">
        <v>466.4587744112534</v>
      </c>
      <c r="AM10" s="34">
        <v>0.252955580578664</v>
      </c>
      <c r="AN10" s="71">
        <v>3.963291283760074</v>
      </c>
      <c r="AO10" s="93">
        <v>12.78098708119538</v>
      </c>
      <c r="AP10" s="108">
        <v>170.4893940020283</v>
      </c>
      <c r="AQ10" s="34">
        <v>0.3079729900220162</v>
      </c>
      <c r="AR10" s="57">
        <v>0.0</v>
      </c>
      <c r="AS10" s="109">
        <v>935.6026026584047</v>
      </c>
      <c r="AU10" s="110">
        <v>654.2533753488378</v>
      </c>
      <c r="AW10" s="78">
        <v>1589.8559780072426</v>
      </c>
      <c r="AX10" s="111" t="s">
        <v>64</v>
      </c>
      <c r="AZ10" s="5" t="s">
        <v>14</v>
      </c>
      <c r="BF10" s="47"/>
      <c r="BR10" s="34"/>
      <c r="BS10" s="34"/>
      <c r="BT10" s="34"/>
    </row>
    <row r="11">
      <c r="A11" s="61"/>
      <c r="B11" s="17" t="s">
        <v>64</v>
      </c>
      <c r="C11" s="62">
        <v>0.01119028126</v>
      </c>
      <c r="D11" s="63">
        <v>0.00398957399</v>
      </c>
      <c r="E11" s="63">
        <v>0.004117118719</v>
      </c>
      <c r="F11" s="63">
        <v>0.002080568989</v>
      </c>
      <c r="G11" s="63">
        <v>7.304179932E-4</v>
      </c>
      <c r="H11" s="63">
        <v>0.00962998526</v>
      </c>
      <c r="I11" s="63">
        <v>0.1479838416</v>
      </c>
      <c r="J11" s="63">
        <v>0.00851525761</v>
      </c>
      <c r="K11" s="63">
        <v>0.03577682475</v>
      </c>
      <c r="L11" s="63">
        <v>0.003533482337</v>
      </c>
      <c r="M11" s="63">
        <v>0.00102889746</v>
      </c>
      <c r="N11" s="63">
        <v>0.009194256168</v>
      </c>
      <c r="O11" s="63">
        <v>0.001512689652</v>
      </c>
      <c r="P11" s="64">
        <v>0.005177985887</v>
      </c>
      <c r="Q11" s="62">
        <v>2.698646091E-5</v>
      </c>
      <c r="R11" s="63">
        <v>1.515704962E-5</v>
      </c>
      <c r="S11" s="63">
        <v>9.383902673E-6</v>
      </c>
      <c r="T11" s="63">
        <v>1.651818035E-5</v>
      </c>
      <c r="U11" s="63">
        <v>1.081581036E-5</v>
      </c>
      <c r="V11" s="63">
        <v>1.585999963E-5</v>
      </c>
      <c r="W11" s="63">
        <v>4.65460952E-6</v>
      </c>
      <c r="X11" s="63">
        <v>1.144233266E-5</v>
      </c>
      <c r="Y11" s="63">
        <v>9.702573279E-6</v>
      </c>
      <c r="Z11" s="63">
        <v>7.13019244E-6</v>
      </c>
      <c r="AA11" s="63">
        <v>1.506222733E-6</v>
      </c>
      <c r="AB11" s="63">
        <v>2.251525592E-5</v>
      </c>
      <c r="AC11" s="63">
        <v>1.186122907E-5</v>
      </c>
      <c r="AD11" s="64">
        <v>1.40155166E-5</v>
      </c>
      <c r="AE11" s="112">
        <v>10196.33384278691</v>
      </c>
      <c r="AF11" s="37">
        <v>2.531313186720358</v>
      </c>
      <c r="AG11" s="113">
        <v>3581.506438197316</v>
      </c>
      <c r="AH11" s="112">
        <v>52684.79886559145</v>
      </c>
      <c r="AI11" s="68">
        <v>9.434744561933229</v>
      </c>
      <c r="AJ11" s="34">
        <v>-57.52735506952202</v>
      </c>
      <c r="AK11" s="34">
        <v>0.0</v>
      </c>
      <c r="AL11" s="114">
        <v>10454.40057786092</v>
      </c>
      <c r="AM11" s="115">
        <v>31.12618350525615</v>
      </c>
      <c r="AN11" s="116">
        <v>480.4820566477221</v>
      </c>
      <c r="AO11" s="117">
        <v>11678.23702980427</v>
      </c>
      <c r="AP11" s="118">
        <v>1029.706633345001</v>
      </c>
      <c r="AQ11" s="72">
        <v>2.221681088482631</v>
      </c>
      <c r="AR11" s="57">
        <v>0.0</v>
      </c>
      <c r="AS11" s="119">
        <v>66417.0778492548</v>
      </c>
      <c r="AU11" s="120">
        <v>23676.174162251653</v>
      </c>
      <c r="AW11" s="78">
        <v>90093.25201150645</v>
      </c>
      <c r="AX11" s="111" t="s">
        <v>65</v>
      </c>
      <c r="AZ11" s="6">
        <f>(1-BB11)</f>
        <v>0.99</v>
      </c>
      <c r="BA11" s="7">
        <f>(1+BB11)</f>
        <v>1.01</v>
      </c>
      <c r="BB11" s="12">
        <v>0.01</v>
      </c>
      <c r="BC11" s="9" t="s">
        <v>12</v>
      </c>
      <c r="BD11" s="9" t="s">
        <v>15</v>
      </c>
      <c r="BE11" s="9">
        <v>0.0</v>
      </c>
      <c r="BF11" s="47"/>
      <c r="BR11" s="34"/>
      <c r="BS11" s="34"/>
      <c r="BT11" s="34"/>
    </row>
    <row r="12">
      <c r="A12" s="61"/>
      <c r="B12" s="17" t="s">
        <v>65</v>
      </c>
      <c r="C12" s="62">
        <v>0.1033839698</v>
      </c>
      <c r="D12" s="63">
        <v>0.07898955508</v>
      </c>
      <c r="E12" s="63">
        <v>0.07654402043</v>
      </c>
      <c r="F12" s="63">
        <v>0.05264155731</v>
      </c>
      <c r="G12" s="63">
        <v>0.01689777701</v>
      </c>
      <c r="H12" s="63">
        <v>0.06152725518</v>
      </c>
      <c r="I12" s="63">
        <v>0.06117672938</v>
      </c>
      <c r="J12" s="63">
        <v>0.2145681328</v>
      </c>
      <c r="K12" s="63">
        <v>0.01416511115</v>
      </c>
      <c r="L12" s="63">
        <v>0.05189795929</v>
      </c>
      <c r="M12" s="63">
        <v>0.07317529979</v>
      </c>
      <c r="N12" s="63">
        <v>0.055150236</v>
      </c>
      <c r="O12" s="63">
        <v>0.2347645061</v>
      </c>
      <c r="P12" s="64">
        <v>0.03986965314</v>
      </c>
      <c r="Q12" s="62">
        <v>1.444953256E-4</v>
      </c>
      <c r="R12" s="63">
        <v>3.943667703E-4</v>
      </c>
      <c r="S12" s="63">
        <v>1.60572855E-4</v>
      </c>
      <c r="T12" s="63">
        <v>2.760582184E-4</v>
      </c>
      <c r="U12" s="63">
        <v>1.780859859E-4</v>
      </c>
      <c r="V12" s="63">
        <v>3.28689134E-4</v>
      </c>
      <c r="W12" s="63">
        <v>1.187175615E-4</v>
      </c>
      <c r="X12" s="63">
        <v>9.988308393E-4</v>
      </c>
      <c r="Y12" s="63">
        <v>3.314528152E-4</v>
      </c>
      <c r="Z12" s="63">
        <v>1.576300669E-4</v>
      </c>
      <c r="AA12" s="63">
        <v>8.563723393E-5</v>
      </c>
      <c r="AB12" s="63">
        <v>4.364229789E-4</v>
      </c>
      <c r="AC12" s="63">
        <v>1.639265803E-4</v>
      </c>
      <c r="AD12" s="64">
        <v>6.354847507E-5</v>
      </c>
      <c r="AE12" s="121">
        <v>33.5846430597</v>
      </c>
      <c r="AF12" s="34">
        <v>0.170519011399129</v>
      </c>
      <c r="AG12" s="37">
        <v>2.642558084911</v>
      </c>
      <c r="AH12" s="122">
        <v>6.69469270437</v>
      </c>
      <c r="AI12" s="34">
        <v>0.1064959406373</v>
      </c>
      <c r="AJ12" s="34">
        <v>0.24803852691695</v>
      </c>
      <c r="AK12" s="34">
        <v>0.0</v>
      </c>
      <c r="AL12" s="123">
        <v>63.59035513477934</v>
      </c>
      <c r="AM12" s="34">
        <v>0.08048772490627329</v>
      </c>
      <c r="AN12" s="124">
        <v>10.0934520195862</v>
      </c>
      <c r="AO12" s="34">
        <v>0.4786148534877455</v>
      </c>
      <c r="AP12" s="34">
        <v>-2.625444082310151</v>
      </c>
      <c r="AQ12" s="34">
        <v>0.001951967978912954</v>
      </c>
      <c r="AR12" s="57">
        <v>0.0</v>
      </c>
      <c r="AS12" s="125">
        <v>43.44694732793438</v>
      </c>
      <c r="AU12" s="126">
        <v>71.6194176184283</v>
      </c>
      <c r="AW12" s="78">
        <v>115.06636494636268</v>
      </c>
      <c r="AX12" s="96" t="s">
        <v>66</v>
      </c>
      <c r="AZ12" s="5" t="s">
        <v>16</v>
      </c>
      <c r="BF12" s="47"/>
      <c r="BR12" s="34"/>
      <c r="BS12" s="34"/>
      <c r="BT12" s="34"/>
    </row>
    <row r="13">
      <c r="A13" s="61"/>
      <c r="B13" s="17" t="s">
        <v>66</v>
      </c>
      <c r="C13" s="62">
        <v>0.001095243022</v>
      </c>
      <c r="D13" s="63">
        <v>2.533643022E-5</v>
      </c>
      <c r="E13" s="63">
        <v>0.0109373251</v>
      </c>
      <c r="F13" s="63">
        <v>2.306210151E-5</v>
      </c>
      <c r="G13" s="63">
        <v>0.003544593375</v>
      </c>
      <c r="H13" s="63">
        <v>8.495480386E-4</v>
      </c>
      <c r="I13" s="63">
        <v>4.407525639E-5</v>
      </c>
      <c r="J13" s="63">
        <v>5.693668942E-5</v>
      </c>
      <c r="K13" s="63">
        <v>9.660188845E-6</v>
      </c>
      <c r="L13" s="63">
        <v>3.392850934E-5</v>
      </c>
      <c r="M13" s="63">
        <v>7.818999809E-5</v>
      </c>
      <c r="N13" s="63">
        <v>8.408567475E-4</v>
      </c>
      <c r="O13" s="63">
        <v>2.844300108E-5</v>
      </c>
      <c r="P13" s="64">
        <v>0.002007898539</v>
      </c>
      <c r="Q13" s="62">
        <v>6.872153649E-6</v>
      </c>
      <c r="R13" s="63">
        <v>1.347622351E-6</v>
      </c>
      <c r="S13" s="63">
        <v>6.28860881E-6</v>
      </c>
      <c r="T13" s="63">
        <v>2.126624423E-6</v>
      </c>
      <c r="U13" s="63">
        <v>2.55790716E-5</v>
      </c>
      <c r="V13" s="63">
        <v>4.998051968E-7</v>
      </c>
      <c r="W13" s="63">
        <v>1.335893958E-7</v>
      </c>
      <c r="X13" s="63">
        <v>8.697865054E-7</v>
      </c>
      <c r="Y13" s="63">
        <v>7.979205431E-7</v>
      </c>
      <c r="Z13" s="63">
        <v>2.390440643E-7</v>
      </c>
      <c r="AA13" s="63">
        <v>2.200517112E-7</v>
      </c>
      <c r="AB13" s="63">
        <v>3.69093157E-7</v>
      </c>
      <c r="AC13" s="63">
        <v>5.419565401E-8</v>
      </c>
      <c r="AD13" s="64">
        <v>3.137712843E-6</v>
      </c>
      <c r="AE13" s="112">
        <v>54706.46794894799</v>
      </c>
      <c r="AF13" s="37">
        <v>2.679177240176077</v>
      </c>
      <c r="AG13" s="127">
        <v>6051.928924610388</v>
      </c>
      <c r="AH13" s="128">
        <v>4487.798978254412</v>
      </c>
      <c r="AI13" s="129">
        <v>239.5322883686726</v>
      </c>
      <c r="AJ13" s="82">
        <v>24.52206140025055</v>
      </c>
      <c r="AK13" s="34">
        <v>0.0</v>
      </c>
      <c r="AL13" s="130">
        <v>6380.551067420662</v>
      </c>
      <c r="AM13" s="131">
        <v>32.91903232227442</v>
      </c>
      <c r="AN13" s="132">
        <v>106.9570687237968</v>
      </c>
      <c r="AO13" s="133">
        <v>638.0899485307662</v>
      </c>
      <c r="AP13" s="132">
        <v>142.4830779519722</v>
      </c>
      <c r="AQ13" s="134">
        <v>54.75887770210508</v>
      </c>
      <c r="AR13" s="57">
        <v>0.0</v>
      </c>
      <c r="AS13" s="135">
        <v>65512.92937882189</v>
      </c>
      <c r="AU13" s="136">
        <v>7355.759072651576</v>
      </c>
      <c r="AW13" s="60">
        <v>72868.68845147347</v>
      </c>
      <c r="AX13" s="137" t="s">
        <v>67</v>
      </c>
      <c r="AZ13" s="6">
        <f>(1-BB13)</f>
        <v>1.08</v>
      </c>
      <c r="BA13" s="7">
        <f>(1+BB13)</f>
        <v>0.92</v>
      </c>
      <c r="BB13" s="12">
        <v>-0.08</v>
      </c>
      <c r="BC13" s="9" t="s">
        <v>12</v>
      </c>
      <c r="BD13" s="9" t="s">
        <v>17</v>
      </c>
      <c r="BE13" s="9">
        <v>0.0</v>
      </c>
      <c r="BF13" s="47"/>
      <c r="BR13" s="34"/>
      <c r="BS13" s="34"/>
      <c r="BT13" s="34"/>
    </row>
    <row r="14">
      <c r="A14" s="61"/>
      <c r="B14" s="17" t="s">
        <v>67</v>
      </c>
      <c r="C14" s="62">
        <v>0.06012214579</v>
      </c>
      <c r="D14" s="63">
        <v>0.090145024</v>
      </c>
      <c r="E14" s="63">
        <v>0.04932078171</v>
      </c>
      <c r="F14" s="63">
        <v>0.09649298683</v>
      </c>
      <c r="G14" s="63">
        <v>0.03261731903</v>
      </c>
      <c r="H14" s="63">
        <v>0.05636567406</v>
      </c>
      <c r="I14" s="63">
        <v>0.06723091595</v>
      </c>
      <c r="J14" s="63">
        <v>0.05221220656</v>
      </c>
      <c r="K14" s="63">
        <v>0.06350246279</v>
      </c>
      <c r="L14" s="63">
        <v>0.1242568891</v>
      </c>
      <c r="M14" s="63">
        <v>0.03825379817</v>
      </c>
      <c r="N14" s="63">
        <v>0.0499726769</v>
      </c>
      <c r="O14" s="63">
        <v>0.05150614985</v>
      </c>
      <c r="P14" s="64">
        <v>0.05433464672</v>
      </c>
      <c r="Q14" s="62">
        <v>1.106797917E-4</v>
      </c>
      <c r="R14" s="63">
        <v>3.641035176E-4</v>
      </c>
      <c r="S14" s="63">
        <v>1.545946942E-4</v>
      </c>
      <c r="T14" s="63">
        <v>2.768770885E-4</v>
      </c>
      <c r="U14" s="63">
        <v>1.584387748E-4</v>
      </c>
      <c r="V14" s="63">
        <v>0.001010162258</v>
      </c>
      <c r="W14" s="63">
        <v>6.282344138E-5</v>
      </c>
      <c r="X14" s="63">
        <v>1.93193337E-4</v>
      </c>
      <c r="Y14" s="63">
        <v>1.557314124E-4</v>
      </c>
      <c r="Z14" s="63">
        <v>3.704039724E-4</v>
      </c>
      <c r="AA14" s="63">
        <v>6.97185469E-5</v>
      </c>
      <c r="AB14" s="63">
        <v>4.049090441E-4</v>
      </c>
      <c r="AC14" s="63">
        <v>1.982779716E-4</v>
      </c>
      <c r="AD14" s="64">
        <v>6.229997938E-5</v>
      </c>
      <c r="AE14" s="112">
        <v>79893.2620355443</v>
      </c>
      <c r="AF14" s="112">
        <v>10429.67354068332</v>
      </c>
      <c r="AG14" s="112">
        <v>67269.72223538726</v>
      </c>
      <c r="AH14" s="112">
        <v>14375.9321880634</v>
      </c>
      <c r="AI14" s="138">
        <v>66.680606345516</v>
      </c>
      <c r="AJ14" s="139">
        <v>17.0011628330337</v>
      </c>
      <c r="AK14" s="34">
        <v>0.0</v>
      </c>
      <c r="AL14" s="140">
        <v>1580.065033470434</v>
      </c>
      <c r="AM14" s="108">
        <v>191.5937961042089</v>
      </c>
      <c r="AN14" s="116">
        <v>504.5343355529897</v>
      </c>
      <c r="AO14" s="141">
        <v>2003.677781665995</v>
      </c>
      <c r="AP14" s="132">
        <v>150.1069764468394</v>
      </c>
      <c r="AQ14" s="142">
        <v>41.6743369662688</v>
      </c>
      <c r="AR14" s="57">
        <v>0.0</v>
      </c>
      <c r="AS14" s="119">
        <v>172052.27176885685</v>
      </c>
      <c r="AU14" s="143">
        <v>4471.652260206736</v>
      </c>
      <c r="AW14" s="78">
        <v>176523.92402906358</v>
      </c>
      <c r="AX14" s="96" t="s">
        <v>68</v>
      </c>
      <c r="AZ14" s="5" t="s">
        <v>18</v>
      </c>
      <c r="BF14" s="47"/>
      <c r="BR14" s="34"/>
      <c r="BS14" s="34"/>
      <c r="BT14" s="34"/>
    </row>
    <row r="15">
      <c r="A15" s="61"/>
      <c r="B15" s="17" t="s">
        <v>68</v>
      </c>
      <c r="C15" s="62">
        <v>0.07679356412</v>
      </c>
      <c r="D15" s="63">
        <v>0.1308244563</v>
      </c>
      <c r="E15" s="63">
        <v>0.07312237208</v>
      </c>
      <c r="F15" s="63">
        <v>0.1197412986</v>
      </c>
      <c r="G15" s="63">
        <v>0.04719229538</v>
      </c>
      <c r="H15" s="63">
        <v>0.07769508321</v>
      </c>
      <c r="I15" s="63">
        <v>0.04081763574</v>
      </c>
      <c r="J15" s="63">
        <v>0.06476973875</v>
      </c>
      <c r="K15" s="63">
        <v>0.01120212383</v>
      </c>
      <c r="L15" s="63">
        <v>0.1359269324</v>
      </c>
      <c r="M15" s="63">
        <v>0.1898197854</v>
      </c>
      <c r="N15" s="63">
        <v>0.08158478485</v>
      </c>
      <c r="O15" s="63">
        <v>0.07353022571</v>
      </c>
      <c r="P15" s="64">
        <v>0.05443894454</v>
      </c>
      <c r="Q15" s="62">
        <v>4.01458187E-5</v>
      </c>
      <c r="R15" s="63">
        <v>1.040323138E-4</v>
      </c>
      <c r="S15" s="63">
        <v>4.725245576E-5</v>
      </c>
      <c r="T15" s="63">
        <v>8.561844871E-5</v>
      </c>
      <c r="U15" s="63">
        <v>7.749956193E-5</v>
      </c>
      <c r="V15" s="63">
        <v>2.365022202E-4</v>
      </c>
      <c r="W15" s="63">
        <v>4.61531892E-5</v>
      </c>
      <c r="X15" s="63">
        <v>8.534064437E-5</v>
      </c>
      <c r="Y15" s="63">
        <v>6.651594914E-5</v>
      </c>
      <c r="Z15" s="63">
        <v>7.505419715E-5</v>
      </c>
      <c r="AA15" s="63">
        <v>9.539101371E-5</v>
      </c>
      <c r="AB15" s="63">
        <v>3.150456431E-4</v>
      </c>
      <c r="AC15" s="63">
        <v>6.888721892E-5</v>
      </c>
      <c r="AD15" s="64">
        <v>3.641662681E-5</v>
      </c>
      <c r="AE15" s="144">
        <v>44.65593015761451</v>
      </c>
      <c r="AF15" s="34">
        <v>0.06804619795203799</v>
      </c>
      <c r="AG15" s="145">
        <v>8.79559567867623</v>
      </c>
      <c r="AH15" s="146">
        <v>23.91105923512939</v>
      </c>
      <c r="AI15" s="147">
        <v>4.257447937103011</v>
      </c>
      <c r="AJ15" s="34">
        <v>0.7061291840577871</v>
      </c>
      <c r="AK15" s="34">
        <v>0.0</v>
      </c>
      <c r="AL15" s="148">
        <v>12.53720421332408</v>
      </c>
      <c r="AM15" s="34">
        <v>0.2045086044712902</v>
      </c>
      <c r="AN15" s="34">
        <v>1.48432133199973</v>
      </c>
      <c r="AO15" s="72">
        <v>3.265133432856384</v>
      </c>
      <c r="AP15" s="34">
        <v>1.022369894843737</v>
      </c>
      <c r="AQ15" s="34">
        <v>0.3118078185897767</v>
      </c>
      <c r="AR15" s="57">
        <v>0.0</v>
      </c>
      <c r="AS15" s="149">
        <v>82.39420839053297</v>
      </c>
      <c r="AU15" s="150">
        <v>18.825345296085</v>
      </c>
      <c r="AW15" s="78">
        <v>101.21955368661797</v>
      </c>
      <c r="AX15" s="111" t="s">
        <v>69</v>
      </c>
      <c r="AZ15" s="6">
        <f>(1-BB15)</f>
        <v>1.04</v>
      </c>
      <c r="BA15" s="7">
        <f>(1+BB15)</f>
        <v>0.96</v>
      </c>
      <c r="BB15" s="12">
        <v>-0.04</v>
      </c>
      <c r="BC15" s="9" t="s">
        <v>12</v>
      </c>
      <c r="BD15" s="9" t="s">
        <v>19</v>
      </c>
      <c r="BE15" s="9">
        <v>0.0</v>
      </c>
      <c r="BF15" s="47"/>
      <c r="BR15" s="34"/>
      <c r="BS15" s="34"/>
      <c r="BT15" s="34"/>
    </row>
    <row r="16">
      <c r="A16" s="61"/>
      <c r="B16" s="17" t="s">
        <v>69</v>
      </c>
      <c r="C16" s="62">
        <v>0.003391091162</v>
      </c>
      <c r="D16" s="63">
        <v>0.001011730245</v>
      </c>
      <c r="E16" s="63">
        <v>9.010509439E-4</v>
      </c>
      <c r="F16" s="63">
        <v>0.005380387347</v>
      </c>
      <c r="G16" s="63">
        <v>5.274715542E-4</v>
      </c>
      <c r="H16" s="63">
        <v>0.2260004233</v>
      </c>
      <c r="I16" s="63">
        <v>9.548248365E-4</v>
      </c>
      <c r="J16" s="63">
        <v>0.002699126617</v>
      </c>
      <c r="K16" s="63">
        <v>0.001095696749</v>
      </c>
      <c r="L16" s="63">
        <v>0.002541511302</v>
      </c>
      <c r="M16" s="63">
        <v>0.005900005107</v>
      </c>
      <c r="N16" s="63">
        <v>0.2288443355</v>
      </c>
      <c r="O16" s="63">
        <v>0.001625422528</v>
      </c>
      <c r="P16" s="64">
        <v>0.001372403087</v>
      </c>
      <c r="Q16" s="62">
        <v>9.471934774E-7</v>
      </c>
      <c r="R16" s="63">
        <v>2.007883666E-6</v>
      </c>
      <c r="S16" s="63">
        <v>2.595110281E-6</v>
      </c>
      <c r="T16" s="63">
        <v>3.732732316E-6</v>
      </c>
      <c r="U16" s="63">
        <v>6.926110217E-7</v>
      </c>
      <c r="V16" s="63">
        <v>2.686272475E-5</v>
      </c>
      <c r="W16" s="63">
        <v>4.982253164E-7</v>
      </c>
      <c r="X16" s="63">
        <v>1.294061839E-6</v>
      </c>
      <c r="Y16" s="63">
        <v>2.202677695E-6</v>
      </c>
      <c r="Z16" s="63">
        <v>7.560667588E-7</v>
      </c>
      <c r="AA16" s="63">
        <v>4.892726266E-7</v>
      </c>
      <c r="AB16" s="63">
        <v>3.126912507E-5</v>
      </c>
      <c r="AC16" s="63">
        <v>1.956391514E-6</v>
      </c>
      <c r="AD16" s="64">
        <v>4.15374663E-7</v>
      </c>
      <c r="AE16" s="72">
        <v>1.36516102807</v>
      </c>
      <c r="AF16" s="34">
        <v>0.0</v>
      </c>
      <c r="AG16" s="34">
        <v>0.0232016966375</v>
      </c>
      <c r="AH16" s="151">
        <v>10.4831028121</v>
      </c>
      <c r="AI16" s="34">
        <v>0.0323281467407</v>
      </c>
      <c r="AJ16" s="34">
        <v>0.00804317820774</v>
      </c>
      <c r="AK16" s="34">
        <v>0.0</v>
      </c>
      <c r="AL16" s="152">
        <v>0.2951126353938044</v>
      </c>
      <c r="AM16" s="34">
        <v>0.01836701148556584</v>
      </c>
      <c r="AN16" s="34">
        <v>0.01293880219774327</v>
      </c>
      <c r="AO16" s="34">
        <v>0.7324733177890848</v>
      </c>
      <c r="AP16" s="34">
        <v>0.00447812098108109</v>
      </c>
      <c r="AQ16" s="34">
        <v>9.227734867328322E-4</v>
      </c>
      <c r="AR16" s="57">
        <v>0.0</v>
      </c>
      <c r="AS16" s="153">
        <v>11.91183686175594</v>
      </c>
      <c r="AU16" s="154">
        <v>1.0642926613340122</v>
      </c>
      <c r="AW16" s="78">
        <v>12.976129523089952</v>
      </c>
      <c r="AX16" s="111" t="s">
        <v>70</v>
      </c>
      <c r="AZ16" s="5" t="s">
        <v>20</v>
      </c>
      <c r="BF16" s="47"/>
      <c r="BR16" s="34"/>
      <c r="BS16" s="34"/>
      <c r="BT16" s="34"/>
    </row>
    <row r="17">
      <c r="A17" s="61"/>
      <c r="B17" s="17" t="s">
        <v>70</v>
      </c>
      <c r="C17" s="62">
        <v>0.001158193698</v>
      </c>
      <c r="D17" s="63">
        <v>0.001898991131</v>
      </c>
      <c r="E17" s="63">
        <v>0.00125664343</v>
      </c>
      <c r="F17" s="63">
        <v>3.952017422E-4</v>
      </c>
      <c r="G17" s="63">
        <v>4.458927297E-4</v>
      </c>
      <c r="H17" s="63">
        <v>0.002112298029</v>
      </c>
      <c r="I17" s="63">
        <v>2.218520931E-4</v>
      </c>
      <c r="J17" s="63">
        <v>4.235436939E-4</v>
      </c>
      <c r="K17" s="63">
        <v>3.426631766E-4</v>
      </c>
      <c r="L17" s="63">
        <v>6.404430695E-4</v>
      </c>
      <c r="M17" s="63">
        <v>0.002754398992</v>
      </c>
      <c r="N17" s="63">
        <v>0.002133816097</v>
      </c>
      <c r="O17" s="63">
        <v>0.01989035539</v>
      </c>
      <c r="P17" s="64">
        <v>0.001608366322</v>
      </c>
      <c r="Q17" s="62">
        <v>4.952609676E-8</v>
      </c>
      <c r="R17" s="63">
        <v>4.699453164E-8</v>
      </c>
      <c r="S17" s="63">
        <v>1.617907105E-8</v>
      </c>
      <c r="T17" s="63">
        <v>2.911650879E-8</v>
      </c>
      <c r="U17" s="63">
        <v>1.549033689E-8</v>
      </c>
      <c r="V17" s="63">
        <v>9.975263019E-8</v>
      </c>
      <c r="W17" s="63">
        <v>7.923923991E-9</v>
      </c>
      <c r="X17" s="63">
        <v>3.010402726E-8</v>
      </c>
      <c r="Y17" s="63">
        <v>1.238783637E-8</v>
      </c>
      <c r="Z17" s="63">
        <v>3.800876456E-8</v>
      </c>
      <c r="AA17" s="63">
        <v>2.386332294E-8</v>
      </c>
      <c r="AB17" s="63">
        <v>1.171450976E-7</v>
      </c>
      <c r="AC17" s="63">
        <v>1.30151296E-7</v>
      </c>
      <c r="AD17" s="64">
        <v>8.999155442E-9</v>
      </c>
      <c r="AE17" s="155">
        <v>2664.16692759</v>
      </c>
      <c r="AF17" s="99">
        <v>5.19285339707</v>
      </c>
      <c r="AG17" s="156">
        <v>77.3345884626</v>
      </c>
      <c r="AH17" s="157">
        <v>43.5026786084</v>
      </c>
      <c r="AI17" s="72">
        <v>1.34239237792</v>
      </c>
      <c r="AJ17" s="34">
        <v>0.269797311671</v>
      </c>
      <c r="AK17" s="34">
        <v>0.0</v>
      </c>
      <c r="AL17" s="158">
        <v>1951.764169020446</v>
      </c>
      <c r="AM17" s="159">
        <v>554.3166258545385</v>
      </c>
      <c r="AN17" s="160">
        <v>23.58271602121914</v>
      </c>
      <c r="AO17" s="161">
        <v>20.3446667780963</v>
      </c>
      <c r="AP17" s="162">
        <v>4883.764609076587</v>
      </c>
      <c r="AQ17" s="163">
        <v>1303.914832591401</v>
      </c>
      <c r="AR17" s="164">
        <v>0.0</v>
      </c>
      <c r="AS17" s="165">
        <v>8737.687619342287</v>
      </c>
      <c r="AU17" s="166">
        <v>2791.809237747661</v>
      </c>
      <c r="AW17" s="167">
        <v>11529.496857089947</v>
      </c>
      <c r="AX17" s="96" t="s">
        <v>71</v>
      </c>
      <c r="AZ17" s="6">
        <f>(1-BB17)</f>
        <v>1</v>
      </c>
      <c r="BA17" s="7">
        <f>(1+BB17)</f>
        <v>1</v>
      </c>
      <c r="BB17" s="12">
        <v>0.0</v>
      </c>
      <c r="BC17" s="9" t="s">
        <v>12</v>
      </c>
      <c r="BD17" s="9" t="s">
        <v>21</v>
      </c>
      <c r="BE17" s="9">
        <v>0.0</v>
      </c>
      <c r="BF17" s="47"/>
      <c r="BR17" s="34"/>
      <c r="BS17" s="34"/>
      <c r="BT17" s="34"/>
    </row>
    <row r="18">
      <c r="A18" s="168"/>
      <c r="B18" s="17" t="s">
        <v>71</v>
      </c>
      <c r="C18" s="169">
        <v>0.00131082684</v>
      </c>
      <c r="D18" s="170">
        <v>0.007415972687</v>
      </c>
      <c r="E18" s="170">
        <v>0.001299425329</v>
      </c>
      <c r="F18" s="170">
        <v>0.006091870711</v>
      </c>
      <c r="G18" s="170">
        <v>0.002242227636</v>
      </c>
      <c r="H18" s="170">
        <v>0.001775225417</v>
      </c>
      <c r="I18" s="170">
        <v>9.914529127E-4</v>
      </c>
      <c r="J18" s="170">
        <v>0.002314097177</v>
      </c>
      <c r="K18" s="170">
        <v>7.899339281E-4</v>
      </c>
      <c r="L18" s="170">
        <v>0.006033425029</v>
      </c>
      <c r="M18" s="170">
        <v>0.003774402691</v>
      </c>
      <c r="N18" s="170">
        <v>0.001799711334</v>
      </c>
      <c r="O18" s="170">
        <v>0.002744107295</v>
      </c>
      <c r="P18" s="171">
        <v>0.009901269564</v>
      </c>
      <c r="Q18" s="169">
        <v>9.121527182E-6</v>
      </c>
      <c r="R18" s="170">
        <v>2.921391599E-5</v>
      </c>
      <c r="S18" s="170">
        <v>1.26975959E-5</v>
      </c>
      <c r="T18" s="170">
        <v>9.755379525E-6</v>
      </c>
      <c r="U18" s="170">
        <v>1.409415247E-5</v>
      </c>
      <c r="V18" s="170">
        <v>6.454966833E-5</v>
      </c>
      <c r="W18" s="170">
        <v>1.023593901E-5</v>
      </c>
      <c r="X18" s="170">
        <v>5.634733288E-5</v>
      </c>
      <c r="Y18" s="170">
        <v>1.049474608E-4</v>
      </c>
      <c r="Z18" s="170">
        <v>3.406577963E-4</v>
      </c>
      <c r="AA18" s="170">
        <v>6.322089127E-5</v>
      </c>
      <c r="AB18" s="170">
        <v>6.389716645E-5</v>
      </c>
      <c r="AC18" s="170">
        <v>1.736037385E-5</v>
      </c>
      <c r="AD18" s="171">
        <v>3.654581355E-5</v>
      </c>
      <c r="AE18" s="172">
        <v>1263.91509148053</v>
      </c>
      <c r="AF18" s="39">
        <v>0.0</v>
      </c>
      <c r="AG18" s="39">
        <v>0.1899793920724182</v>
      </c>
      <c r="AH18" s="173">
        <v>36.48352030368296</v>
      </c>
      <c r="AI18" s="174">
        <v>3.065474619972921</v>
      </c>
      <c r="AJ18" s="39">
        <v>0.04270501822165242</v>
      </c>
      <c r="AK18" s="42">
        <v>0.0</v>
      </c>
      <c r="AL18" s="175">
        <v>904926.9128416507</v>
      </c>
      <c r="AM18" s="176">
        <v>552.4542964805064</v>
      </c>
      <c r="AN18" s="177">
        <v>18964.20918591821</v>
      </c>
      <c r="AO18" s="178">
        <v>63323.49457890576</v>
      </c>
      <c r="AP18" s="179">
        <v>130813.4363139673</v>
      </c>
      <c r="AQ18" s="39">
        <v>-46.80768258909544</v>
      </c>
      <c r="AR18" s="42">
        <v>0.0</v>
      </c>
      <c r="AS18" s="180"/>
      <c r="AT18" s="181">
        <v>1118533.6995343333</v>
      </c>
      <c r="AU18" s="180"/>
      <c r="AV18" s="182">
        <v>1303.69677081448</v>
      </c>
      <c r="AW18" s="183">
        <v>1119837.3963051478</v>
      </c>
      <c r="AX18" s="46" t="s">
        <v>58</v>
      </c>
      <c r="AZ18" s="5" t="s">
        <v>22</v>
      </c>
      <c r="BF18" s="47"/>
      <c r="BR18" s="34"/>
      <c r="BS18" s="34"/>
      <c r="BT18" s="34"/>
    </row>
    <row r="19">
      <c r="A19" s="184" t="s">
        <v>40</v>
      </c>
      <c r="B19" s="48" t="s">
        <v>58</v>
      </c>
      <c r="C19" s="49">
        <v>0.01550837378</v>
      </c>
      <c r="D19" s="50">
        <v>0.03073130953</v>
      </c>
      <c r="E19" s="50">
        <v>0.1088281615</v>
      </c>
      <c r="F19" s="50">
        <v>8.014600877E-5</v>
      </c>
      <c r="G19" s="50">
        <v>0.02786634596</v>
      </c>
      <c r="H19" s="50">
        <v>3.183061603E-5</v>
      </c>
      <c r="I19" s="50">
        <v>6.631147079E-5</v>
      </c>
      <c r="J19" s="50">
        <v>7.175740932E-4</v>
      </c>
      <c r="K19" s="50">
        <v>2.278280375E-4</v>
      </c>
      <c r="L19" s="50">
        <v>1.299898067E-4</v>
      </c>
      <c r="M19" s="50">
        <v>1.644527783E-4</v>
      </c>
      <c r="N19" s="50">
        <v>4.086041522E-5</v>
      </c>
      <c r="O19" s="50">
        <v>5.21317311E-6</v>
      </c>
      <c r="P19" s="51">
        <v>0.005692333816</v>
      </c>
      <c r="Q19" s="49">
        <v>0.2003249004</v>
      </c>
      <c r="R19" s="50">
        <v>0.151392266</v>
      </c>
      <c r="S19" s="50">
        <v>0.04112155266</v>
      </c>
      <c r="T19" s="50">
        <v>0.002613946747</v>
      </c>
      <c r="U19" s="50">
        <v>0.2640351226</v>
      </c>
      <c r="V19" s="50">
        <v>0.001346256164</v>
      </c>
      <c r="W19" s="50">
        <v>0.004973638231</v>
      </c>
      <c r="X19" s="50">
        <v>0.009165985803</v>
      </c>
      <c r="Y19" s="50">
        <v>0.0394525096</v>
      </c>
      <c r="Z19" s="50">
        <v>0.001779586559</v>
      </c>
      <c r="AA19" s="50">
        <v>0.002709128619</v>
      </c>
      <c r="AB19" s="50">
        <v>0.002522918518</v>
      </c>
      <c r="AC19" s="50">
        <v>0.002911466934</v>
      </c>
      <c r="AD19" s="51">
        <v>0.01103695104</v>
      </c>
      <c r="AE19" s="185">
        <v>866.1529169083187</v>
      </c>
      <c r="AF19" s="34">
        <v>0.0</v>
      </c>
      <c r="AG19" s="34">
        <v>0.08592482391439069</v>
      </c>
      <c r="AH19" s="72">
        <v>2.284899424036052</v>
      </c>
      <c r="AI19" s="34">
        <v>0.8516819944522945</v>
      </c>
      <c r="AJ19" s="34">
        <v>0.002577991832516221</v>
      </c>
      <c r="AK19" s="57">
        <v>0.0</v>
      </c>
      <c r="AL19" s="186">
        <v>627569.9905716935</v>
      </c>
      <c r="AM19" s="34">
        <v>120.6645649086494</v>
      </c>
      <c r="AN19" s="187">
        <v>1658.031132516211</v>
      </c>
      <c r="AO19" s="188">
        <v>1813.83064320283</v>
      </c>
      <c r="AP19" s="189">
        <v>1979.271011033797</v>
      </c>
      <c r="AQ19" s="34">
        <v>142.7192292700112</v>
      </c>
      <c r="AR19" s="57">
        <v>0.0</v>
      </c>
      <c r="AT19" s="190">
        <v>633284.507152625</v>
      </c>
      <c r="AV19" s="191">
        <v>869.378001142554</v>
      </c>
      <c r="AW19" s="78">
        <v>634153.8851537675</v>
      </c>
      <c r="AX19" s="46" t="s">
        <v>59</v>
      </c>
      <c r="AZ19" s="6">
        <f>(1-BB19)/2</f>
        <v>1</v>
      </c>
      <c r="BA19" s="11"/>
      <c r="BB19" s="12">
        <v>-1.0</v>
      </c>
      <c r="BC19" s="9" t="s">
        <v>12</v>
      </c>
      <c r="BD19" s="9" t="s">
        <v>23</v>
      </c>
      <c r="BE19" s="9">
        <v>-1.0</v>
      </c>
      <c r="BF19" s="47"/>
      <c r="BR19" s="34"/>
      <c r="BS19" s="34"/>
      <c r="BT19" s="34"/>
    </row>
    <row r="20">
      <c r="B20" s="48" t="s">
        <v>59</v>
      </c>
      <c r="C20" s="62">
        <v>2.093046928E-4</v>
      </c>
      <c r="D20" s="63">
        <v>0.001867255963</v>
      </c>
      <c r="E20" s="63">
        <v>0.003891826899</v>
      </c>
      <c r="F20" s="63">
        <v>3.81220363E-4</v>
      </c>
      <c r="G20" s="63">
        <v>0.01081561714</v>
      </c>
      <c r="H20" s="63">
        <v>3.399731434E-6</v>
      </c>
      <c r="I20" s="63">
        <v>2.926320554E-5</v>
      </c>
      <c r="J20" s="63">
        <v>0.001060047746</v>
      </c>
      <c r="K20" s="63">
        <v>8.820696252E-5</v>
      </c>
      <c r="L20" s="63">
        <v>5.582765026E-5</v>
      </c>
      <c r="M20" s="63">
        <v>1.069673675E-4</v>
      </c>
      <c r="N20" s="63">
        <v>3.452984856E-6</v>
      </c>
      <c r="O20" s="63">
        <v>8.928674313E-6</v>
      </c>
      <c r="P20" s="64">
        <v>0.003988568068</v>
      </c>
      <c r="Q20" s="62">
        <v>0.00102973482</v>
      </c>
      <c r="R20" s="63">
        <v>0.03655312507</v>
      </c>
      <c r="S20" s="63">
        <v>0.0146194046</v>
      </c>
      <c r="T20" s="63">
        <v>0.01169554095</v>
      </c>
      <c r="U20" s="63">
        <v>0.0216807217</v>
      </c>
      <c r="V20" s="63">
        <v>0.001382303773</v>
      </c>
      <c r="W20" s="63">
        <v>4.345803353E-4</v>
      </c>
      <c r="X20" s="63">
        <v>9.116516691E-4</v>
      </c>
      <c r="Y20" s="63">
        <v>0.004248198245</v>
      </c>
      <c r="Z20" s="63">
        <v>0.001741882932</v>
      </c>
      <c r="AA20" s="63">
        <v>0.001018061908</v>
      </c>
      <c r="AB20" s="63">
        <v>0.002612283949</v>
      </c>
      <c r="AC20" s="63">
        <v>0.001103165091</v>
      </c>
      <c r="AD20" s="64">
        <v>0.02931165868</v>
      </c>
      <c r="AE20" s="132">
        <v>109.3655634567079</v>
      </c>
      <c r="AF20" s="34">
        <v>0.0</v>
      </c>
      <c r="AG20" s="34">
        <v>0.2713459165609642</v>
      </c>
      <c r="AH20" s="132">
        <v>113.8379392924525</v>
      </c>
      <c r="AI20" s="34">
        <v>-0.752282243317623</v>
      </c>
      <c r="AJ20" s="34">
        <v>0.0745490148153067</v>
      </c>
      <c r="AK20" s="57">
        <v>0.0</v>
      </c>
      <c r="AL20" s="192">
        <v>591491.8408581036</v>
      </c>
      <c r="AM20" s="193">
        <v>2517.197306540251</v>
      </c>
      <c r="AN20" s="194">
        <v>34496.01800171533</v>
      </c>
      <c r="AO20" s="195">
        <v>95928.07002835145</v>
      </c>
      <c r="AP20" s="196">
        <v>261735.5798799888</v>
      </c>
      <c r="AQ20" s="197">
        <v>266.2598854981971</v>
      </c>
      <c r="AR20" s="57">
        <v>0.0</v>
      </c>
      <c r="AT20" s="198">
        <v>986434.9659601976</v>
      </c>
      <c r="AV20" s="199">
        <v>222.79711543721908</v>
      </c>
      <c r="AW20" s="78">
        <v>986657.7630756348</v>
      </c>
      <c r="AX20" s="79" t="s">
        <v>60</v>
      </c>
      <c r="AZ20" s="5" t="s">
        <v>24</v>
      </c>
      <c r="BF20" s="47"/>
      <c r="BR20" s="34"/>
      <c r="BS20" s="34"/>
      <c r="BT20" s="34"/>
    </row>
    <row r="21">
      <c r="B21" s="80" t="s">
        <v>60</v>
      </c>
      <c r="C21" s="62">
        <v>2.542894E-5</v>
      </c>
      <c r="D21" s="63">
        <v>8.924895389E-5</v>
      </c>
      <c r="E21" s="63">
        <v>5.740287339E-4</v>
      </c>
      <c r="F21" s="63">
        <v>0.01599422767</v>
      </c>
      <c r="G21" s="63">
        <v>2.300752906E-4</v>
      </c>
      <c r="H21" s="63">
        <v>1.276265471E-5</v>
      </c>
      <c r="I21" s="63">
        <v>1.227038878E-4</v>
      </c>
      <c r="J21" s="63">
        <v>1.48088927E-4</v>
      </c>
      <c r="K21" s="63">
        <v>5.893933918E-5</v>
      </c>
      <c r="L21" s="63">
        <v>2.538629188E-4</v>
      </c>
      <c r="M21" s="63">
        <v>1.101633711E-4</v>
      </c>
      <c r="N21" s="63">
        <v>1.460664523E-5</v>
      </c>
      <c r="O21" s="63">
        <v>6.476257245E-6</v>
      </c>
      <c r="P21" s="64">
        <v>5.695619744E-4</v>
      </c>
      <c r="Q21" s="62">
        <v>0.001070858166</v>
      </c>
      <c r="R21" s="63">
        <v>9.69730399E-4</v>
      </c>
      <c r="S21" s="63">
        <v>0.07216130804</v>
      </c>
      <c r="T21" s="63">
        <v>0.3191939758</v>
      </c>
      <c r="U21" s="63">
        <v>0.009103250853</v>
      </c>
      <c r="V21" s="63">
        <v>0.003120813838</v>
      </c>
      <c r="W21" s="63">
        <v>0.00125778832</v>
      </c>
      <c r="X21" s="63">
        <v>0.001624883164</v>
      </c>
      <c r="Y21" s="63">
        <v>0.01258954118</v>
      </c>
      <c r="Z21" s="63">
        <v>9.647252237E-4</v>
      </c>
      <c r="AA21" s="63">
        <v>6.43984119E-4</v>
      </c>
      <c r="AB21" s="63">
        <v>0.001136260119</v>
      </c>
      <c r="AC21" s="63">
        <v>0.003843195891</v>
      </c>
      <c r="AD21" s="64">
        <v>0.01512559481</v>
      </c>
      <c r="AE21" s="200">
        <v>1277.447092629195</v>
      </c>
      <c r="AF21" s="34">
        <v>0.0</v>
      </c>
      <c r="AG21" s="34">
        <v>0.3092874994224312</v>
      </c>
      <c r="AH21" s="201">
        <v>10.99722876653069</v>
      </c>
      <c r="AI21" s="85">
        <v>5.192252393746272</v>
      </c>
      <c r="AJ21" s="34">
        <v>0.01572939443740303</v>
      </c>
      <c r="AK21" s="57">
        <v>0.0</v>
      </c>
      <c r="AL21" s="202">
        <v>1390058.344163374</v>
      </c>
      <c r="AM21" s="203">
        <v>16936.94056597389</v>
      </c>
      <c r="AN21" s="203">
        <v>14125.23105676941</v>
      </c>
      <c r="AO21" s="204">
        <v>6845.796306541906</v>
      </c>
      <c r="AP21" s="205">
        <v>49962.77169062495</v>
      </c>
      <c r="AQ21" s="206">
        <v>348.9897046984574</v>
      </c>
      <c r="AR21" s="57">
        <v>0.0</v>
      </c>
      <c r="AT21" s="207">
        <v>1478278.0734879829</v>
      </c>
      <c r="AV21" s="208">
        <v>1293.9615906833317</v>
      </c>
      <c r="AW21" s="78">
        <v>1479572.0350786662</v>
      </c>
      <c r="AX21" s="79" t="s">
        <v>61</v>
      </c>
      <c r="AZ21" s="6">
        <f>(1-BB21)/2</f>
        <v>1</v>
      </c>
      <c r="BA21" s="11"/>
      <c r="BB21" s="12">
        <v>-1.0</v>
      </c>
      <c r="BC21" s="9" t="s">
        <v>25</v>
      </c>
      <c r="BD21" s="9" t="s">
        <v>26</v>
      </c>
      <c r="BE21" s="9">
        <v>-1.0</v>
      </c>
      <c r="BF21" s="47"/>
      <c r="BR21" s="34"/>
      <c r="BS21" s="34"/>
      <c r="BT21" s="34"/>
    </row>
    <row r="22">
      <c r="B22" s="80" t="s">
        <v>61</v>
      </c>
      <c r="C22" s="62">
        <v>2.155323627E-4</v>
      </c>
      <c r="D22" s="63">
        <v>4.642548179E-4</v>
      </c>
      <c r="E22" s="63">
        <v>0.02025192085</v>
      </c>
      <c r="F22" s="63">
        <v>0.04443934019</v>
      </c>
      <c r="G22" s="63">
        <v>0.005312159059</v>
      </c>
      <c r="H22" s="63">
        <v>2.891100358E-5</v>
      </c>
      <c r="I22" s="63">
        <v>1.034578522E-4</v>
      </c>
      <c r="J22" s="63">
        <v>8.348776859E-4</v>
      </c>
      <c r="K22" s="63">
        <v>5.178653381E-4</v>
      </c>
      <c r="L22" s="63">
        <v>0.003917697575</v>
      </c>
      <c r="M22" s="63">
        <v>4.714195927E-4</v>
      </c>
      <c r="N22" s="63">
        <v>3.0659835E-5</v>
      </c>
      <c r="O22" s="63">
        <v>2.838204154E-5</v>
      </c>
      <c r="P22" s="64">
        <v>0.009583324118</v>
      </c>
      <c r="Q22" s="62">
        <v>0.00213670219</v>
      </c>
      <c r="R22" s="63">
        <v>0.006144864587</v>
      </c>
      <c r="S22" s="63">
        <v>0.01653424764</v>
      </c>
      <c r="T22" s="63">
        <v>0.0783993826</v>
      </c>
      <c r="U22" s="63">
        <v>0.041265935</v>
      </c>
      <c r="V22" s="63">
        <v>0.002345727052</v>
      </c>
      <c r="W22" s="63">
        <v>7.742545602E-4</v>
      </c>
      <c r="X22" s="63">
        <v>0.001662954574</v>
      </c>
      <c r="Y22" s="63">
        <v>0.007388326637</v>
      </c>
      <c r="Z22" s="63">
        <v>0.001588004229</v>
      </c>
      <c r="AA22" s="63">
        <v>0.00259330706</v>
      </c>
      <c r="AB22" s="63">
        <v>0.004328494393</v>
      </c>
      <c r="AC22" s="63">
        <v>0.002414626402</v>
      </c>
      <c r="AD22" s="64">
        <v>0.04252483401</v>
      </c>
      <c r="AE22" s="209">
        <v>4116.016682888914</v>
      </c>
      <c r="AF22" s="34">
        <v>0.0</v>
      </c>
      <c r="AG22" s="34">
        <v>0.132407378983262</v>
      </c>
      <c r="AH22" s="71">
        <v>3.59142671409786</v>
      </c>
      <c r="AI22" s="34">
        <v>1.225575447663042</v>
      </c>
      <c r="AJ22" s="34">
        <v>0.007649044578031968</v>
      </c>
      <c r="AK22" s="57">
        <v>0.0</v>
      </c>
      <c r="AL22" s="202">
        <v>1604153.892336488</v>
      </c>
      <c r="AM22" s="206">
        <v>351.7121544329784</v>
      </c>
      <c r="AN22" s="203">
        <v>15892.81289793148</v>
      </c>
      <c r="AO22" s="210">
        <v>4143.143662918288</v>
      </c>
      <c r="AP22" s="203">
        <v>13780.78480103546</v>
      </c>
      <c r="AQ22" s="206">
        <v>333.550282798764</v>
      </c>
      <c r="AR22" s="57">
        <v>0.0</v>
      </c>
      <c r="AT22" s="207">
        <v>1638655.896135605</v>
      </c>
      <c r="AV22" s="211">
        <v>4120.973741474236</v>
      </c>
      <c r="AW22" s="78">
        <v>1642776.8698770793</v>
      </c>
      <c r="AX22" s="96" t="s">
        <v>62</v>
      </c>
      <c r="AZ22" s="5" t="s">
        <v>27</v>
      </c>
      <c r="BF22" s="47"/>
      <c r="BR22" s="34"/>
      <c r="BS22" s="34"/>
      <c r="BT22" s="34"/>
    </row>
    <row r="23">
      <c r="B23" s="97" t="s">
        <v>62</v>
      </c>
      <c r="C23" s="62">
        <v>1.625172436E-4</v>
      </c>
      <c r="D23" s="63">
        <v>0.004054379652</v>
      </c>
      <c r="E23" s="63">
        <v>0.01381449353</v>
      </c>
      <c r="F23" s="63">
        <v>0.007461053047</v>
      </c>
      <c r="G23" s="63">
        <v>0.03441276691</v>
      </c>
      <c r="H23" s="63">
        <v>8.939459763E-6</v>
      </c>
      <c r="I23" s="63">
        <v>3.122815741E-5</v>
      </c>
      <c r="J23" s="63">
        <v>9.765325555E-4</v>
      </c>
      <c r="K23" s="63">
        <v>1.855750159E-4</v>
      </c>
      <c r="L23" s="63">
        <v>0.001052194051</v>
      </c>
      <c r="M23" s="63">
        <v>2.830323248E-4</v>
      </c>
      <c r="N23" s="63">
        <v>9.362820695E-6</v>
      </c>
      <c r="O23" s="63">
        <v>2.726121444E-5</v>
      </c>
      <c r="P23" s="64">
        <v>0.008860599327</v>
      </c>
      <c r="Q23" s="62">
        <v>0.001795760602</v>
      </c>
      <c r="R23" s="63">
        <v>0.04439539655</v>
      </c>
      <c r="S23" s="63">
        <v>0.06537997563</v>
      </c>
      <c r="T23" s="63">
        <v>0.02749088433</v>
      </c>
      <c r="U23" s="63">
        <v>0.136495458</v>
      </c>
      <c r="V23" s="63">
        <v>0.001682103196</v>
      </c>
      <c r="W23" s="63">
        <v>8.601020394E-4</v>
      </c>
      <c r="X23" s="63">
        <v>0.001405179146</v>
      </c>
      <c r="Y23" s="63">
        <v>0.01266964899</v>
      </c>
      <c r="Z23" s="63">
        <v>0.00137340028</v>
      </c>
      <c r="AA23" s="63">
        <v>0.002336503518</v>
      </c>
      <c r="AB23" s="63">
        <v>0.001826226603</v>
      </c>
      <c r="AC23" s="63">
        <v>0.001975534967</v>
      </c>
      <c r="AD23" s="64">
        <v>0.04438992754</v>
      </c>
      <c r="AE23" s="212">
        <v>51.9685576570073</v>
      </c>
      <c r="AF23" s="34">
        <v>0.0</v>
      </c>
      <c r="AG23" s="34">
        <v>0.03655074651141303</v>
      </c>
      <c r="AH23" s="34">
        <v>1.030596170486209</v>
      </c>
      <c r="AI23" s="34">
        <v>0.8582389554913031</v>
      </c>
      <c r="AJ23" s="34">
        <v>0.3215192244507553</v>
      </c>
      <c r="AK23" s="57">
        <v>0.0</v>
      </c>
      <c r="AL23" s="213">
        <v>36987.40305620636</v>
      </c>
      <c r="AM23" s="197">
        <v>187.4029743239258</v>
      </c>
      <c r="AN23" s="203">
        <v>15693.7650058426</v>
      </c>
      <c r="AO23" s="214">
        <v>2207.971070356055</v>
      </c>
      <c r="AP23" s="215">
        <v>652.9216637541338</v>
      </c>
      <c r="AQ23" s="34">
        <v>99.63117343302591</v>
      </c>
      <c r="AR23" s="57">
        <v>0.0</v>
      </c>
      <c r="AT23" s="216">
        <v>55829.0949439161</v>
      </c>
      <c r="AV23" s="134">
        <v>54.21546275394698</v>
      </c>
      <c r="AW23" s="60">
        <v>55883.31040667005</v>
      </c>
      <c r="AX23" s="96" t="s">
        <v>63</v>
      </c>
      <c r="AZ23" s="6">
        <f>(1-BB23)/2</f>
        <v>0.825</v>
      </c>
      <c r="BA23" s="11"/>
      <c r="BB23" s="12">
        <v>-0.65</v>
      </c>
      <c r="BC23" s="9" t="s">
        <v>25</v>
      </c>
      <c r="BD23" s="9" t="s">
        <v>28</v>
      </c>
      <c r="BE23" s="9">
        <v>-1.0</v>
      </c>
      <c r="BF23" s="47"/>
      <c r="BR23" s="34"/>
      <c r="BS23" s="34"/>
      <c r="BT23" s="34"/>
    </row>
    <row r="24">
      <c r="B24" s="17" t="s">
        <v>63</v>
      </c>
      <c r="C24" s="62">
        <v>3.101750552E-5</v>
      </c>
      <c r="D24" s="63">
        <v>7.427193801E-5</v>
      </c>
      <c r="E24" s="63">
        <v>3.158991752E-5</v>
      </c>
      <c r="F24" s="63">
        <v>6.928642216E-5</v>
      </c>
      <c r="G24" s="63">
        <v>4.827737048E-5</v>
      </c>
      <c r="H24" s="63">
        <v>0.001064152217</v>
      </c>
      <c r="I24" s="63">
        <v>3.875378719E-6</v>
      </c>
      <c r="J24" s="63">
        <v>1.429099498E-4</v>
      </c>
      <c r="K24" s="63">
        <v>3.773861258E-5</v>
      </c>
      <c r="L24" s="63">
        <v>5.817769369E-5</v>
      </c>
      <c r="M24" s="63">
        <v>1.139684422E-5</v>
      </c>
      <c r="N24" s="63">
        <v>0.001033953114</v>
      </c>
      <c r="O24" s="63">
        <v>1.264894603E-5</v>
      </c>
      <c r="P24" s="64">
        <v>8.074232414E-6</v>
      </c>
      <c r="Q24" s="62">
        <v>2.126291031E-4</v>
      </c>
      <c r="R24" s="63">
        <v>5.074944001E-4</v>
      </c>
      <c r="S24" s="63">
        <v>3.827372157E-4</v>
      </c>
      <c r="T24" s="63">
        <v>6.252552812E-4</v>
      </c>
      <c r="U24" s="63">
        <v>3.798593915E-4</v>
      </c>
      <c r="V24" s="63">
        <v>0.03667794747</v>
      </c>
      <c r="W24" s="63">
        <v>3.773283262E-4</v>
      </c>
      <c r="X24" s="63">
        <v>6.034669845E-4</v>
      </c>
      <c r="Y24" s="63">
        <v>3.988839859E-4</v>
      </c>
      <c r="Z24" s="63">
        <v>3.478964228E-4</v>
      </c>
      <c r="AA24" s="63">
        <v>4.726982662E-4</v>
      </c>
      <c r="AB24" s="63">
        <v>0.03284023471</v>
      </c>
      <c r="AC24" s="63">
        <v>0.005960373615</v>
      </c>
      <c r="AD24" s="64">
        <v>4.613271069E-4</v>
      </c>
      <c r="AE24" s="217">
        <v>52.7325620142073</v>
      </c>
      <c r="AF24" s="34">
        <v>0.0</v>
      </c>
      <c r="AG24" s="34">
        <v>1.475453618875441</v>
      </c>
      <c r="AH24" s="56">
        <v>19.54084867182477</v>
      </c>
      <c r="AI24" s="132">
        <v>124.3804576840507</v>
      </c>
      <c r="AJ24" s="34">
        <v>0.0157493848755585</v>
      </c>
      <c r="AK24" s="57">
        <v>0.0</v>
      </c>
      <c r="AL24" s="218">
        <v>187013.5652219891</v>
      </c>
      <c r="AM24" s="206">
        <v>334.5121843512309</v>
      </c>
      <c r="AN24" s="203">
        <v>15610.20927045048</v>
      </c>
      <c r="AO24" s="194">
        <v>27480.31570379712</v>
      </c>
      <c r="AP24" s="219">
        <v>54336.21459104295</v>
      </c>
      <c r="AQ24" s="34">
        <v>91.40929114187973</v>
      </c>
      <c r="AR24" s="57">
        <v>0.0</v>
      </c>
      <c r="AT24" s="220">
        <v>284866.2262627728</v>
      </c>
      <c r="AV24" s="108">
        <v>198.1450713738338</v>
      </c>
      <c r="AW24" s="60">
        <v>285064.37133414665</v>
      </c>
      <c r="AX24" s="111" t="s">
        <v>64</v>
      </c>
      <c r="AZ24" s="5" t="s">
        <v>29</v>
      </c>
      <c r="BF24" s="47"/>
      <c r="BR24" s="34"/>
      <c r="BS24" s="34"/>
      <c r="BT24" s="34"/>
    </row>
    <row r="25">
      <c r="B25" s="17" t="s">
        <v>64</v>
      </c>
      <c r="C25" s="62">
        <v>0.004956818682</v>
      </c>
      <c r="D25" s="63">
        <v>5.596434218E-4</v>
      </c>
      <c r="E25" s="63">
        <v>0.01876442446</v>
      </c>
      <c r="F25" s="63">
        <v>8.44817971E-4</v>
      </c>
      <c r="G25" s="63">
        <v>0.002000582403</v>
      </c>
      <c r="H25" s="63">
        <v>4.000386504E-4</v>
      </c>
      <c r="I25" s="63">
        <v>0.04727344629</v>
      </c>
      <c r="J25" s="63">
        <v>0.02761232644</v>
      </c>
      <c r="K25" s="63">
        <v>0.6426427725</v>
      </c>
      <c r="L25" s="63">
        <v>0.004914040077</v>
      </c>
      <c r="M25" s="63">
        <v>2.697013305E-4</v>
      </c>
      <c r="N25" s="63">
        <v>4.823403154E-4</v>
      </c>
      <c r="O25" s="63">
        <v>1.237668267E-4</v>
      </c>
      <c r="P25" s="64">
        <v>6.414240186E-4</v>
      </c>
      <c r="Q25" s="62">
        <v>0.004108888476</v>
      </c>
      <c r="R25" s="63">
        <v>0.004127883298</v>
      </c>
      <c r="S25" s="63">
        <v>0.006126275439</v>
      </c>
      <c r="T25" s="63">
        <v>0.006815359137</v>
      </c>
      <c r="U25" s="63">
        <v>0.004865942446</v>
      </c>
      <c r="V25" s="63">
        <v>0.005282308311</v>
      </c>
      <c r="W25" s="63">
        <v>0.1172722048</v>
      </c>
      <c r="X25" s="63">
        <v>0.05812158243</v>
      </c>
      <c r="Y25" s="63">
        <v>0.04598384962</v>
      </c>
      <c r="Z25" s="63">
        <v>0.02035334297</v>
      </c>
      <c r="AA25" s="63">
        <v>0.001219211278</v>
      </c>
      <c r="AB25" s="63">
        <v>0.009728944219</v>
      </c>
      <c r="AC25" s="63">
        <v>0.01015138427</v>
      </c>
      <c r="AD25" s="64">
        <v>0.001530164089</v>
      </c>
      <c r="AE25" s="117">
        <v>25473.29775247629</v>
      </c>
      <c r="AF25" s="34">
        <v>0.0</v>
      </c>
      <c r="AG25" s="221">
        <v>48.6936474327396</v>
      </c>
      <c r="AH25" s="117">
        <v>25730.39087688862</v>
      </c>
      <c r="AI25" s="34">
        <v>-3856.317502555541</v>
      </c>
      <c r="AJ25" s="72">
        <v>2.19104072864706</v>
      </c>
      <c r="AK25" s="57">
        <v>0.0</v>
      </c>
      <c r="AL25" s="202">
        <v>5631171.133254381</v>
      </c>
      <c r="AM25" s="203">
        <v>21194.94134479049</v>
      </c>
      <c r="AN25" s="222">
        <v>345242.146977703</v>
      </c>
      <c r="AO25" s="223">
        <v>1.545089995378228E7</v>
      </c>
      <c r="AP25" s="224">
        <v>339885.8653568218</v>
      </c>
      <c r="AQ25" s="194">
        <v>33751.13261232673</v>
      </c>
      <c r="AR25" s="57">
        <v>0.0</v>
      </c>
      <c r="AT25" s="202">
        <v>2.1822145173328303E7</v>
      </c>
      <c r="AV25" s="117">
        <v>47398.25581497076</v>
      </c>
      <c r="AW25" s="60">
        <v>2.1869543429143272E7</v>
      </c>
      <c r="AX25" s="111" t="s">
        <v>65</v>
      </c>
      <c r="AZ25" s="6">
        <f>(1-BB25)</f>
        <v>1</v>
      </c>
      <c r="BA25" s="7">
        <f>(1+BB25)</f>
        <v>1</v>
      </c>
      <c r="BB25" s="12">
        <v>0.0</v>
      </c>
      <c r="BC25" s="9" t="s">
        <v>12</v>
      </c>
      <c r="BD25" s="9" t="s">
        <v>30</v>
      </c>
      <c r="BE25" s="9">
        <v>0.0</v>
      </c>
      <c r="BF25" s="47"/>
      <c r="BR25" s="34"/>
      <c r="BS25" s="34"/>
      <c r="BT25" s="34"/>
    </row>
    <row r="26">
      <c r="B26" s="17" t="s">
        <v>65</v>
      </c>
      <c r="C26" s="62">
        <v>0.1524998974</v>
      </c>
      <c r="D26" s="63">
        <v>0.07261025449</v>
      </c>
      <c r="E26" s="63">
        <v>0.04204023341</v>
      </c>
      <c r="F26" s="63">
        <v>0.06401154902</v>
      </c>
      <c r="G26" s="63">
        <v>0.01750817918</v>
      </c>
      <c r="H26" s="63">
        <v>0.009514408279</v>
      </c>
      <c r="I26" s="63">
        <v>0.01637639727</v>
      </c>
      <c r="J26" s="63">
        <v>0.1753082893</v>
      </c>
      <c r="K26" s="63">
        <v>0.01934257139</v>
      </c>
      <c r="L26" s="63">
        <v>0.01917867847</v>
      </c>
      <c r="M26" s="63">
        <v>0.02122064168</v>
      </c>
      <c r="N26" s="63">
        <v>0.007031582267</v>
      </c>
      <c r="O26" s="63">
        <v>0.00972120577</v>
      </c>
      <c r="P26" s="64">
        <v>0.01230617482</v>
      </c>
      <c r="Q26" s="62">
        <v>0.07912228861</v>
      </c>
      <c r="R26" s="63">
        <v>0.1381464013</v>
      </c>
      <c r="S26" s="63">
        <v>0.07182869096</v>
      </c>
      <c r="T26" s="63">
        <v>0.09720568752</v>
      </c>
      <c r="U26" s="63">
        <v>0.06584972971</v>
      </c>
      <c r="V26" s="63">
        <v>0.1252313002</v>
      </c>
      <c r="W26" s="63">
        <v>0.1211553055</v>
      </c>
      <c r="X26" s="63">
        <v>0.4034802537</v>
      </c>
      <c r="Y26" s="63">
        <v>0.2308226296</v>
      </c>
      <c r="Z26" s="63">
        <v>0.09018987912</v>
      </c>
      <c r="AA26" s="63">
        <v>0.06934692855</v>
      </c>
      <c r="AB26" s="63">
        <v>0.1243401511</v>
      </c>
      <c r="AC26" s="63">
        <v>0.1121835321</v>
      </c>
      <c r="AD26" s="64">
        <v>0.04301739392</v>
      </c>
      <c r="AE26" s="225">
        <v>27.8437773046215</v>
      </c>
      <c r="AF26" s="34">
        <v>0.0</v>
      </c>
      <c r="AG26" s="85">
        <v>4.244012529966717</v>
      </c>
      <c r="AH26" s="124">
        <v>8.44630369730711</v>
      </c>
      <c r="AI26" s="72">
        <v>2.137150797335026</v>
      </c>
      <c r="AJ26" s="34">
        <v>0.01596142486043767</v>
      </c>
      <c r="AK26" s="57">
        <v>0.0</v>
      </c>
      <c r="AL26" s="226">
        <v>47836.89967082597</v>
      </c>
      <c r="AM26" s="34">
        <v>80.06668630698772</v>
      </c>
      <c r="AN26" s="227">
        <v>215061.4183675453</v>
      </c>
      <c r="AO26" s="228">
        <v>3610.352967946166</v>
      </c>
      <c r="AP26" s="229">
        <v>9292.567736915158</v>
      </c>
      <c r="AQ26" s="34">
        <v>70.44958586158258</v>
      </c>
      <c r="AR26" s="57">
        <v>0.0</v>
      </c>
      <c r="AT26" s="230">
        <v>275951.7550154011</v>
      </c>
      <c r="AV26" s="142">
        <v>42.68720575409079</v>
      </c>
      <c r="AW26" s="60">
        <v>275994.4422211552</v>
      </c>
      <c r="AX26" s="96" t="s">
        <v>66</v>
      </c>
      <c r="AZ26" s="5" t="s">
        <v>73</v>
      </c>
      <c r="BF26" s="47"/>
      <c r="BR26" s="34"/>
      <c r="BS26" s="34"/>
      <c r="BT26" s="34"/>
    </row>
    <row r="27">
      <c r="B27" s="17" t="s">
        <v>66</v>
      </c>
      <c r="C27" s="62">
        <v>0.003000402276</v>
      </c>
      <c r="D27" s="63">
        <v>6.863320411E-5</v>
      </c>
      <c r="E27" s="63">
        <v>3.866655374E-4</v>
      </c>
      <c r="F27" s="63">
        <v>5.416074759E-5</v>
      </c>
      <c r="G27" s="63">
        <v>2.554777875E-5</v>
      </c>
      <c r="H27" s="63">
        <v>5.521428412E-5</v>
      </c>
      <c r="I27" s="63">
        <v>6.642790544E-5</v>
      </c>
      <c r="J27" s="63">
        <v>4.717920312E-4</v>
      </c>
      <c r="K27" s="63">
        <v>3.454381787E-4</v>
      </c>
      <c r="L27" s="63">
        <v>2.925100395E-5</v>
      </c>
      <c r="M27" s="63">
        <v>2.707844364E-5</v>
      </c>
      <c r="N27" s="63">
        <v>5.679503977E-5</v>
      </c>
      <c r="O27" s="63">
        <v>1.073426208E-5</v>
      </c>
      <c r="P27" s="64">
        <v>2.189706929E-5</v>
      </c>
      <c r="Q27" s="62">
        <v>0.06431873416</v>
      </c>
      <c r="R27" s="63">
        <v>6.7976669E-4</v>
      </c>
      <c r="S27" s="63">
        <v>0.002922547606</v>
      </c>
      <c r="T27" s="63">
        <v>0.001091613114</v>
      </c>
      <c r="U27" s="63">
        <v>5.700295838E-4</v>
      </c>
      <c r="V27" s="63">
        <v>4.516155823E-4</v>
      </c>
      <c r="W27" s="63">
        <v>0.003094283728</v>
      </c>
      <c r="X27" s="63">
        <v>0.00135566462</v>
      </c>
      <c r="Y27" s="63">
        <v>0.1568324996</v>
      </c>
      <c r="Z27" s="63">
        <v>4.301509697E-4</v>
      </c>
      <c r="AA27" s="63">
        <v>3.837593513E-4</v>
      </c>
      <c r="AB27" s="63">
        <v>4.069478294E-4</v>
      </c>
      <c r="AC27" s="63">
        <v>9.868896358E-4</v>
      </c>
      <c r="AD27" s="64">
        <v>2.979135396E-4</v>
      </c>
      <c r="AE27" s="231">
        <v>1156.630701684462</v>
      </c>
      <c r="AF27" s="34">
        <v>0.0</v>
      </c>
      <c r="AG27" s="232">
        <v>24.30801695146246</v>
      </c>
      <c r="AH27" s="233">
        <v>4680.114150439798</v>
      </c>
      <c r="AI27" s="34">
        <v>-25.00938698263687</v>
      </c>
      <c r="AJ27" s="124">
        <v>8.566633974405889</v>
      </c>
      <c r="AK27" s="57">
        <v>0.0</v>
      </c>
      <c r="AL27" s="202">
        <v>9724786.035232594</v>
      </c>
      <c r="AM27" s="203">
        <v>12549.97646369253</v>
      </c>
      <c r="AN27" s="234">
        <v>541122.3671786571</v>
      </c>
      <c r="AO27" s="235">
        <v>979977.5673876887</v>
      </c>
      <c r="AP27" s="236">
        <v>108548.9961349472</v>
      </c>
      <c r="AQ27" s="203">
        <v>11207.68039782215</v>
      </c>
      <c r="AR27" s="57">
        <v>0.0</v>
      </c>
      <c r="AT27" s="202">
        <v>1.1378192622795401E7</v>
      </c>
      <c r="AV27" s="237">
        <v>5844.610116067492</v>
      </c>
      <c r="AW27" s="60">
        <v>1.138403723291147E7</v>
      </c>
      <c r="AX27" s="137" t="s">
        <v>67</v>
      </c>
      <c r="AZ27" s="6">
        <f>(1-BB27)</f>
        <v>1</v>
      </c>
      <c r="BA27" s="7">
        <f>(1+BB27)</f>
        <v>1</v>
      </c>
      <c r="BB27" s="12">
        <v>0.0</v>
      </c>
      <c r="BC27" s="9" t="s">
        <v>7</v>
      </c>
      <c r="BD27" s="9" t="s">
        <v>74</v>
      </c>
      <c r="BE27" s="9">
        <v>0.0</v>
      </c>
      <c r="BF27" s="47"/>
      <c r="BR27" s="34"/>
      <c r="BS27" s="34"/>
      <c r="BT27" s="34"/>
    </row>
    <row r="28">
      <c r="B28" s="17" t="s">
        <v>67</v>
      </c>
      <c r="C28" s="62">
        <v>0.00931831518</v>
      </c>
      <c r="D28" s="63">
        <v>0.04568608023</v>
      </c>
      <c r="E28" s="63">
        <v>0.02163489181</v>
      </c>
      <c r="F28" s="63">
        <v>0.08535530431</v>
      </c>
      <c r="G28" s="63">
        <v>0.01915249489</v>
      </c>
      <c r="H28" s="63">
        <v>0.01058463497</v>
      </c>
      <c r="I28" s="63">
        <v>0.02562309319</v>
      </c>
      <c r="J28" s="63">
        <v>0.03550638096</v>
      </c>
      <c r="K28" s="63">
        <v>0.08854859864</v>
      </c>
      <c r="L28" s="63">
        <v>0.04160223989</v>
      </c>
      <c r="M28" s="63">
        <v>0.00652326488</v>
      </c>
      <c r="N28" s="63">
        <v>0.01276767151</v>
      </c>
      <c r="O28" s="63">
        <v>0.01313950472</v>
      </c>
      <c r="P28" s="64">
        <v>0.005484299924</v>
      </c>
      <c r="Q28" s="62">
        <v>0.06697580073</v>
      </c>
      <c r="R28" s="63">
        <v>0.2063798507</v>
      </c>
      <c r="S28" s="63">
        <v>0.1155159443</v>
      </c>
      <c r="T28" s="63">
        <v>0.1323078673</v>
      </c>
      <c r="U28" s="63">
        <v>0.09484351565</v>
      </c>
      <c r="V28" s="63">
        <v>0.09364600636</v>
      </c>
      <c r="W28" s="63">
        <v>0.0861563623</v>
      </c>
      <c r="X28" s="63">
        <v>0.1086743866</v>
      </c>
      <c r="Y28" s="63">
        <v>0.2043359244</v>
      </c>
      <c r="Z28" s="63">
        <v>0.1652393545</v>
      </c>
      <c r="AA28" s="63">
        <v>0.06203655932</v>
      </c>
      <c r="AB28" s="63">
        <v>0.09406529708</v>
      </c>
      <c r="AC28" s="63">
        <v>0.09221967695</v>
      </c>
      <c r="AD28" s="64">
        <v>0.1099968315</v>
      </c>
      <c r="AE28" s="238">
        <v>1889.76085570905</v>
      </c>
      <c r="AF28" s="34">
        <v>0.0</v>
      </c>
      <c r="AG28" s="132">
        <v>126.6485353230122</v>
      </c>
      <c r="AH28" s="239">
        <v>240.4135501404733</v>
      </c>
      <c r="AI28" s="34">
        <v>-15.82838138011536</v>
      </c>
      <c r="AJ28" s="71">
        <v>4.105898574624691</v>
      </c>
      <c r="AK28" s="57">
        <v>0.0</v>
      </c>
      <c r="AL28" s="202">
        <v>1.921487638349182E7</v>
      </c>
      <c r="AM28" s="240">
        <v>910965.0593006716</v>
      </c>
      <c r="AN28" s="223">
        <v>1.161346340408759E7</v>
      </c>
      <c r="AO28" s="223">
        <v>3305544.367448729</v>
      </c>
      <c r="AP28" s="241">
        <v>123639.7310161102</v>
      </c>
      <c r="AQ28" s="242">
        <v>2782.121509025499</v>
      </c>
      <c r="AR28" s="57">
        <v>0.0</v>
      </c>
      <c r="AT28" s="202">
        <v>3.517127106685395E7</v>
      </c>
      <c r="AV28" s="243">
        <v>2245.100458367045</v>
      </c>
      <c r="AW28" s="60">
        <v>3.517351616731232E7</v>
      </c>
      <c r="AX28" s="96" t="s">
        <v>68</v>
      </c>
      <c r="AZ28" s="5" t="s">
        <v>75</v>
      </c>
      <c r="BF28" s="47"/>
      <c r="BR28" s="34"/>
      <c r="BS28" s="34"/>
      <c r="BT28" s="34"/>
    </row>
    <row r="29">
      <c r="B29" s="17" t="s">
        <v>68</v>
      </c>
      <c r="C29" s="62">
        <v>0.00508910242</v>
      </c>
      <c r="D29" s="63">
        <v>0.02649157395</v>
      </c>
      <c r="E29" s="63">
        <v>0.005746621507</v>
      </c>
      <c r="F29" s="63">
        <v>0.06162439575</v>
      </c>
      <c r="G29" s="63">
        <v>0.007556833171</v>
      </c>
      <c r="H29" s="63">
        <v>0.003672249048</v>
      </c>
      <c r="I29" s="63">
        <v>0.0046681523</v>
      </c>
      <c r="J29" s="63">
        <v>0.01745512988</v>
      </c>
      <c r="K29" s="63">
        <v>0.01332301663</v>
      </c>
      <c r="L29" s="63">
        <v>0.0143655859</v>
      </c>
      <c r="M29" s="63">
        <v>0.02638435792</v>
      </c>
      <c r="N29" s="63">
        <v>0.003727681857</v>
      </c>
      <c r="O29" s="63">
        <v>0.002115708586</v>
      </c>
      <c r="P29" s="64">
        <v>0.00489013001</v>
      </c>
      <c r="Q29" s="62">
        <v>0.04432625479</v>
      </c>
      <c r="R29" s="63">
        <v>0.08519907741</v>
      </c>
      <c r="S29" s="63">
        <v>0.04681823704</v>
      </c>
      <c r="T29" s="63">
        <v>0.04960956421</v>
      </c>
      <c r="U29" s="63">
        <v>0.05407671496</v>
      </c>
      <c r="V29" s="63">
        <v>0.1726569203</v>
      </c>
      <c r="W29" s="63">
        <v>0.08062617621</v>
      </c>
      <c r="X29" s="63">
        <v>0.07466945559</v>
      </c>
      <c r="Y29" s="63">
        <v>0.09112488407</v>
      </c>
      <c r="Z29" s="63">
        <v>0.1082310681</v>
      </c>
      <c r="AA29" s="63">
        <v>0.2149018211</v>
      </c>
      <c r="AB29" s="63">
        <v>0.1513882395</v>
      </c>
      <c r="AC29" s="63">
        <v>0.1209488703</v>
      </c>
      <c r="AD29" s="64">
        <v>0.111531924</v>
      </c>
      <c r="AE29" s="72">
        <v>3.097445822173814</v>
      </c>
      <c r="AF29" s="34">
        <v>0.0</v>
      </c>
      <c r="AG29" s="34">
        <v>0.06246148626304529</v>
      </c>
      <c r="AH29" s="72">
        <v>2.437501145096102</v>
      </c>
      <c r="AI29" s="85">
        <v>4.843644756390735</v>
      </c>
      <c r="AJ29" s="34">
        <v>0.8953510899473404</v>
      </c>
      <c r="AK29" s="57">
        <v>0.0</v>
      </c>
      <c r="AL29" s="216">
        <v>59356.02736672117</v>
      </c>
      <c r="AM29" s="244">
        <v>433.8032171170188</v>
      </c>
      <c r="AN29" s="194">
        <v>27888.70114732236</v>
      </c>
      <c r="AO29" s="245">
        <v>1264.828890250356</v>
      </c>
      <c r="AP29" s="245">
        <v>1275.908063582274</v>
      </c>
      <c r="AQ29" s="197">
        <v>216.1845456227803</v>
      </c>
      <c r="AR29" s="57">
        <v>0.0</v>
      </c>
      <c r="AT29" s="246">
        <v>90435.45323061597</v>
      </c>
      <c r="AV29" s="201">
        <v>11.336404299871036</v>
      </c>
      <c r="AW29" s="60">
        <v>90446.78963491584</v>
      </c>
      <c r="AX29" s="111" t="s">
        <v>69</v>
      </c>
      <c r="AZ29" s="6">
        <f>(1-BB29)</f>
        <v>1</v>
      </c>
      <c r="BA29" s="7">
        <f>(1+BB29)</f>
        <v>1</v>
      </c>
      <c r="BB29" s="12">
        <v>0.0</v>
      </c>
      <c r="BC29" s="9"/>
      <c r="BD29" s="9"/>
      <c r="BE29" s="9"/>
      <c r="BF29" s="47"/>
      <c r="BR29" s="34"/>
      <c r="BS29" s="34"/>
      <c r="BT29" s="34"/>
    </row>
    <row r="30">
      <c r="B30" s="17" t="s">
        <v>69</v>
      </c>
      <c r="C30" s="62">
        <v>2.05325037E-5</v>
      </c>
      <c r="D30" s="63">
        <v>1.636771139E-4</v>
      </c>
      <c r="E30" s="63">
        <v>2.64994424E-5</v>
      </c>
      <c r="F30" s="63">
        <v>1.671188006E-4</v>
      </c>
      <c r="G30" s="63">
        <v>8.518692915E-5</v>
      </c>
      <c r="H30" s="63">
        <v>0.002351569584</v>
      </c>
      <c r="I30" s="63">
        <v>1.597366134E-5</v>
      </c>
      <c r="J30" s="63">
        <v>6.581049234E-4</v>
      </c>
      <c r="K30" s="63">
        <v>8.99083377E-5</v>
      </c>
      <c r="L30" s="63">
        <v>1.71923805E-4</v>
      </c>
      <c r="M30" s="63">
        <v>1.882006022E-5</v>
      </c>
      <c r="N30" s="63">
        <v>0.003271682832</v>
      </c>
      <c r="O30" s="63">
        <v>3.126341118E-5</v>
      </c>
      <c r="P30" s="64">
        <v>1.667369123E-5</v>
      </c>
      <c r="Q30" s="62">
        <v>6.00366624E-4</v>
      </c>
      <c r="R30" s="63">
        <v>0.001550399511</v>
      </c>
      <c r="S30" s="63">
        <v>0.001418503979</v>
      </c>
      <c r="T30" s="63">
        <v>0.001887904518</v>
      </c>
      <c r="U30" s="63">
        <v>0.001072845521</v>
      </c>
      <c r="V30" s="63">
        <v>0.07727175276</v>
      </c>
      <c r="W30" s="63">
        <v>0.001388836201</v>
      </c>
      <c r="X30" s="63">
        <v>0.001318245737</v>
      </c>
      <c r="Y30" s="63">
        <v>9.742685296E-4</v>
      </c>
      <c r="Z30" s="63">
        <v>0.001007307371</v>
      </c>
      <c r="AA30" s="63">
        <v>0.001391852636</v>
      </c>
      <c r="AB30" s="63">
        <v>0.08362266345</v>
      </c>
      <c r="AC30" s="63">
        <v>0.01157763535</v>
      </c>
      <c r="AD30" s="64">
        <v>0.001753668397</v>
      </c>
      <c r="AE30" s="72">
        <v>2.595800755776077</v>
      </c>
      <c r="AF30" s="34">
        <v>0.0</v>
      </c>
      <c r="AG30" s="34">
        <v>0.03618247642663451</v>
      </c>
      <c r="AH30" s="75">
        <v>6.375250018953876</v>
      </c>
      <c r="AI30" s="34">
        <v>0.06411481150692508</v>
      </c>
      <c r="AJ30" s="34">
        <v>0.1176715101844378</v>
      </c>
      <c r="AK30" s="57">
        <v>0.0</v>
      </c>
      <c r="AL30" s="247">
        <v>109252.564615866</v>
      </c>
      <c r="AM30" s="34">
        <v>58.15450903888431</v>
      </c>
      <c r="AN30" s="248">
        <v>7502.937585098122</v>
      </c>
      <c r="AO30" s="188">
        <v>1778.501972785819</v>
      </c>
      <c r="AP30" s="34">
        <v>-72.78056898447542</v>
      </c>
      <c r="AQ30" s="34">
        <v>50.51849577798351</v>
      </c>
      <c r="AR30" s="57">
        <v>0.0</v>
      </c>
      <c r="AT30" s="249">
        <v>118569.89660958231</v>
      </c>
      <c r="AV30" s="124">
        <v>9.189019572847952</v>
      </c>
      <c r="AW30" s="60">
        <v>118579.08562915516</v>
      </c>
      <c r="AX30" s="111" t="s">
        <v>70</v>
      </c>
      <c r="AZ30" s="5" t="s">
        <v>76</v>
      </c>
      <c r="BF30" s="47"/>
      <c r="BR30" s="34"/>
      <c r="BS30" s="34"/>
      <c r="BT30" s="34"/>
    </row>
    <row r="31">
      <c r="B31" s="17" t="s">
        <v>70</v>
      </c>
      <c r="C31" s="62">
        <v>7.233435615E-6</v>
      </c>
      <c r="D31" s="63">
        <v>6.510812453E-5</v>
      </c>
      <c r="E31" s="63">
        <v>1.345170637E-5</v>
      </c>
      <c r="F31" s="63">
        <v>7.935522742E-5</v>
      </c>
      <c r="G31" s="63">
        <v>3.588227131E-5</v>
      </c>
      <c r="H31" s="63">
        <v>2.571060657E-4</v>
      </c>
      <c r="I31" s="63">
        <v>2.043549079E-5</v>
      </c>
      <c r="J31" s="63">
        <v>6.103435791E-5</v>
      </c>
      <c r="K31" s="63">
        <v>4.990078884E-5</v>
      </c>
      <c r="L31" s="63">
        <v>1.418928502E-4</v>
      </c>
      <c r="M31" s="63">
        <v>1.147408482E-5</v>
      </c>
      <c r="N31" s="63">
        <v>2.852436981E-4</v>
      </c>
      <c r="O31" s="63">
        <v>4.577302369E-6</v>
      </c>
      <c r="P31" s="64">
        <v>8.48799468E-6</v>
      </c>
      <c r="Q31" s="62">
        <v>0.001282913366</v>
      </c>
      <c r="R31" s="63">
        <v>0.001299415702</v>
      </c>
      <c r="S31" s="63">
        <v>5.962029268E-4</v>
      </c>
      <c r="T31" s="63">
        <v>6.618171107E-4</v>
      </c>
      <c r="U31" s="63">
        <v>6.181872823E-4</v>
      </c>
      <c r="V31" s="63">
        <v>0.008680845179</v>
      </c>
      <c r="W31" s="63">
        <v>7.496647544E-4</v>
      </c>
      <c r="X31" s="63">
        <v>5.42602049E-4</v>
      </c>
      <c r="Y31" s="63">
        <v>0.001479460546</v>
      </c>
      <c r="Z31" s="63">
        <v>5.683555212E-4</v>
      </c>
      <c r="AA31" s="63">
        <v>7.707629993E-4</v>
      </c>
      <c r="AB31" s="63">
        <v>0.007850969944</v>
      </c>
      <c r="AC31" s="63">
        <v>0.04533659896</v>
      </c>
      <c r="AD31" s="64">
        <v>0.001250578248</v>
      </c>
      <c r="AE31" s="250">
        <v>7.841953225606806</v>
      </c>
      <c r="AF31" s="251">
        <v>0.0</v>
      </c>
      <c r="AG31" s="251">
        <v>0.1249853774649127</v>
      </c>
      <c r="AH31" s="252">
        <v>3.743880856367821</v>
      </c>
      <c r="AI31" s="251">
        <v>-0.3040584520035439</v>
      </c>
      <c r="AJ31" s="251">
        <v>0.05288816146539875</v>
      </c>
      <c r="AK31" s="164">
        <v>0.0</v>
      </c>
      <c r="AL31" s="253">
        <v>2716276.360358094</v>
      </c>
      <c r="AM31" s="254">
        <v>29605.39222160448</v>
      </c>
      <c r="AN31" s="255">
        <v>76762.7191681192</v>
      </c>
      <c r="AO31" s="256">
        <v>7526.205671279502</v>
      </c>
      <c r="AP31" s="254">
        <v>33012.51234253689</v>
      </c>
      <c r="AQ31" s="257">
        <v>7549.744209818788</v>
      </c>
      <c r="AR31" s="164">
        <v>0.0</v>
      </c>
      <c r="AT31" s="253">
        <v>2870732.933971453</v>
      </c>
      <c r="AV31" s="258">
        <v>11.459649168901395</v>
      </c>
      <c r="AW31" s="259">
        <v>2870744.393620622</v>
      </c>
      <c r="AX31" s="96" t="s">
        <v>71</v>
      </c>
      <c r="AZ31" s="6">
        <f>(1-BB31)</f>
        <v>1</v>
      </c>
      <c r="BA31" s="7">
        <f>(1+BB31)</f>
        <v>1</v>
      </c>
      <c r="BB31" s="12">
        <v>0.0</v>
      </c>
      <c r="BC31" s="9"/>
      <c r="BD31" s="9"/>
      <c r="BE31" s="9"/>
      <c r="BR31" s="34"/>
      <c r="BS31" s="34"/>
      <c r="BT31" s="3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24"/>
      <c r="DH31" s="24"/>
      <c r="DI31" s="24"/>
      <c r="DJ31" s="24"/>
      <c r="DK31" s="24"/>
      <c r="DL31" s="24"/>
      <c r="DM31" s="24"/>
      <c r="DN31" s="24"/>
      <c r="DO31" s="24"/>
      <c r="DP31" s="24"/>
      <c r="DQ31" s="24"/>
      <c r="DR31" s="24"/>
      <c r="DS31" s="24"/>
      <c r="DT31" s="24"/>
      <c r="DU31" s="24"/>
    </row>
    <row r="32">
      <c r="B32" s="17" t="s">
        <v>71</v>
      </c>
      <c r="C32" s="169">
        <v>4.846124597E-4</v>
      </c>
      <c r="D32" s="170">
        <v>0.002096004997</v>
      </c>
      <c r="E32" s="170">
        <v>6.287997182E-4</v>
      </c>
      <c r="F32" s="170">
        <v>0.001761230318</v>
      </c>
      <c r="G32" s="170">
        <v>8.581949526E-4</v>
      </c>
      <c r="H32" s="170">
        <v>5.826186503E-4</v>
      </c>
      <c r="I32" s="170">
        <v>3.760117191E-4</v>
      </c>
      <c r="J32" s="170">
        <v>0.001570656704</v>
      </c>
      <c r="K32" s="170">
        <v>6.703853705E-4</v>
      </c>
      <c r="L32" s="170">
        <v>0.00892275863</v>
      </c>
      <c r="M32" s="170">
        <v>0.02547062674</v>
      </c>
      <c r="N32" s="170">
        <v>5.923028947E-4</v>
      </c>
      <c r="O32" s="170">
        <v>7.442409952E-4</v>
      </c>
      <c r="P32" s="171">
        <v>0.002494874099</v>
      </c>
      <c r="Q32" s="169">
        <v>0.002214868344</v>
      </c>
      <c r="R32" s="170">
        <v>0.005929534641</v>
      </c>
      <c r="S32" s="170">
        <v>0.002568370126</v>
      </c>
      <c r="T32" s="170">
        <v>0.004898568762</v>
      </c>
      <c r="U32" s="170">
        <v>0.002196452773</v>
      </c>
      <c r="V32" s="170">
        <v>0.005289193915</v>
      </c>
      <c r="W32" s="170">
        <v>0.004275054895</v>
      </c>
      <c r="X32" s="170">
        <v>0.005263945279</v>
      </c>
      <c r="Y32" s="170">
        <v>0.005708123558</v>
      </c>
      <c r="Z32" s="170">
        <v>0.01012120054</v>
      </c>
      <c r="AA32" s="170">
        <v>0.01391051791</v>
      </c>
      <c r="AB32" s="170">
        <v>0.00681468535</v>
      </c>
      <c r="AC32" s="170">
        <v>0.00414772913</v>
      </c>
      <c r="AD32" s="171">
        <v>0.009326369149</v>
      </c>
      <c r="AZ32" s="5" t="s">
        <v>77</v>
      </c>
      <c r="BF32" s="24"/>
      <c r="BG32" s="24"/>
    </row>
    <row r="33">
      <c r="AZ33" s="6">
        <f>(1-BB33)</f>
        <v>1</v>
      </c>
      <c r="BA33" s="7">
        <f>(1+BB33)</f>
        <v>1</v>
      </c>
      <c r="BB33" s="12">
        <v>0.0</v>
      </c>
      <c r="BC33" s="9"/>
      <c r="BD33" s="9"/>
      <c r="BE33" s="9"/>
      <c r="BF33" s="24"/>
      <c r="BG33" s="24"/>
    </row>
    <row r="34">
      <c r="B34" s="260" t="s">
        <v>78</v>
      </c>
      <c r="C34" s="261"/>
      <c r="D34" s="261"/>
      <c r="E34" s="261"/>
      <c r="F34" s="261"/>
      <c r="G34" s="261"/>
      <c r="H34" s="261"/>
      <c r="I34" s="261"/>
      <c r="J34" s="261"/>
      <c r="K34" s="261"/>
      <c r="L34" s="261"/>
      <c r="M34" s="261"/>
      <c r="N34" s="261"/>
      <c r="O34" s="261"/>
      <c r="P34" s="261"/>
      <c r="Q34" s="261"/>
      <c r="R34" s="261"/>
      <c r="S34" s="261"/>
      <c r="T34" s="261"/>
      <c r="U34" s="261"/>
      <c r="V34" s="261"/>
      <c r="W34" s="261"/>
      <c r="X34" s="261"/>
      <c r="Y34" s="261"/>
      <c r="Z34" s="261"/>
      <c r="AA34" s="261"/>
      <c r="AB34" s="261"/>
      <c r="AC34" s="261"/>
      <c r="AD34" s="261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5" t="s">
        <v>79</v>
      </c>
      <c r="BF34" s="24"/>
      <c r="BG34" s="24"/>
    </row>
    <row r="35">
      <c r="B35" s="262" t="s">
        <v>44</v>
      </c>
      <c r="C35" s="263" t="s">
        <v>39</v>
      </c>
      <c r="D35" s="264"/>
      <c r="E35" s="264"/>
      <c r="F35" s="264"/>
      <c r="G35" s="264"/>
      <c r="H35" s="264"/>
      <c r="I35" s="264"/>
      <c r="J35" s="264"/>
      <c r="K35" s="264"/>
      <c r="L35" s="264"/>
      <c r="M35" s="264"/>
      <c r="N35" s="264"/>
      <c r="O35" s="264"/>
      <c r="P35" s="265"/>
      <c r="Q35" s="263" t="s">
        <v>40</v>
      </c>
      <c r="R35" s="264"/>
      <c r="S35" s="264"/>
      <c r="T35" s="264"/>
      <c r="U35" s="264"/>
      <c r="V35" s="264"/>
      <c r="W35" s="264"/>
      <c r="X35" s="264"/>
      <c r="Y35" s="264"/>
      <c r="Z35" s="264"/>
      <c r="AA35" s="264"/>
      <c r="AB35" s="264"/>
      <c r="AC35" s="264"/>
      <c r="AD35" s="265"/>
      <c r="AZ35" s="6">
        <f>(1-BB35)</f>
        <v>1</v>
      </c>
      <c r="BA35" s="7">
        <f>(1+BB35)</f>
        <v>1</v>
      </c>
      <c r="BB35" s="12">
        <v>0.0</v>
      </c>
      <c r="BC35" s="9"/>
      <c r="BD35" s="9"/>
      <c r="BE35" s="9"/>
    </row>
    <row r="36">
      <c r="B36" s="266" t="s">
        <v>57</v>
      </c>
      <c r="C36" s="262" t="s">
        <v>58</v>
      </c>
      <c r="D36" s="262" t="s">
        <v>59</v>
      </c>
      <c r="E36" s="262" t="s">
        <v>60</v>
      </c>
      <c r="F36" s="262" t="s">
        <v>61</v>
      </c>
      <c r="G36" s="262" t="s">
        <v>62</v>
      </c>
      <c r="H36" s="262" t="s">
        <v>63</v>
      </c>
      <c r="I36" s="262" t="s">
        <v>64</v>
      </c>
      <c r="J36" s="262" t="s">
        <v>65</v>
      </c>
      <c r="K36" s="262" t="s">
        <v>66</v>
      </c>
      <c r="L36" s="262" t="s">
        <v>67</v>
      </c>
      <c r="M36" s="262" t="s">
        <v>68</v>
      </c>
      <c r="N36" s="262" t="s">
        <v>69</v>
      </c>
      <c r="O36" s="262" t="s">
        <v>70</v>
      </c>
      <c r="P36" s="262" t="s">
        <v>71</v>
      </c>
      <c r="Q36" s="266" t="s">
        <v>58</v>
      </c>
      <c r="R36" s="266" t="s">
        <v>59</v>
      </c>
      <c r="S36" s="266" t="s">
        <v>60</v>
      </c>
      <c r="T36" s="266" t="s">
        <v>61</v>
      </c>
      <c r="U36" s="266" t="s">
        <v>62</v>
      </c>
      <c r="V36" s="266" t="s">
        <v>63</v>
      </c>
      <c r="W36" s="266" t="s">
        <v>64</v>
      </c>
      <c r="X36" s="266" t="s">
        <v>65</v>
      </c>
      <c r="Y36" s="266" t="s">
        <v>66</v>
      </c>
      <c r="Z36" s="266" t="s">
        <v>67</v>
      </c>
      <c r="AA36" s="266" t="s">
        <v>68</v>
      </c>
      <c r="AB36" s="262" t="s">
        <v>69</v>
      </c>
      <c r="AC36" s="267" t="s">
        <v>70</v>
      </c>
      <c r="AD36" s="262" t="s">
        <v>71</v>
      </c>
    </row>
    <row r="37">
      <c r="B37" s="268" t="s">
        <v>80</v>
      </c>
      <c r="C37" s="269">
        <v>394558.3431</v>
      </c>
      <c r="D37" s="269">
        <v>63250.82635</v>
      </c>
      <c r="E37" s="269">
        <v>330103.0601</v>
      </c>
      <c r="F37" s="269">
        <v>56972.8144</v>
      </c>
      <c r="G37" s="269">
        <v>27844.16562</v>
      </c>
      <c r="H37" s="269">
        <v>82218.2544</v>
      </c>
      <c r="I37" s="269">
        <v>193610.1664</v>
      </c>
      <c r="J37" s="269">
        <v>113702.1386</v>
      </c>
      <c r="K37" s="269">
        <v>47362.21929</v>
      </c>
      <c r="L37" s="269">
        <v>171044.0988</v>
      </c>
      <c r="M37" s="269">
        <v>20424.23351</v>
      </c>
      <c r="N37" s="269">
        <v>64930.68619</v>
      </c>
      <c r="O37" s="269">
        <v>5561.473043</v>
      </c>
      <c r="P37" s="269">
        <v>41500.40501</v>
      </c>
      <c r="Q37" s="269">
        <v>187609.6483</v>
      </c>
      <c r="R37" s="269">
        <v>188083.9883</v>
      </c>
      <c r="S37" s="269">
        <v>167107.087</v>
      </c>
      <c r="T37" s="269">
        <v>236455.7291</v>
      </c>
      <c r="U37" s="269">
        <v>95291.31703</v>
      </c>
      <c r="V37" s="269">
        <v>329550.9476</v>
      </c>
      <c r="W37" s="269">
        <v>282355.3204</v>
      </c>
      <c r="X37" s="269">
        <v>211729.3103</v>
      </c>
      <c r="Y37" s="269">
        <v>495115.0082</v>
      </c>
      <c r="Z37" s="269">
        <v>600344.2307</v>
      </c>
      <c r="AA37" s="269">
        <v>30663.0403</v>
      </c>
      <c r="AB37" s="269">
        <v>251346.082</v>
      </c>
      <c r="AC37" s="269">
        <v>99332.73948</v>
      </c>
      <c r="AD37" s="270">
        <v>27924.2879</v>
      </c>
    </row>
    <row r="38">
      <c r="B38" s="271" t="s">
        <v>81</v>
      </c>
      <c r="C38" s="272">
        <v>3592.90067</v>
      </c>
      <c r="D38" s="272">
        <v>271.0133783</v>
      </c>
      <c r="E38" s="272">
        <v>6351.266635</v>
      </c>
      <c r="F38" s="272">
        <v>228.7324932</v>
      </c>
      <c r="G38" s="272">
        <v>87.64695003</v>
      </c>
      <c r="H38" s="272">
        <v>556.9058349</v>
      </c>
      <c r="I38" s="272">
        <v>3643.652517</v>
      </c>
      <c r="J38" s="272">
        <v>322.5196557</v>
      </c>
      <c r="K38" s="272">
        <v>228.9797589</v>
      </c>
      <c r="L38" s="272">
        <v>602.4355739</v>
      </c>
      <c r="M38" s="272">
        <v>69.73906204</v>
      </c>
      <c r="N38" s="272">
        <v>550.8057399</v>
      </c>
      <c r="O38" s="272">
        <v>15.43698154</v>
      </c>
      <c r="P38" s="272">
        <v>425.0564604</v>
      </c>
      <c r="Q38" s="272">
        <v>2284.488884</v>
      </c>
      <c r="R38" s="272">
        <v>846.7020321</v>
      </c>
      <c r="S38" s="272">
        <v>2220.764765</v>
      </c>
      <c r="T38" s="272">
        <v>1405.887466</v>
      </c>
      <c r="U38" s="272">
        <v>456.2868331</v>
      </c>
      <c r="V38" s="272">
        <v>996.5927236</v>
      </c>
      <c r="W38" s="272">
        <v>762.6439572</v>
      </c>
      <c r="X38" s="272">
        <v>529.0193301</v>
      </c>
      <c r="Y38" s="272">
        <v>1307.622637</v>
      </c>
      <c r="Z38" s="272">
        <v>656.4911786</v>
      </c>
      <c r="AA38" s="272">
        <v>259.6293817</v>
      </c>
      <c r="AB38" s="272">
        <v>1530.995943</v>
      </c>
      <c r="AC38" s="272">
        <v>650.3331205</v>
      </c>
      <c r="AD38" s="273">
        <v>507.8566172</v>
      </c>
    </row>
    <row r="39">
      <c r="B39" s="274" t="s">
        <v>82</v>
      </c>
      <c r="C39" s="272">
        <v>0.0</v>
      </c>
      <c r="D39" s="272">
        <v>0.0</v>
      </c>
      <c r="E39" s="272">
        <v>1293606.636</v>
      </c>
      <c r="F39" s="272">
        <v>0.0</v>
      </c>
      <c r="G39" s="272">
        <v>0.0</v>
      </c>
      <c r="H39" s="272">
        <v>465505.4041</v>
      </c>
      <c r="I39" s="272">
        <v>0.0</v>
      </c>
      <c r="J39" s="272">
        <v>0.0</v>
      </c>
      <c r="K39" s="272">
        <v>0.0</v>
      </c>
      <c r="L39" s="272">
        <v>0.0</v>
      </c>
      <c r="M39" s="272">
        <v>0.0</v>
      </c>
      <c r="N39" s="272">
        <v>350543.8462</v>
      </c>
      <c r="O39" s="272">
        <v>0.0</v>
      </c>
      <c r="P39" s="272">
        <v>0.0</v>
      </c>
      <c r="Q39" s="272">
        <v>335866.4472</v>
      </c>
      <c r="R39" s="272">
        <v>0.0</v>
      </c>
      <c r="S39" s="272">
        <v>1393398.376</v>
      </c>
      <c r="T39" s="272">
        <v>0.0</v>
      </c>
      <c r="U39" s="272">
        <v>0.0</v>
      </c>
      <c r="V39" s="272">
        <v>1.007251025E7</v>
      </c>
      <c r="W39" s="272">
        <v>0.0</v>
      </c>
      <c r="X39" s="272">
        <v>0.0</v>
      </c>
      <c r="Y39" s="272">
        <v>0.0</v>
      </c>
      <c r="Z39" s="272">
        <v>0.0</v>
      </c>
      <c r="AA39" s="272">
        <v>0.0</v>
      </c>
      <c r="AB39" s="272">
        <v>2629763.509</v>
      </c>
      <c r="AC39" s="272">
        <v>0.0</v>
      </c>
      <c r="AD39" s="273">
        <v>0.0</v>
      </c>
    </row>
    <row r="40">
      <c r="B40" s="275" t="s">
        <v>83</v>
      </c>
      <c r="C40" s="272">
        <v>4466.124653</v>
      </c>
      <c r="D40" s="272">
        <v>379.2681242</v>
      </c>
      <c r="E40" s="272">
        <v>3904.405604</v>
      </c>
      <c r="F40" s="272">
        <v>302.1398114</v>
      </c>
      <c r="G40" s="272">
        <v>109.3292425</v>
      </c>
      <c r="H40" s="272">
        <v>856.4790955</v>
      </c>
      <c r="I40" s="272">
        <v>1504.105885</v>
      </c>
      <c r="J40" s="272">
        <v>623.7969491</v>
      </c>
      <c r="K40" s="272">
        <v>278.971215</v>
      </c>
      <c r="L40" s="272">
        <v>816.4908865</v>
      </c>
      <c r="M40" s="272">
        <v>154.330084</v>
      </c>
      <c r="N40" s="272">
        <v>694.2823975</v>
      </c>
      <c r="O40" s="272">
        <v>56.99527715</v>
      </c>
      <c r="P40" s="272">
        <v>463.3774766</v>
      </c>
      <c r="Q40" s="272">
        <v>2755.540818</v>
      </c>
      <c r="R40" s="272">
        <v>1181.207714</v>
      </c>
      <c r="S40" s="272">
        <v>2195.529428</v>
      </c>
      <c r="T40" s="272">
        <v>1635.237001</v>
      </c>
      <c r="U40" s="272">
        <v>671.2138335</v>
      </c>
      <c r="V40" s="272">
        <v>1510.514596</v>
      </c>
      <c r="W40" s="272">
        <v>1541.376988</v>
      </c>
      <c r="X40" s="272">
        <v>1044.297689</v>
      </c>
      <c r="Y40" s="272">
        <v>2148.662325</v>
      </c>
      <c r="Z40" s="272">
        <v>3922.425503</v>
      </c>
      <c r="AA40" s="272">
        <v>269.0048971</v>
      </c>
      <c r="AB40" s="272">
        <v>1058.956566</v>
      </c>
      <c r="AC40" s="272">
        <v>440.9153666</v>
      </c>
      <c r="AD40" s="273">
        <v>326.1996627</v>
      </c>
    </row>
    <row r="41">
      <c r="B41" s="276" t="s">
        <v>84</v>
      </c>
      <c r="C41" s="272">
        <v>9102.530791</v>
      </c>
      <c r="D41" s="272">
        <v>1331.411587</v>
      </c>
      <c r="E41" s="272">
        <v>1411.438693</v>
      </c>
      <c r="F41" s="272">
        <v>419.1985741</v>
      </c>
      <c r="G41" s="272">
        <v>602.7455555</v>
      </c>
      <c r="H41" s="272">
        <v>32032.8337</v>
      </c>
      <c r="I41" s="272">
        <v>17434.14845</v>
      </c>
      <c r="J41" s="272">
        <v>465.0823852</v>
      </c>
      <c r="K41" s="272">
        <v>2277.197288</v>
      </c>
      <c r="L41" s="272">
        <v>0.0</v>
      </c>
      <c r="M41" s="272">
        <v>0.0</v>
      </c>
      <c r="N41" s="272">
        <v>18892.61253</v>
      </c>
      <c r="O41" s="272">
        <v>0.0</v>
      </c>
      <c r="P41" s="272">
        <v>0.0</v>
      </c>
      <c r="Q41" s="272">
        <v>5885.454732</v>
      </c>
      <c r="R41" s="272">
        <v>1648.553282</v>
      </c>
      <c r="S41" s="272">
        <v>1174.646058</v>
      </c>
      <c r="T41" s="272">
        <v>216.7334954</v>
      </c>
      <c r="U41" s="272">
        <v>368.5531389</v>
      </c>
      <c r="V41" s="272">
        <v>223842.4569</v>
      </c>
      <c r="W41" s="272">
        <v>13251.13508</v>
      </c>
      <c r="X41" s="272">
        <v>1589.562784</v>
      </c>
      <c r="Y41" s="272">
        <v>917.5601985</v>
      </c>
      <c r="Z41" s="272">
        <v>0.0</v>
      </c>
      <c r="AA41" s="272">
        <v>0.0</v>
      </c>
      <c r="AB41" s="272">
        <v>40252.43737</v>
      </c>
      <c r="AC41" s="272">
        <v>0.0</v>
      </c>
      <c r="AD41" s="273">
        <v>0.0</v>
      </c>
    </row>
    <row r="42">
      <c r="B42" s="277" t="s">
        <v>85</v>
      </c>
      <c r="C42" s="278">
        <v>411719.8992</v>
      </c>
      <c r="D42" s="278">
        <v>65232.51943</v>
      </c>
      <c r="E42" s="278">
        <v>1635376.807</v>
      </c>
      <c r="F42" s="278">
        <v>57922.88528</v>
      </c>
      <c r="G42" s="278">
        <v>28643.88736</v>
      </c>
      <c r="H42" s="278">
        <v>581169.8771</v>
      </c>
      <c r="I42" s="278">
        <v>216192.0732</v>
      </c>
      <c r="J42" s="278">
        <v>115113.5376</v>
      </c>
      <c r="K42" s="278">
        <v>50147.36755</v>
      </c>
      <c r="L42" s="278">
        <v>172463.0253</v>
      </c>
      <c r="M42" s="278">
        <v>20648.30266</v>
      </c>
      <c r="N42" s="278">
        <v>435612.233</v>
      </c>
      <c r="O42" s="278">
        <v>5633.905301</v>
      </c>
      <c r="P42" s="278">
        <v>42388.83895</v>
      </c>
      <c r="Q42" s="278">
        <v>534401.58</v>
      </c>
      <c r="R42" s="278">
        <v>191760.4514</v>
      </c>
      <c r="S42" s="278">
        <v>1566096.403</v>
      </c>
      <c r="T42" s="278">
        <v>239713.5871</v>
      </c>
      <c r="U42" s="278">
        <v>96787.37084</v>
      </c>
      <c r="V42" s="278">
        <v>1.062841076E7</v>
      </c>
      <c r="W42" s="278">
        <v>297910.4765</v>
      </c>
      <c r="X42" s="278">
        <v>214892.1901</v>
      </c>
      <c r="Y42" s="278">
        <v>499488.8533</v>
      </c>
      <c r="Z42" s="278">
        <v>604923.1474</v>
      </c>
      <c r="AA42" s="278">
        <v>31191.67458</v>
      </c>
      <c r="AB42" s="278">
        <v>2923951.981</v>
      </c>
      <c r="AC42" s="278">
        <v>100423.988</v>
      </c>
      <c r="AD42" s="279">
        <v>28758.34418</v>
      </c>
    </row>
    <row r="43">
      <c r="B43" s="280" t="s">
        <v>44</v>
      </c>
      <c r="C43" s="263" t="s">
        <v>39</v>
      </c>
      <c r="D43" s="264"/>
      <c r="E43" s="264"/>
      <c r="F43" s="264"/>
      <c r="G43" s="264"/>
      <c r="H43" s="264"/>
      <c r="I43" s="264"/>
      <c r="J43" s="264"/>
      <c r="K43" s="264"/>
      <c r="L43" s="264"/>
      <c r="M43" s="264"/>
      <c r="N43" s="264"/>
      <c r="O43" s="264"/>
      <c r="P43" s="265"/>
      <c r="Q43" s="263" t="s">
        <v>40</v>
      </c>
      <c r="R43" s="264"/>
      <c r="S43" s="264"/>
      <c r="T43" s="264"/>
      <c r="U43" s="264"/>
      <c r="V43" s="264"/>
      <c r="W43" s="264"/>
      <c r="X43" s="264"/>
      <c r="Y43" s="264"/>
      <c r="Z43" s="264"/>
      <c r="AA43" s="264"/>
      <c r="AB43" s="264"/>
      <c r="AC43" s="264"/>
      <c r="AD43" s="265"/>
      <c r="AM43" s="281"/>
      <c r="AN43" s="281"/>
      <c r="AO43" s="281"/>
      <c r="AP43" s="281"/>
      <c r="AQ43" s="281"/>
      <c r="AR43" s="281"/>
      <c r="AS43" s="281"/>
      <c r="AT43" s="281"/>
      <c r="AU43" s="281"/>
      <c r="AV43" s="281"/>
      <c r="AW43" s="281"/>
      <c r="AX43" s="281"/>
      <c r="AY43" s="281"/>
      <c r="AZ43" s="281"/>
      <c r="BA43" s="281"/>
      <c r="BB43" s="281"/>
      <c r="BC43" s="281"/>
      <c r="BD43" s="281"/>
      <c r="BE43" s="281"/>
      <c r="BF43" s="281"/>
      <c r="BG43" s="281"/>
    </row>
    <row r="44">
      <c r="B44" s="266" t="s">
        <v>57</v>
      </c>
      <c r="C44" s="262" t="s">
        <v>58</v>
      </c>
      <c r="D44" s="262" t="s">
        <v>59</v>
      </c>
      <c r="E44" s="262" t="s">
        <v>60</v>
      </c>
      <c r="F44" s="262" t="s">
        <v>61</v>
      </c>
      <c r="G44" s="262" t="s">
        <v>62</v>
      </c>
      <c r="H44" s="262" t="s">
        <v>63</v>
      </c>
      <c r="I44" s="262" t="s">
        <v>64</v>
      </c>
      <c r="J44" s="262" t="s">
        <v>65</v>
      </c>
      <c r="K44" s="262" t="s">
        <v>66</v>
      </c>
      <c r="L44" s="262" t="s">
        <v>67</v>
      </c>
      <c r="M44" s="262" t="s">
        <v>68</v>
      </c>
      <c r="N44" s="262" t="s">
        <v>69</v>
      </c>
      <c r="O44" s="262" t="s">
        <v>70</v>
      </c>
      <c r="P44" s="262" t="s">
        <v>71</v>
      </c>
      <c r="Q44" s="266" t="s">
        <v>58</v>
      </c>
      <c r="R44" s="266" t="s">
        <v>59</v>
      </c>
      <c r="S44" s="266" t="s">
        <v>60</v>
      </c>
      <c r="T44" s="266" t="s">
        <v>61</v>
      </c>
      <c r="U44" s="266" t="s">
        <v>62</v>
      </c>
      <c r="V44" s="266" t="s">
        <v>63</v>
      </c>
      <c r="W44" s="266" t="s">
        <v>64</v>
      </c>
      <c r="X44" s="266" t="s">
        <v>65</v>
      </c>
      <c r="Y44" s="266" t="s">
        <v>66</v>
      </c>
      <c r="Z44" s="266" t="s">
        <v>67</v>
      </c>
      <c r="AA44" s="266" t="s">
        <v>68</v>
      </c>
      <c r="AB44" s="262" t="s">
        <v>69</v>
      </c>
      <c r="AC44" s="267" t="s">
        <v>70</v>
      </c>
      <c r="AD44" s="262" t="s">
        <v>71</v>
      </c>
      <c r="AM44" s="281"/>
      <c r="AN44" s="281"/>
      <c r="AO44" s="281"/>
      <c r="AP44" s="281"/>
      <c r="AQ44" s="281"/>
      <c r="AR44" s="281"/>
      <c r="AS44" s="281"/>
      <c r="AT44" s="281"/>
      <c r="AU44" s="281"/>
      <c r="AV44" s="281"/>
      <c r="AW44" s="281"/>
      <c r="AX44" s="281"/>
      <c r="AY44" s="281"/>
      <c r="AZ44" s="281"/>
      <c r="BA44" s="281"/>
      <c r="BB44" s="281"/>
      <c r="BC44" s="281"/>
      <c r="BD44" s="281"/>
      <c r="BE44" s="281"/>
      <c r="BF44" s="281"/>
      <c r="BG44" s="281"/>
    </row>
    <row r="45">
      <c r="B45" s="282" t="s">
        <v>86</v>
      </c>
      <c r="C45" s="269">
        <v>2.421279035</v>
      </c>
      <c r="D45" s="269">
        <v>0.0</v>
      </c>
      <c r="E45" s="269">
        <v>0.0</v>
      </c>
      <c r="F45" s="269">
        <v>0.0</v>
      </c>
      <c r="G45" s="269">
        <v>0.0</v>
      </c>
      <c r="H45" s="269">
        <v>0.0</v>
      </c>
      <c r="I45" s="269">
        <v>0.0</v>
      </c>
      <c r="J45" s="269">
        <v>0.0</v>
      </c>
      <c r="K45" s="269">
        <v>0.0</v>
      </c>
      <c r="L45" s="269">
        <v>0.0</v>
      </c>
      <c r="M45" s="269">
        <v>0.0</v>
      </c>
      <c r="N45" s="269">
        <v>0.0</v>
      </c>
      <c r="O45" s="269">
        <v>0.0</v>
      </c>
      <c r="P45" s="269">
        <v>0.0</v>
      </c>
      <c r="Q45" s="269">
        <v>2.61865566</v>
      </c>
      <c r="R45" s="269">
        <v>0.0</v>
      </c>
      <c r="S45" s="269">
        <v>0.0</v>
      </c>
      <c r="T45" s="269">
        <v>0.0</v>
      </c>
      <c r="U45" s="269">
        <v>0.0</v>
      </c>
      <c r="V45" s="269">
        <v>0.0</v>
      </c>
      <c r="W45" s="269">
        <v>0.0</v>
      </c>
      <c r="X45" s="269">
        <v>0.0</v>
      </c>
      <c r="Y45" s="269">
        <v>0.0</v>
      </c>
      <c r="Z45" s="269">
        <v>0.0</v>
      </c>
      <c r="AA45" s="269">
        <v>0.0</v>
      </c>
      <c r="AB45" s="269">
        <v>0.0</v>
      </c>
      <c r="AC45" s="269">
        <v>0.0</v>
      </c>
      <c r="AD45" s="269">
        <v>0.0</v>
      </c>
      <c r="AM45" s="281"/>
      <c r="AN45" s="281"/>
      <c r="AO45" s="281"/>
      <c r="AP45" s="281"/>
      <c r="AQ45" s="281"/>
      <c r="AR45" s="281"/>
      <c r="AS45" s="281"/>
      <c r="AT45" s="281"/>
      <c r="AU45" s="281"/>
      <c r="AV45" s="281"/>
      <c r="AW45" s="281"/>
      <c r="AX45" s="281"/>
      <c r="AY45" s="281"/>
      <c r="AZ45" s="281"/>
      <c r="BA45" s="281"/>
      <c r="BB45" s="281"/>
      <c r="BC45" s="281"/>
      <c r="BD45" s="281"/>
      <c r="BE45" s="281"/>
      <c r="BF45" s="281"/>
      <c r="BG45" s="281"/>
    </row>
    <row r="46">
      <c r="B46" s="283" t="s">
        <v>87</v>
      </c>
      <c r="C46" s="272">
        <v>0.0</v>
      </c>
      <c r="D46" s="272">
        <v>0.0</v>
      </c>
      <c r="E46" s="272">
        <v>3.701035907</v>
      </c>
      <c r="F46" s="272">
        <v>0.0</v>
      </c>
      <c r="G46" s="272">
        <v>0.0</v>
      </c>
      <c r="H46" s="272">
        <v>0.0</v>
      </c>
      <c r="I46" s="272">
        <v>0.0</v>
      </c>
      <c r="J46" s="272">
        <v>0.0</v>
      </c>
      <c r="K46" s="272">
        <v>0.0</v>
      </c>
      <c r="L46" s="272">
        <v>0.0</v>
      </c>
      <c r="M46" s="272">
        <v>0.0</v>
      </c>
      <c r="N46" s="272">
        <v>0.0</v>
      </c>
      <c r="O46" s="272">
        <v>0.0</v>
      </c>
      <c r="P46" s="272">
        <v>0.0</v>
      </c>
      <c r="Q46" s="272">
        <v>0.0</v>
      </c>
      <c r="R46" s="272">
        <v>0.0</v>
      </c>
      <c r="S46" s="272">
        <v>6.597752347</v>
      </c>
      <c r="T46" s="272">
        <v>0.0</v>
      </c>
      <c r="U46" s="272">
        <v>0.0</v>
      </c>
      <c r="V46" s="272">
        <v>0.0</v>
      </c>
      <c r="W46" s="272">
        <v>0.0</v>
      </c>
      <c r="X46" s="272">
        <v>0.0</v>
      </c>
      <c r="Y46" s="272">
        <v>0.0</v>
      </c>
      <c r="Z46" s="272">
        <v>0.0</v>
      </c>
      <c r="AA46" s="272">
        <v>0.0</v>
      </c>
      <c r="AB46" s="272">
        <v>0.0</v>
      </c>
      <c r="AC46" s="272">
        <v>0.0</v>
      </c>
      <c r="AD46" s="272">
        <v>0.0</v>
      </c>
      <c r="AM46" s="281"/>
      <c r="AN46" s="281"/>
      <c r="AO46" s="281"/>
      <c r="AP46" s="281"/>
      <c r="AQ46" s="281"/>
      <c r="AR46" s="281"/>
      <c r="AS46" s="281"/>
      <c r="AT46" s="281"/>
      <c r="AU46" s="281"/>
      <c r="AV46" s="281"/>
      <c r="AW46" s="281"/>
      <c r="AX46" s="281"/>
      <c r="AY46" s="281"/>
      <c r="AZ46" s="281"/>
      <c r="BA46" s="281"/>
      <c r="BB46" s="281"/>
      <c r="BC46" s="281"/>
      <c r="BD46" s="281"/>
      <c r="BE46" s="281"/>
      <c r="BF46" s="281"/>
      <c r="BG46" s="281"/>
    </row>
    <row r="47">
      <c r="B47" s="283" t="s">
        <v>88</v>
      </c>
      <c r="C47" s="272">
        <v>0.0</v>
      </c>
      <c r="D47" s="272">
        <v>0.0</v>
      </c>
      <c r="E47" s="272">
        <v>0.0</v>
      </c>
      <c r="F47" s="272">
        <v>0.0</v>
      </c>
      <c r="G47" s="272">
        <v>0.0</v>
      </c>
      <c r="H47" s="272">
        <v>0.0</v>
      </c>
      <c r="I47" s="272">
        <v>1.478224374</v>
      </c>
      <c r="J47" s="272">
        <v>0.0</v>
      </c>
      <c r="K47" s="272">
        <v>0.0</v>
      </c>
      <c r="L47" s="272">
        <v>0.0</v>
      </c>
      <c r="M47" s="272">
        <v>0.0</v>
      </c>
      <c r="N47" s="272">
        <v>0.0</v>
      </c>
      <c r="O47" s="272">
        <v>0.0</v>
      </c>
      <c r="P47" s="272">
        <v>0.0</v>
      </c>
      <c r="Q47" s="272">
        <v>0.0</v>
      </c>
      <c r="R47" s="272">
        <v>0.0</v>
      </c>
      <c r="S47" s="272">
        <v>0.0</v>
      </c>
      <c r="T47" s="272">
        <v>0.0</v>
      </c>
      <c r="U47" s="272">
        <v>0.0</v>
      </c>
      <c r="V47" s="272">
        <v>0.0</v>
      </c>
      <c r="W47" s="272">
        <v>0.5509743587</v>
      </c>
      <c r="X47" s="272">
        <v>0.0</v>
      </c>
      <c r="Y47" s="272">
        <v>0.0</v>
      </c>
      <c r="Z47" s="272">
        <v>0.0</v>
      </c>
      <c r="AA47" s="272">
        <v>0.0</v>
      </c>
      <c r="AB47" s="272">
        <v>0.0</v>
      </c>
      <c r="AC47" s="272">
        <v>0.0</v>
      </c>
      <c r="AD47" s="272">
        <v>0.0</v>
      </c>
      <c r="AM47" s="281"/>
      <c r="AN47" s="281"/>
      <c r="AO47" s="281"/>
      <c r="AP47" s="281"/>
      <c r="AQ47" s="281"/>
      <c r="AR47" s="281"/>
      <c r="AS47" s="281"/>
      <c r="AT47" s="281"/>
      <c r="AU47" s="281"/>
      <c r="AV47" s="281"/>
      <c r="AW47" s="281"/>
      <c r="AX47" s="281"/>
      <c r="AY47" s="281"/>
      <c r="AZ47" s="281"/>
      <c r="BA47" s="281"/>
      <c r="BB47" s="281"/>
      <c r="BC47" s="281"/>
      <c r="BD47" s="281"/>
      <c r="BE47" s="281"/>
      <c r="BF47" s="281"/>
      <c r="BG47" s="281"/>
    </row>
    <row r="48">
      <c r="B48" s="283" t="s">
        <v>89</v>
      </c>
      <c r="C48" s="272">
        <v>0.0</v>
      </c>
      <c r="D48" s="272">
        <v>0.0</v>
      </c>
      <c r="E48" s="272">
        <v>8.124795517E-5</v>
      </c>
      <c r="F48" s="272">
        <v>0.0</v>
      </c>
      <c r="G48" s="272">
        <v>0.0</v>
      </c>
      <c r="H48" s="272">
        <v>0.0</v>
      </c>
      <c r="I48" s="272">
        <v>0.0</v>
      </c>
      <c r="J48" s="272">
        <v>0.0</v>
      </c>
      <c r="K48" s="272">
        <v>0.0</v>
      </c>
      <c r="L48" s="272">
        <v>0.0</v>
      </c>
      <c r="M48" s="272">
        <v>0.0</v>
      </c>
      <c r="N48" s="272">
        <v>0.0</v>
      </c>
      <c r="O48" s="272">
        <v>0.0</v>
      </c>
      <c r="P48" s="272">
        <v>0.0</v>
      </c>
      <c r="Q48" s="272">
        <v>0.0</v>
      </c>
      <c r="R48" s="272">
        <v>0.0</v>
      </c>
      <c r="S48" s="272">
        <v>0.0346224016</v>
      </c>
      <c r="T48" s="272">
        <v>0.0</v>
      </c>
      <c r="U48" s="272">
        <v>0.0</v>
      </c>
      <c r="V48" s="272">
        <v>0.0</v>
      </c>
      <c r="W48" s="272">
        <v>0.0</v>
      </c>
      <c r="X48" s="272">
        <v>0.0</v>
      </c>
      <c r="Y48" s="272">
        <v>0.0</v>
      </c>
      <c r="Z48" s="272">
        <v>0.0</v>
      </c>
      <c r="AA48" s="272">
        <v>0.0</v>
      </c>
      <c r="AB48" s="272">
        <v>0.0</v>
      </c>
      <c r="AC48" s="272">
        <v>0.0</v>
      </c>
      <c r="AD48" s="272">
        <v>0.0</v>
      </c>
      <c r="AM48" s="281"/>
      <c r="AN48" s="281"/>
      <c r="AO48" s="281"/>
      <c r="AP48" s="281"/>
      <c r="AQ48" s="281"/>
      <c r="AR48" s="281"/>
      <c r="AS48" s="281"/>
      <c r="AT48" s="281"/>
      <c r="AU48" s="281"/>
      <c r="AV48" s="281"/>
      <c r="AW48" s="281"/>
      <c r="AX48" s="281"/>
      <c r="AY48" s="281"/>
      <c r="AZ48" s="281"/>
      <c r="BA48" s="281"/>
      <c r="BB48" s="281"/>
      <c r="BC48" s="281"/>
      <c r="BD48" s="281"/>
      <c r="BE48" s="281"/>
      <c r="BF48" s="281"/>
      <c r="BG48" s="281"/>
    </row>
    <row r="49">
      <c r="B49" s="283" t="s">
        <v>90</v>
      </c>
      <c r="C49" s="272">
        <v>0.0</v>
      </c>
      <c r="D49" s="272">
        <v>0.0</v>
      </c>
      <c r="E49" s="272">
        <v>0.0</v>
      </c>
      <c r="F49" s="272">
        <v>0.0</v>
      </c>
      <c r="G49" s="272">
        <v>0.0</v>
      </c>
      <c r="H49" s="272">
        <v>0.0</v>
      </c>
      <c r="I49" s="272">
        <v>0.1859097977</v>
      </c>
      <c r="J49" s="272">
        <v>0.0</v>
      </c>
      <c r="K49" s="272">
        <v>0.0</v>
      </c>
      <c r="L49" s="272">
        <v>0.0</v>
      </c>
      <c r="M49" s="272">
        <v>0.0</v>
      </c>
      <c r="N49" s="272">
        <v>0.0</v>
      </c>
      <c r="O49" s="272">
        <v>0.0</v>
      </c>
      <c r="P49" s="272">
        <v>0.0</v>
      </c>
      <c r="Q49" s="272">
        <v>0.0</v>
      </c>
      <c r="R49" s="272">
        <v>0.0</v>
      </c>
      <c r="S49" s="272">
        <v>0.0</v>
      </c>
      <c r="T49" s="272">
        <v>0.0</v>
      </c>
      <c r="U49" s="272">
        <v>0.0</v>
      </c>
      <c r="V49" s="272">
        <v>0.0</v>
      </c>
      <c r="W49" s="272">
        <v>3.560443812</v>
      </c>
      <c r="X49" s="272">
        <v>0.0</v>
      </c>
      <c r="Y49" s="272">
        <v>0.0</v>
      </c>
      <c r="Z49" s="272">
        <v>0.0</v>
      </c>
      <c r="AA49" s="272">
        <v>0.0</v>
      </c>
      <c r="AB49" s="272">
        <v>0.0</v>
      </c>
      <c r="AC49" s="272">
        <v>0.0</v>
      </c>
      <c r="AD49" s="272">
        <v>0.0</v>
      </c>
      <c r="AM49" s="281"/>
      <c r="AN49" s="281"/>
      <c r="AO49" s="281"/>
      <c r="AP49" s="281"/>
      <c r="AQ49" s="281"/>
      <c r="AR49" s="281"/>
      <c r="AS49" s="281"/>
      <c r="AT49" s="281"/>
      <c r="AU49" s="281"/>
      <c r="AV49" s="281"/>
      <c r="AW49" s="281"/>
      <c r="AX49" s="281"/>
      <c r="AY49" s="281"/>
      <c r="AZ49" s="281"/>
      <c r="BA49" s="281"/>
      <c r="BB49" s="281"/>
      <c r="BC49" s="281"/>
      <c r="BD49" s="281"/>
      <c r="BE49" s="281"/>
      <c r="BF49" s="281"/>
      <c r="BG49" s="281"/>
    </row>
    <row r="50">
      <c r="B50" s="283" t="s">
        <v>91</v>
      </c>
      <c r="C50" s="272">
        <v>0.0</v>
      </c>
      <c r="D50" s="272">
        <v>0.0</v>
      </c>
      <c r="E50" s="272">
        <v>0.0</v>
      </c>
      <c r="F50" s="272">
        <v>0.0</v>
      </c>
      <c r="G50" s="272">
        <v>0.0</v>
      </c>
      <c r="H50" s="272">
        <v>0.0</v>
      </c>
      <c r="I50" s="272">
        <v>0.9711417078</v>
      </c>
      <c r="J50" s="272">
        <v>0.0</v>
      </c>
      <c r="K50" s="272">
        <v>0.0</v>
      </c>
      <c r="L50" s="272">
        <v>0.0</v>
      </c>
      <c r="M50" s="272">
        <v>0.0</v>
      </c>
      <c r="N50" s="272">
        <v>0.0</v>
      </c>
      <c r="O50" s="272">
        <v>0.0</v>
      </c>
      <c r="P50" s="272">
        <v>0.0</v>
      </c>
      <c r="Q50" s="272">
        <v>0.0</v>
      </c>
      <c r="R50" s="272">
        <v>0.0</v>
      </c>
      <c r="S50" s="272">
        <v>0.0</v>
      </c>
      <c r="T50" s="272">
        <v>0.0</v>
      </c>
      <c r="U50" s="272">
        <v>0.0</v>
      </c>
      <c r="V50" s="272">
        <v>0.0</v>
      </c>
      <c r="W50" s="272">
        <v>2.129875851</v>
      </c>
      <c r="X50" s="272">
        <v>0.0</v>
      </c>
      <c r="Y50" s="272">
        <v>0.0</v>
      </c>
      <c r="Z50" s="272">
        <v>0.0</v>
      </c>
      <c r="AA50" s="272">
        <v>0.0</v>
      </c>
      <c r="AB50" s="272">
        <v>0.0</v>
      </c>
      <c r="AC50" s="272">
        <v>0.0</v>
      </c>
      <c r="AD50" s="272">
        <v>0.0</v>
      </c>
    </row>
    <row r="51">
      <c r="B51" s="283" t="s">
        <v>92</v>
      </c>
      <c r="C51" s="272">
        <v>0.0</v>
      </c>
      <c r="D51" s="272">
        <v>0.0</v>
      </c>
      <c r="E51" s="272">
        <v>0.0</v>
      </c>
      <c r="F51" s="272">
        <v>0.0</v>
      </c>
      <c r="G51" s="272">
        <v>0.0</v>
      </c>
      <c r="H51" s="272">
        <v>0.0</v>
      </c>
      <c r="I51" s="272">
        <v>11.32478843</v>
      </c>
      <c r="J51" s="272">
        <v>0.0</v>
      </c>
      <c r="K51" s="272">
        <v>0.0</v>
      </c>
      <c r="L51" s="272">
        <v>0.0</v>
      </c>
      <c r="M51" s="272">
        <v>0.0</v>
      </c>
      <c r="N51" s="272">
        <v>0.0</v>
      </c>
      <c r="O51" s="272">
        <v>0.0</v>
      </c>
      <c r="P51" s="272">
        <v>0.0</v>
      </c>
      <c r="Q51" s="272">
        <v>0.0</v>
      </c>
      <c r="R51" s="272">
        <v>0.0</v>
      </c>
      <c r="S51" s="272">
        <v>0.0</v>
      </c>
      <c r="T51" s="272">
        <v>0.0</v>
      </c>
      <c r="U51" s="272">
        <v>0.0</v>
      </c>
      <c r="V51" s="272">
        <v>0.0</v>
      </c>
      <c r="W51" s="272">
        <v>9.712320684</v>
      </c>
      <c r="X51" s="272">
        <v>0.0</v>
      </c>
      <c r="Y51" s="272">
        <v>0.0</v>
      </c>
      <c r="Z51" s="272">
        <v>0.0</v>
      </c>
      <c r="AA51" s="272">
        <v>0.0</v>
      </c>
      <c r="AB51" s="272">
        <v>0.0</v>
      </c>
      <c r="AC51" s="272">
        <v>0.0</v>
      </c>
      <c r="AD51" s="272">
        <v>0.0</v>
      </c>
      <c r="AM51" s="281"/>
      <c r="AN51" s="281"/>
      <c r="AO51" s="281"/>
      <c r="AP51" s="281"/>
      <c r="AQ51" s="281"/>
      <c r="AR51" s="281"/>
      <c r="AS51" s="281"/>
      <c r="AT51" s="281"/>
      <c r="AU51" s="281"/>
      <c r="AV51" s="281"/>
      <c r="AW51" s="281"/>
      <c r="AX51" s="281"/>
      <c r="AY51" s="281"/>
      <c r="AZ51" s="281"/>
      <c r="BA51" s="281"/>
      <c r="BB51" s="281"/>
      <c r="BC51" s="281"/>
      <c r="BD51" s="281"/>
      <c r="BE51" s="281"/>
      <c r="BF51" s="281"/>
      <c r="BG51" s="281"/>
      <c r="BH51" s="281"/>
      <c r="BI51" s="281"/>
      <c r="BJ51" s="281"/>
      <c r="BK51" s="281"/>
      <c r="BL51" s="281"/>
      <c r="BM51" s="281"/>
      <c r="BN51" s="281"/>
      <c r="BO51" s="281"/>
      <c r="BP51" s="281"/>
      <c r="BQ51" s="281"/>
      <c r="BR51" s="281"/>
      <c r="BS51" s="281"/>
      <c r="BT51" s="281"/>
      <c r="BU51" s="281"/>
      <c r="BV51" s="281"/>
      <c r="BW51" s="281"/>
      <c r="BX51" s="281"/>
      <c r="BY51" s="281"/>
      <c r="BZ51" s="281"/>
      <c r="CA51" s="281"/>
      <c r="CB51" s="281"/>
      <c r="CC51" s="281"/>
      <c r="CD51" s="281"/>
      <c r="CE51" s="281"/>
      <c r="CF51" s="281"/>
      <c r="CG51" s="281"/>
      <c r="CH51" s="281"/>
      <c r="CI51" s="281"/>
      <c r="CJ51" s="281"/>
      <c r="CK51" s="281"/>
      <c r="CL51" s="281"/>
      <c r="CM51" s="281"/>
      <c r="CN51" s="281"/>
      <c r="CO51" s="281"/>
      <c r="CP51" s="281"/>
      <c r="CQ51" s="281"/>
      <c r="CR51" s="281"/>
      <c r="CS51" s="281"/>
      <c r="CT51" s="281"/>
      <c r="CU51" s="281"/>
      <c r="CV51" s="281"/>
      <c r="CW51" s="281"/>
      <c r="CX51" s="281"/>
      <c r="CY51" s="281"/>
      <c r="CZ51" s="281"/>
      <c r="DA51" s="281"/>
      <c r="DB51" s="281"/>
      <c r="DC51" s="281"/>
      <c r="DD51" s="281"/>
      <c r="DE51" s="281"/>
      <c r="DF51" s="281"/>
      <c r="DG51" s="281"/>
      <c r="DH51" s="281"/>
      <c r="DI51" s="281"/>
      <c r="DJ51" s="281"/>
      <c r="DK51" s="281"/>
      <c r="DL51" s="281"/>
      <c r="DM51" s="281"/>
      <c r="DN51" s="281"/>
      <c r="DO51" s="281"/>
      <c r="DP51" s="281"/>
      <c r="DQ51" s="281"/>
      <c r="DR51" s="281"/>
      <c r="DS51" s="281"/>
      <c r="DT51" s="281"/>
      <c r="DU51" s="281"/>
    </row>
    <row r="52">
      <c r="B52" s="277" t="s">
        <v>93</v>
      </c>
      <c r="C52" s="278">
        <v>2.421279035</v>
      </c>
      <c r="D52" s="278">
        <v>0.0</v>
      </c>
      <c r="E52" s="278">
        <v>3.701117155</v>
      </c>
      <c r="F52" s="278">
        <v>0.0</v>
      </c>
      <c r="G52" s="278">
        <v>0.0</v>
      </c>
      <c r="H52" s="278">
        <v>0.0</v>
      </c>
      <c r="I52" s="278">
        <v>13.96006431</v>
      </c>
      <c r="J52" s="278">
        <v>0.0</v>
      </c>
      <c r="K52" s="278">
        <v>0.0</v>
      </c>
      <c r="L52" s="278">
        <v>0.0</v>
      </c>
      <c r="M52" s="278">
        <v>0.0</v>
      </c>
      <c r="N52" s="278">
        <v>0.0</v>
      </c>
      <c r="O52" s="278">
        <v>0.0</v>
      </c>
      <c r="P52" s="278">
        <v>0.0</v>
      </c>
      <c r="Q52" s="278">
        <v>2.61865566</v>
      </c>
      <c r="R52" s="278">
        <v>0.0</v>
      </c>
      <c r="S52" s="278">
        <v>6.632374748</v>
      </c>
      <c r="T52" s="278">
        <v>0.0</v>
      </c>
      <c r="U52" s="278">
        <v>0.0</v>
      </c>
      <c r="V52" s="278">
        <v>0.0</v>
      </c>
      <c r="W52" s="278">
        <v>15.95361471</v>
      </c>
      <c r="X52" s="278">
        <v>0.0</v>
      </c>
      <c r="Y52" s="278">
        <v>0.0</v>
      </c>
      <c r="Z52" s="278">
        <v>0.0</v>
      </c>
      <c r="AA52" s="278">
        <v>0.0</v>
      </c>
      <c r="AB52" s="278">
        <v>0.0</v>
      </c>
      <c r="AC52" s="278">
        <v>0.0</v>
      </c>
      <c r="AD52" s="278">
        <v>0.0</v>
      </c>
      <c r="AM52" s="281"/>
      <c r="AN52" s="281"/>
      <c r="AO52" s="281"/>
      <c r="AP52" s="281"/>
      <c r="AQ52" s="281"/>
      <c r="AR52" s="281"/>
      <c r="AS52" s="281"/>
      <c r="AT52" s="281"/>
      <c r="AU52" s="281"/>
      <c r="AV52" s="281"/>
      <c r="AW52" s="281"/>
      <c r="AX52" s="281"/>
      <c r="AY52" s="281"/>
      <c r="AZ52" s="281"/>
      <c r="BA52" s="281"/>
      <c r="BB52" s="281"/>
      <c r="BC52" s="281"/>
      <c r="BD52" s="281"/>
      <c r="BE52" s="281"/>
      <c r="BF52" s="281"/>
      <c r="BG52" s="281"/>
      <c r="BH52" s="281"/>
      <c r="BI52" s="281"/>
      <c r="BJ52" s="281"/>
      <c r="BK52" s="281"/>
      <c r="BL52" s="281"/>
      <c r="BM52" s="281"/>
      <c r="BN52" s="281"/>
      <c r="BO52" s="281"/>
      <c r="BP52" s="281"/>
      <c r="BQ52" s="281"/>
      <c r="BR52" s="281"/>
      <c r="BS52" s="281"/>
      <c r="BT52" s="281"/>
      <c r="BU52" s="281"/>
      <c r="BV52" s="281"/>
      <c r="BW52" s="281"/>
      <c r="BX52" s="281"/>
      <c r="BY52" s="281"/>
      <c r="BZ52" s="281"/>
      <c r="CA52" s="281"/>
      <c r="CB52" s="281"/>
      <c r="CC52" s="281"/>
      <c r="CD52" s="281"/>
      <c r="CE52" s="281"/>
      <c r="CF52" s="281"/>
      <c r="CG52" s="281"/>
      <c r="CH52" s="281"/>
      <c r="CI52" s="281"/>
      <c r="CJ52" s="281"/>
      <c r="CK52" s="281"/>
      <c r="CL52" s="281"/>
      <c r="CM52" s="281"/>
      <c r="CN52" s="281"/>
      <c r="CO52" s="281"/>
      <c r="CP52" s="281"/>
      <c r="CQ52" s="281"/>
      <c r="CR52" s="281"/>
      <c r="CS52" s="281"/>
      <c r="CT52" s="281"/>
      <c r="CU52" s="281"/>
      <c r="CV52" s="281"/>
      <c r="CW52" s="281"/>
      <c r="CX52" s="281"/>
      <c r="CY52" s="281"/>
      <c r="CZ52" s="281"/>
      <c r="DA52" s="281"/>
      <c r="DB52" s="281"/>
      <c r="DC52" s="281"/>
      <c r="DD52" s="281"/>
      <c r="DE52" s="281"/>
      <c r="DF52" s="281"/>
      <c r="DG52" s="281"/>
      <c r="DH52" s="281"/>
      <c r="DI52" s="281"/>
      <c r="DJ52" s="281"/>
      <c r="DK52" s="281"/>
      <c r="DL52" s="281"/>
      <c r="DM52" s="281"/>
      <c r="DN52" s="281"/>
      <c r="DO52" s="281"/>
      <c r="DP52" s="281"/>
      <c r="DQ52" s="281"/>
      <c r="DR52" s="281"/>
      <c r="DS52" s="281"/>
      <c r="DT52" s="281"/>
      <c r="DU52" s="281"/>
    </row>
    <row r="53">
      <c r="AM53" s="281"/>
      <c r="AN53" s="281"/>
      <c r="AO53" s="281"/>
      <c r="AP53" s="281"/>
      <c r="AQ53" s="281"/>
      <c r="AR53" s="281"/>
      <c r="AS53" s="281"/>
      <c r="AT53" s="281"/>
      <c r="AU53" s="281"/>
      <c r="AV53" s="281"/>
      <c r="AW53" s="281"/>
      <c r="AX53" s="281"/>
      <c r="AY53" s="281"/>
      <c r="AZ53" s="281"/>
      <c r="BA53" s="281"/>
      <c r="BB53" s="281"/>
      <c r="BC53" s="281"/>
      <c r="BD53" s="281"/>
      <c r="BE53" s="281"/>
      <c r="BF53" s="281"/>
      <c r="BG53" s="281"/>
      <c r="BH53" s="281"/>
      <c r="BI53" s="281"/>
      <c r="BJ53" s="281"/>
      <c r="BK53" s="281"/>
      <c r="BL53" s="281"/>
      <c r="BM53" s="281"/>
      <c r="BN53" s="281"/>
      <c r="BO53" s="281"/>
      <c r="BP53" s="281"/>
      <c r="BQ53" s="281"/>
      <c r="BR53" s="281"/>
      <c r="BS53" s="281"/>
      <c r="BT53" s="281"/>
      <c r="BU53" s="281"/>
      <c r="BV53" s="281"/>
      <c r="BW53" s="281"/>
      <c r="BX53" s="281"/>
      <c r="BY53" s="281"/>
      <c r="BZ53" s="281"/>
      <c r="CA53" s="281"/>
      <c r="CB53" s="281"/>
      <c r="CC53" s="281"/>
      <c r="CD53" s="281"/>
      <c r="CE53" s="281"/>
      <c r="CF53" s="281"/>
      <c r="CG53" s="281"/>
      <c r="CH53" s="281"/>
      <c r="CI53" s="281"/>
      <c r="CJ53" s="281"/>
      <c r="CK53" s="281"/>
      <c r="CL53" s="281"/>
      <c r="CM53" s="281"/>
      <c r="CN53" s="281"/>
      <c r="CO53" s="281"/>
      <c r="CP53" s="281"/>
      <c r="CQ53" s="281"/>
      <c r="CR53" s="281"/>
      <c r="CS53" s="281"/>
      <c r="CT53" s="281"/>
      <c r="CU53" s="281"/>
      <c r="CV53" s="281"/>
      <c r="CW53" s="281"/>
      <c r="CX53" s="281"/>
      <c r="CY53" s="281"/>
      <c r="CZ53" s="281"/>
      <c r="DA53" s="281"/>
      <c r="DB53" s="281"/>
      <c r="DC53" s="281"/>
      <c r="DD53" s="281"/>
      <c r="DE53" s="281"/>
      <c r="DF53" s="281"/>
      <c r="DG53" s="281"/>
      <c r="DH53" s="281"/>
      <c r="DI53" s="281"/>
      <c r="DJ53" s="281"/>
      <c r="DK53" s="281"/>
      <c r="DL53" s="281"/>
      <c r="DM53" s="281"/>
      <c r="DN53" s="281"/>
      <c r="DO53" s="281"/>
      <c r="DP53" s="281"/>
      <c r="DQ53" s="281"/>
      <c r="DR53" s="281"/>
      <c r="DS53" s="281"/>
      <c r="DT53" s="281"/>
      <c r="DU53" s="281"/>
    </row>
    <row r="54">
      <c r="BJ54" s="281"/>
      <c r="BK54" s="281"/>
      <c r="BL54" s="281"/>
      <c r="BM54" s="281"/>
      <c r="BN54" s="281"/>
      <c r="BO54" s="281"/>
      <c r="BP54" s="281"/>
      <c r="BQ54" s="281"/>
      <c r="BR54" s="281"/>
      <c r="BS54" s="281"/>
      <c r="BT54" s="281"/>
      <c r="BU54" s="281"/>
      <c r="BV54" s="281"/>
      <c r="BW54" s="281"/>
      <c r="BX54" s="281"/>
      <c r="BY54" s="281"/>
      <c r="BZ54" s="281"/>
      <c r="CA54" s="281"/>
      <c r="CB54" s="281"/>
      <c r="CC54" s="281"/>
      <c r="CD54" s="281"/>
      <c r="CE54" s="281"/>
      <c r="CF54" s="281"/>
      <c r="CG54" s="281"/>
      <c r="CH54" s="281"/>
      <c r="CI54" s="281"/>
      <c r="CJ54" s="281"/>
      <c r="CK54" s="281"/>
      <c r="CL54" s="281"/>
      <c r="CM54" s="281"/>
      <c r="CN54" s="281"/>
      <c r="CO54" s="281"/>
      <c r="CP54" s="281"/>
      <c r="CQ54" s="281"/>
      <c r="CR54" s="281"/>
      <c r="CS54" s="281"/>
      <c r="CT54" s="281"/>
      <c r="CU54" s="281"/>
      <c r="CV54" s="281"/>
      <c r="CW54" s="281"/>
      <c r="CX54" s="281"/>
      <c r="CY54" s="281"/>
      <c r="CZ54" s="281"/>
      <c r="DA54" s="281"/>
      <c r="DB54" s="281"/>
      <c r="DC54" s="281"/>
      <c r="DD54" s="281"/>
      <c r="DE54" s="281"/>
      <c r="DF54" s="281"/>
      <c r="DG54" s="281"/>
      <c r="DH54" s="281"/>
      <c r="DI54" s="281"/>
      <c r="DJ54" s="281"/>
      <c r="DK54" s="281"/>
      <c r="DL54" s="281"/>
      <c r="DM54" s="281"/>
      <c r="DN54" s="281"/>
      <c r="DO54" s="281"/>
      <c r="DP54" s="281"/>
      <c r="DQ54" s="281"/>
      <c r="DR54" s="281"/>
      <c r="DS54" s="281"/>
      <c r="DT54" s="281"/>
      <c r="DU54" s="281"/>
    </row>
    <row r="55">
      <c r="BJ55" s="281"/>
      <c r="BK55" s="281"/>
      <c r="BL55" s="281"/>
      <c r="BM55" s="281"/>
      <c r="BN55" s="281"/>
      <c r="BO55" s="281"/>
      <c r="BP55" s="281"/>
      <c r="BQ55" s="281"/>
      <c r="BR55" s="281"/>
      <c r="BS55" s="281"/>
      <c r="BT55" s="281"/>
      <c r="BU55" s="281"/>
      <c r="BV55" s="281"/>
      <c r="BW55" s="281"/>
      <c r="BX55" s="281"/>
      <c r="BY55" s="281"/>
      <c r="BZ55" s="281"/>
      <c r="CA55" s="281"/>
      <c r="CB55" s="281"/>
      <c r="CC55" s="281"/>
      <c r="CD55" s="281"/>
      <c r="CE55" s="281"/>
      <c r="CF55" s="281"/>
      <c r="CG55" s="281"/>
      <c r="CH55" s="281"/>
      <c r="CI55" s="281"/>
      <c r="CJ55" s="281"/>
      <c r="CK55" s="281"/>
      <c r="CL55" s="281"/>
      <c r="CM55" s="281"/>
      <c r="CN55" s="281"/>
      <c r="CO55" s="281"/>
      <c r="CP55" s="281"/>
      <c r="CQ55" s="281"/>
      <c r="CR55" s="281"/>
      <c r="CS55" s="281"/>
      <c r="CT55" s="281"/>
      <c r="CU55" s="281"/>
      <c r="CV55" s="281"/>
      <c r="CW55" s="281"/>
      <c r="CX55" s="281"/>
      <c r="CY55" s="281"/>
      <c r="CZ55" s="281"/>
      <c r="DA55" s="281"/>
      <c r="DB55" s="281"/>
      <c r="DC55" s="281"/>
      <c r="DD55" s="281"/>
      <c r="DE55" s="281"/>
      <c r="DF55" s="281"/>
      <c r="DG55" s="281"/>
      <c r="DH55" s="281"/>
      <c r="DI55" s="281"/>
      <c r="DJ55" s="281"/>
      <c r="DK55" s="281"/>
      <c r="DL55" s="281"/>
      <c r="DM55" s="281"/>
      <c r="DN55" s="281"/>
      <c r="DO55" s="281"/>
      <c r="DP55" s="281"/>
      <c r="DQ55" s="281"/>
      <c r="DR55" s="281"/>
      <c r="DS55" s="281"/>
      <c r="DT55" s="281"/>
      <c r="DU55" s="281"/>
    </row>
    <row r="56">
      <c r="BJ56" s="281"/>
      <c r="BK56" s="281"/>
      <c r="BL56" s="281"/>
      <c r="BM56" s="281"/>
      <c r="BN56" s="281"/>
      <c r="BO56" s="281"/>
      <c r="BP56" s="281"/>
      <c r="BQ56" s="281"/>
      <c r="BR56" s="281"/>
      <c r="BS56" s="281"/>
      <c r="BT56" s="281"/>
      <c r="BU56" s="281"/>
      <c r="BV56" s="281"/>
      <c r="BW56" s="281"/>
      <c r="BX56" s="281"/>
      <c r="BY56" s="281"/>
      <c r="BZ56" s="281"/>
      <c r="CA56" s="281"/>
      <c r="CB56" s="281"/>
      <c r="CC56" s="281"/>
      <c r="CD56" s="281"/>
      <c r="CE56" s="281"/>
      <c r="CF56" s="281"/>
      <c r="CG56" s="281"/>
      <c r="CH56" s="281"/>
      <c r="CI56" s="281"/>
      <c r="CJ56" s="281"/>
      <c r="CK56" s="281"/>
      <c r="CL56" s="281"/>
      <c r="CM56" s="281"/>
      <c r="CN56" s="281"/>
      <c r="CO56" s="281"/>
      <c r="CP56" s="281"/>
      <c r="CQ56" s="281"/>
      <c r="CR56" s="281"/>
      <c r="CS56" s="281"/>
      <c r="CT56" s="281"/>
      <c r="CU56" s="281"/>
      <c r="CV56" s="281"/>
      <c r="CW56" s="281"/>
      <c r="CX56" s="281"/>
      <c r="CY56" s="281"/>
      <c r="CZ56" s="281"/>
      <c r="DA56" s="281"/>
      <c r="DB56" s="281"/>
      <c r="DC56" s="281"/>
      <c r="DD56" s="281"/>
      <c r="DE56" s="281"/>
      <c r="DF56" s="281"/>
      <c r="DG56" s="281"/>
      <c r="DH56" s="281"/>
      <c r="DI56" s="281"/>
      <c r="DJ56" s="281"/>
      <c r="DK56" s="281"/>
      <c r="DL56" s="281"/>
      <c r="DM56" s="281"/>
      <c r="DN56" s="281"/>
      <c r="DO56" s="281"/>
      <c r="DP56" s="281"/>
      <c r="DQ56" s="281"/>
      <c r="DR56" s="281"/>
      <c r="DS56" s="281"/>
      <c r="DT56" s="281"/>
      <c r="DU56" s="281"/>
    </row>
    <row r="57">
      <c r="BJ57" s="281"/>
      <c r="BK57" s="281"/>
      <c r="BL57" s="281"/>
      <c r="BM57" s="281"/>
      <c r="BN57" s="281"/>
      <c r="BO57" s="281"/>
      <c r="BP57" s="281"/>
      <c r="BQ57" s="281"/>
      <c r="BR57" s="281"/>
      <c r="BS57" s="281"/>
      <c r="BT57" s="281"/>
      <c r="BU57" s="281"/>
      <c r="BV57" s="281"/>
      <c r="BW57" s="281"/>
      <c r="BX57" s="281"/>
      <c r="BY57" s="281"/>
      <c r="BZ57" s="281"/>
      <c r="CA57" s="281"/>
      <c r="CB57" s="281"/>
      <c r="CC57" s="281"/>
      <c r="CD57" s="281"/>
      <c r="CE57" s="281"/>
      <c r="CF57" s="281"/>
      <c r="CG57" s="281"/>
      <c r="CH57" s="281"/>
      <c r="CI57" s="281"/>
      <c r="CJ57" s="281"/>
      <c r="CK57" s="281"/>
      <c r="CL57" s="281"/>
      <c r="CM57" s="281"/>
      <c r="CN57" s="281"/>
      <c r="CO57" s="281"/>
      <c r="CP57" s="281"/>
      <c r="CQ57" s="281"/>
      <c r="CR57" s="281"/>
      <c r="CS57" s="281"/>
      <c r="CT57" s="281"/>
      <c r="CU57" s="281"/>
      <c r="CV57" s="281"/>
      <c r="CW57" s="281"/>
      <c r="CX57" s="281"/>
      <c r="CY57" s="281"/>
      <c r="CZ57" s="281"/>
      <c r="DA57" s="281"/>
      <c r="DB57" s="281"/>
      <c r="DC57" s="281"/>
      <c r="DD57" s="281"/>
      <c r="DE57" s="281"/>
      <c r="DF57" s="281"/>
      <c r="DG57" s="281"/>
      <c r="DH57" s="281"/>
      <c r="DI57" s="281"/>
      <c r="DJ57" s="281"/>
      <c r="DK57" s="281"/>
      <c r="DL57" s="281"/>
      <c r="DM57" s="281"/>
      <c r="DN57" s="281"/>
      <c r="DO57" s="281"/>
      <c r="DP57" s="281"/>
      <c r="DQ57" s="281"/>
      <c r="DR57" s="281"/>
      <c r="DS57" s="281"/>
      <c r="DT57" s="281"/>
      <c r="DU57" s="281"/>
    </row>
    <row r="58">
      <c r="B58" s="13" t="s">
        <v>94</v>
      </c>
      <c r="AE58" s="284" t="s">
        <v>95</v>
      </c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9"/>
      <c r="BJ58" s="281"/>
      <c r="BK58" s="281"/>
      <c r="BL58" s="281"/>
      <c r="BM58" s="281"/>
      <c r="BN58" s="281"/>
      <c r="BO58" s="281"/>
      <c r="BP58" s="281"/>
      <c r="BQ58" s="281"/>
      <c r="BR58" s="281"/>
      <c r="BS58" s="281"/>
      <c r="BT58" s="281"/>
      <c r="BU58" s="281"/>
      <c r="BV58" s="281"/>
      <c r="BW58" s="281"/>
      <c r="BX58" s="281"/>
      <c r="BY58" s="281"/>
      <c r="BZ58" s="281"/>
      <c r="CA58" s="281"/>
      <c r="CB58" s="281"/>
      <c r="CC58" s="281"/>
      <c r="CD58" s="281"/>
      <c r="CE58" s="281"/>
      <c r="CF58" s="281"/>
      <c r="CG58" s="281"/>
      <c r="CH58" s="281"/>
      <c r="CI58" s="281"/>
      <c r="CJ58" s="281"/>
      <c r="CK58" s="281"/>
      <c r="CL58" s="281"/>
      <c r="CM58" s="281"/>
      <c r="CN58" s="281"/>
      <c r="CO58" s="281"/>
      <c r="CP58" s="281"/>
      <c r="CQ58" s="281"/>
      <c r="CR58" s="281"/>
      <c r="CS58" s="281"/>
      <c r="CT58" s="281"/>
      <c r="CU58" s="281"/>
      <c r="CV58" s="281"/>
      <c r="CW58" s="281"/>
      <c r="CX58" s="281"/>
      <c r="CY58" s="281"/>
      <c r="CZ58" s="281"/>
      <c r="DA58" s="281"/>
      <c r="DB58" s="281"/>
      <c r="DC58" s="281"/>
      <c r="DD58" s="281"/>
      <c r="DE58" s="281"/>
      <c r="DF58" s="281"/>
      <c r="DG58" s="281"/>
      <c r="DH58" s="281"/>
      <c r="DI58" s="281"/>
      <c r="DJ58" s="281"/>
      <c r="DK58" s="281"/>
      <c r="DL58" s="281"/>
      <c r="DM58" s="281"/>
      <c r="DN58" s="281"/>
      <c r="DO58" s="281"/>
      <c r="DP58" s="281"/>
      <c r="DQ58" s="281"/>
      <c r="DR58" s="281"/>
      <c r="DS58" s="281"/>
      <c r="DT58" s="281"/>
      <c r="DU58" s="281"/>
    </row>
    <row r="59">
      <c r="A59" s="24"/>
      <c r="B59" s="25" t="s">
        <v>44</v>
      </c>
      <c r="C59" s="17" t="s">
        <v>39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9"/>
      <c r="Q59" s="17" t="s">
        <v>40</v>
      </c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9"/>
      <c r="AE59" s="17" t="s">
        <v>39</v>
      </c>
      <c r="AF59" s="18"/>
      <c r="AG59" s="18"/>
      <c r="AH59" s="18"/>
      <c r="AI59" s="18"/>
      <c r="AJ59" s="18"/>
      <c r="AK59" s="19"/>
      <c r="AL59" s="17" t="s">
        <v>40</v>
      </c>
      <c r="AM59" s="18"/>
      <c r="AN59" s="18"/>
      <c r="AO59" s="18"/>
      <c r="AP59" s="18"/>
      <c r="AQ59" s="18"/>
      <c r="AR59" s="19"/>
      <c r="AX59" s="25" t="s">
        <v>44</v>
      </c>
      <c r="BJ59" s="281"/>
      <c r="BK59" s="281"/>
      <c r="BL59" s="281"/>
      <c r="BM59" s="281"/>
      <c r="BN59" s="281"/>
      <c r="BO59" s="281"/>
      <c r="BP59" s="281"/>
      <c r="BQ59" s="281"/>
      <c r="BR59" s="281"/>
      <c r="BS59" s="281"/>
      <c r="BT59" s="281"/>
      <c r="BU59" s="281"/>
      <c r="BV59" s="281"/>
      <c r="BW59" s="281"/>
      <c r="BX59" s="281"/>
      <c r="BY59" s="281"/>
      <c r="BZ59" s="281"/>
      <c r="CA59" s="281"/>
      <c r="CB59" s="281"/>
      <c r="CC59" s="281"/>
      <c r="CD59" s="281"/>
      <c r="CE59" s="281"/>
      <c r="CF59" s="281"/>
      <c r="CG59" s="281"/>
      <c r="CH59" s="281"/>
      <c r="CI59" s="281"/>
      <c r="CJ59" s="281"/>
      <c r="CK59" s="281"/>
      <c r="CL59" s="281"/>
      <c r="CM59" s="281"/>
      <c r="CN59" s="281"/>
      <c r="CO59" s="281"/>
      <c r="CP59" s="281"/>
      <c r="CQ59" s="281"/>
      <c r="CR59" s="281"/>
      <c r="CS59" s="281"/>
      <c r="CT59" s="281"/>
      <c r="CU59" s="281"/>
      <c r="CV59" s="281"/>
      <c r="CW59" s="281"/>
      <c r="CX59" s="281"/>
      <c r="CY59" s="281"/>
      <c r="CZ59" s="281"/>
      <c r="DA59" s="281"/>
      <c r="DB59" s="281"/>
      <c r="DC59" s="281"/>
      <c r="DD59" s="281"/>
      <c r="DE59" s="281"/>
      <c r="DF59" s="281"/>
      <c r="DG59" s="281"/>
      <c r="DH59" s="281"/>
      <c r="DI59" s="281"/>
      <c r="DJ59" s="281"/>
      <c r="DK59" s="281"/>
      <c r="DL59" s="281"/>
      <c r="DM59" s="281"/>
      <c r="DN59" s="281"/>
      <c r="DO59" s="281"/>
      <c r="DP59" s="281"/>
      <c r="DQ59" s="281"/>
      <c r="DR59" s="281"/>
      <c r="DS59" s="281"/>
      <c r="DT59" s="281"/>
      <c r="DU59" s="281"/>
    </row>
    <row r="60">
      <c r="A60" s="25" t="s">
        <v>44</v>
      </c>
      <c r="B60" s="25" t="s">
        <v>57</v>
      </c>
      <c r="C60" s="30" t="s">
        <v>58</v>
      </c>
      <c r="D60" s="30" t="s">
        <v>59</v>
      </c>
      <c r="E60" s="31" t="s">
        <v>60</v>
      </c>
      <c r="F60" s="31" t="s">
        <v>61</v>
      </c>
      <c r="G60" s="32" t="s">
        <v>62</v>
      </c>
      <c r="H60" s="26" t="s">
        <v>63</v>
      </c>
      <c r="I60" s="26" t="s">
        <v>64</v>
      </c>
      <c r="J60" s="26" t="s">
        <v>65</v>
      </c>
      <c r="K60" s="26" t="s">
        <v>66</v>
      </c>
      <c r="L60" s="32" t="s">
        <v>67</v>
      </c>
      <c r="M60" s="32" t="s">
        <v>68</v>
      </c>
      <c r="N60" s="26" t="s">
        <v>69</v>
      </c>
      <c r="O60" s="26" t="s">
        <v>70</v>
      </c>
      <c r="P60" s="32" t="s">
        <v>71</v>
      </c>
      <c r="Q60" s="285" t="s">
        <v>58</v>
      </c>
      <c r="R60" s="285" t="s">
        <v>59</v>
      </c>
      <c r="S60" s="286" t="s">
        <v>60</v>
      </c>
      <c r="T60" s="286" t="s">
        <v>61</v>
      </c>
      <c r="U60" s="287" t="s">
        <v>62</v>
      </c>
      <c r="V60" s="25" t="s">
        <v>63</v>
      </c>
      <c r="W60" s="25" t="s">
        <v>64</v>
      </c>
      <c r="X60" s="25" t="s">
        <v>65</v>
      </c>
      <c r="Y60" s="25" t="s">
        <v>66</v>
      </c>
      <c r="Z60" s="287" t="s">
        <v>67</v>
      </c>
      <c r="AA60" s="287" t="s">
        <v>68</v>
      </c>
      <c r="AB60" s="25" t="s">
        <v>69</v>
      </c>
      <c r="AC60" s="25" t="s">
        <v>70</v>
      </c>
      <c r="AD60" s="287" t="s">
        <v>71</v>
      </c>
      <c r="AE60" s="25" t="s">
        <v>45</v>
      </c>
      <c r="AF60" s="25" t="s">
        <v>46</v>
      </c>
      <c r="AG60" s="25" t="s">
        <v>47</v>
      </c>
      <c r="AH60" s="25" t="s">
        <v>48</v>
      </c>
      <c r="AI60" s="25" t="s">
        <v>49</v>
      </c>
      <c r="AJ60" s="25" t="s">
        <v>50</v>
      </c>
      <c r="AK60" s="25" t="s">
        <v>51</v>
      </c>
      <c r="AL60" s="26" t="s">
        <v>45</v>
      </c>
      <c r="AM60" s="26" t="s">
        <v>46</v>
      </c>
      <c r="AN60" s="26" t="s">
        <v>47</v>
      </c>
      <c r="AO60" s="26" t="s">
        <v>48</v>
      </c>
      <c r="AP60" s="26" t="s">
        <v>49</v>
      </c>
      <c r="AQ60" s="26" t="s">
        <v>50</v>
      </c>
      <c r="AR60" s="26" t="s">
        <v>51</v>
      </c>
      <c r="AS60" s="27" t="s">
        <v>41</v>
      </c>
      <c r="AT60" s="288" t="s">
        <v>42</v>
      </c>
      <c r="AU60" s="28" t="s">
        <v>56</v>
      </c>
      <c r="AV60" s="289" t="s">
        <v>96</v>
      </c>
      <c r="AW60" s="25" t="s">
        <v>57</v>
      </c>
      <c r="AX60" s="26" t="s">
        <v>39</v>
      </c>
    </row>
    <row r="61">
      <c r="A61" s="26" t="s">
        <v>39</v>
      </c>
      <c r="B61" s="48" t="s">
        <v>58</v>
      </c>
      <c r="C61" s="49">
        <v>0.0569075839</v>
      </c>
      <c r="D61" s="50">
        <v>0.11536348</v>
      </c>
      <c r="E61" s="50">
        <v>0.07601809045</v>
      </c>
      <c r="F61" s="50">
        <v>5.89112668E-6</v>
      </c>
      <c r="G61" s="50">
        <f t="shared" ref="G61:G62" si="1">G5*$BA$9</f>
        <v>0.00667118607</v>
      </c>
      <c r="H61" s="50">
        <v>1.261407713E-6</v>
      </c>
      <c r="I61" s="50">
        <v>1.597356529E-5</v>
      </c>
      <c r="J61" s="50">
        <v>2.336400361E-4</v>
      </c>
      <c r="K61" s="50">
        <v>5.055879104E-5</v>
      </c>
      <c r="L61" s="50">
        <f>L5*BA11</f>
        <v>0.0001685530323</v>
      </c>
      <c r="M61" s="50">
        <f>M5*BA13</f>
        <v>0.0001038013709</v>
      </c>
      <c r="N61" s="50">
        <v>1.188093559E-6</v>
      </c>
      <c r="O61" s="50">
        <v>7.400836702E-6</v>
      </c>
      <c r="P61" s="51">
        <f>P5*BA15</f>
        <v>0.002456613501</v>
      </c>
      <c r="Q61" s="290">
        <v>1.127646458E-5</v>
      </c>
      <c r="R61" s="63">
        <v>6.282956252E-5</v>
      </c>
      <c r="S61" s="63">
        <v>9.966039384E-5</v>
      </c>
      <c r="T61" s="63">
        <v>2.034563788E-6</v>
      </c>
      <c r="U61" s="63">
        <v>1.541638405E-4</v>
      </c>
      <c r="V61" s="63">
        <v>4.513101785E-6</v>
      </c>
      <c r="W61" s="63">
        <v>3.979193557E-6</v>
      </c>
      <c r="X61" s="63">
        <v>3.262491472E-6</v>
      </c>
      <c r="Y61" s="63">
        <v>5.563816669E-6</v>
      </c>
      <c r="Z61" s="63">
        <v>2.45672302E-6</v>
      </c>
      <c r="AA61" s="63">
        <v>3.52497636E-6</v>
      </c>
      <c r="AB61" s="63">
        <v>4.385627006E-6</v>
      </c>
      <c r="AC61" s="63">
        <v>1.836342816E-7</v>
      </c>
      <c r="AD61" s="63">
        <v>1.525625862E-5</v>
      </c>
      <c r="AE61" s="33">
        <v>462.26954373294</v>
      </c>
      <c r="AF61" s="34">
        <v>7.31443873378E-4</v>
      </c>
      <c r="AG61" s="34">
        <v>0.0452800470749373</v>
      </c>
      <c r="AH61" s="35">
        <v>31.99376784449027</v>
      </c>
      <c r="AI61" s="36">
        <v>7.419107842632901</v>
      </c>
      <c r="AJ61" s="37">
        <v>2.41139494014469</v>
      </c>
      <c r="AK61" s="34">
        <v>0.0</v>
      </c>
      <c r="AL61" s="38">
        <v>636.9865086661871</v>
      </c>
      <c r="AM61" s="39">
        <v>0.02299175326345493</v>
      </c>
      <c r="AN61" s="40">
        <v>3.654546038884813</v>
      </c>
      <c r="AO61" s="39">
        <v>0.7648449913303524</v>
      </c>
      <c r="AP61" s="41">
        <v>177.9850180194541</v>
      </c>
      <c r="AQ61" s="39">
        <v>0.04771269979099789</v>
      </c>
      <c r="AR61" s="42">
        <v>0.0</v>
      </c>
      <c r="AS61" s="291">
        <f>AS4*BA5</f>
        <v>478.9328346</v>
      </c>
      <c r="AT61" s="44">
        <f t="shared" ref="AT61:AT62" si="2">AU4</f>
        <v>819.4616222</v>
      </c>
      <c r="AU61" s="45">
        <f t="shared" ref="AU61:AU88" si="3">AS61+AT61</f>
        <v>1298.394457</v>
      </c>
      <c r="AV61" s="292">
        <f t="array" ref="AV61:AV88">MMULT(C220:AD247,AU61:AU88)</f>
        <v>4080.334681</v>
      </c>
      <c r="AW61" s="46" t="s">
        <v>58</v>
      </c>
      <c r="AX61" s="61"/>
    </row>
    <row r="62">
      <c r="A62" s="293"/>
      <c r="B62" s="48" t="s">
        <v>59</v>
      </c>
      <c r="C62" s="62">
        <v>5.223176539E-5</v>
      </c>
      <c r="D62" s="63">
        <v>0.004911812468</v>
      </c>
      <c r="E62" s="63">
        <v>0.02491194625</v>
      </c>
      <c r="F62" s="63">
        <v>5.003274363E-4</v>
      </c>
      <c r="G62" s="63">
        <f t="shared" si="1"/>
        <v>0.01698176411</v>
      </c>
      <c r="H62" s="63">
        <v>5.641716561E-4</v>
      </c>
      <c r="I62" s="63">
        <v>3.087240177E-5</v>
      </c>
      <c r="J62" s="63">
        <v>1.358998201E-4</v>
      </c>
      <c r="K62" s="63">
        <v>4.750040376E-5</v>
      </c>
      <c r="L62" s="63">
        <f>L6*BA11</f>
        <v>0.0002737061161</v>
      </c>
      <c r="M62" s="63">
        <f>M6*BA13</f>
        <v>0.0002820510895</v>
      </c>
      <c r="N62" s="63">
        <v>5.594184782E-4</v>
      </c>
      <c r="O62" s="63">
        <v>3.983814171E-5</v>
      </c>
      <c r="P62" s="64">
        <f>P6*BA15</f>
        <v>0.009060936157</v>
      </c>
      <c r="Q62" s="290">
        <v>1.37104786E-6</v>
      </c>
      <c r="R62" s="63">
        <v>6.69110028E-5</v>
      </c>
      <c r="S62" s="63">
        <v>3.901176072E-5</v>
      </c>
      <c r="T62" s="63">
        <v>1.335952127E-5</v>
      </c>
      <c r="U62" s="63">
        <v>8.273621305E-5</v>
      </c>
      <c r="V62" s="63">
        <v>1.862256568E-6</v>
      </c>
      <c r="W62" s="63">
        <v>5.912409252E-6</v>
      </c>
      <c r="X62" s="63">
        <v>2.396656712E-6</v>
      </c>
      <c r="Y62" s="63">
        <v>1.237422965E-5</v>
      </c>
      <c r="Z62" s="63">
        <v>5.474405504E-6</v>
      </c>
      <c r="AA62" s="63">
        <v>3.663766753E-6</v>
      </c>
      <c r="AB62" s="63">
        <v>1.598960588E-5</v>
      </c>
      <c r="AC62" s="63">
        <v>1.501934363E-6</v>
      </c>
      <c r="AD62" s="63">
        <v>1.078260925E-4</v>
      </c>
      <c r="AE62" s="52">
        <v>921.34975180174</v>
      </c>
      <c r="AF62" s="34">
        <v>0.02214475944812184</v>
      </c>
      <c r="AG62" s="37">
        <v>2.81175743743965</v>
      </c>
      <c r="AH62" s="53">
        <v>10.0939566990579</v>
      </c>
      <c r="AI62" s="54">
        <v>3.34959379620186</v>
      </c>
      <c r="AJ62" s="34">
        <v>1.01871152681364</v>
      </c>
      <c r="AK62" s="34">
        <v>0.0</v>
      </c>
      <c r="AL62" s="55">
        <v>2553.031774156392</v>
      </c>
      <c r="AM62" s="34">
        <v>0.4028888463207095</v>
      </c>
      <c r="AN62" s="34">
        <v>2.032167501864795</v>
      </c>
      <c r="AO62" s="34">
        <v>1.83930763742036</v>
      </c>
      <c r="AP62" s="56">
        <v>19.88039017845599</v>
      </c>
      <c r="AQ62" s="34">
        <v>0.6193169968270493</v>
      </c>
      <c r="AR62" s="57">
        <v>0.0</v>
      </c>
      <c r="AS62" s="291">
        <f>AS5*BA5</f>
        <v>891.7136202</v>
      </c>
      <c r="AT62" s="44">
        <f t="shared" si="2"/>
        <v>2577.805845</v>
      </c>
      <c r="AU62" s="45">
        <f t="shared" si="3"/>
        <v>3469.519466</v>
      </c>
      <c r="AV62" s="294">
        <v>5754.2736820997825</v>
      </c>
      <c r="AW62" s="46" t="s">
        <v>59</v>
      </c>
      <c r="AX62" s="61"/>
    </row>
    <row r="63">
      <c r="A63" s="293"/>
      <c r="B63" s="80" t="s">
        <v>60</v>
      </c>
      <c r="C63" s="62">
        <v>4.181688883E-5</v>
      </c>
      <c r="D63" s="63">
        <v>2.546634897E-4</v>
      </c>
      <c r="E63" s="63">
        <v>0.002716279858</v>
      </c>
      <c r="F63" s="63">
        <v>0.106916595</v>
      </c>
      <c r="G63" s="63">
        <f t="shared" ref="G63:G64" si="4">G7*$AZ$9</f>
        <v>0.0005639096672</v>
      </c>
      <c r="H63" s="63">
        <v>8.151404029E-5</v>
      </c>
      <c r="I63" s="63">
        <v>3.631722376E-5</v>
      </c>
      <c r="J63" s="63">
        <v>1.257376993E-4</v>
      </c>
      <c r="K63" s="63">
        <f>0.008573226512*BA17</f>
        <v>0.008573226512</v>
      </c>
      <c r="L63" s="63">
        <f>L7*AZ11</f>
        <v>0.002657313852</v>
      </c>
      <c r="M63" s="63">
        <f>M7*AZ13</f>
        <v>0.0001195321698</v>
      </c>
      <c r="N63" s="63">
        <v>8.162872267E-5</v>
      </c>
      <c r="O63" s="63">
        <v>1.417421048E-4</v>
      </c>
      <c r="P63" s="64">
        <f>P7*AZ15</f>
        <v>0.001953291933</v>
      </c>
      <c r="Q63" s="290">
        <v>1.394611702E-7</v>
      </c>
      <c r="R63" s="63">
        <v>2.723029005E-6</v>
      </c>
      <c r="S63" s="63">
        <v>5.645477762E-6</v>
      </c>
      <c r="T63" s="63">
        <v>3.55158498E-5</v>
      </c>
      <c r="U63" s="63">
        <v>9.261811621E-6</v>
      </c>
      <c r="V63" s="63">
        <v>5.671737923E-6</v>
      </c>
      <c r="W63" s="63">
        <v>4.225472813E-7</v>
      </c>
      <c r="X63" s="63">
        <v>2.287147642E-6</v>
      </c>
      <c r="Y63" s="63">
        <v>1.158188717E-5</v>
      </c>
      <c r="Z63" s="63">
        <v>2.302906357E-6</v>
      </c>
      <c r="AA63" s="63">
        <v>9.78057291E-7</v>
      </c>
      <c r="AB63" s="63">
        <v>9.361467751E-6</v>
      </c>
      <c r="AC63" s="63">
        <v>1.832615669E-7</v>
      </c>
      <c r="AD63" s="63">
        <v>2.953003616E-6</v>
      </c>
      <c r="AE63" s="295">
        <v>695.64016024556</v>
      </c>
      <c r="AF63" s="154">
        <v>0.0956286900434</v>
      </c>
      <c r="AG63" s="296">
        <v>30.24559591718313</v>
      </c>
      <c r="AH63" s="297">
        <v>1221.937853143195</v>
      </c>
      <c r="AI63" s="298">
        <v>9.095737590372465</v>
      </c>
      <c r="AJ63" s="299">
        <v>2.148371080436415</v>
      </c>
      <c r="AK63" s="154">
        <v>0.0</v>
      </c>
      <c r="AL63" s="300">
        <v>197.8533029881214</v>
      </c>
      <c r="AM63" s="301">
        <v>3.69487030151954</v>
      </c>
      <c r="AN63" s="302">
        <v>3.238761790470058</v>
      </c>
      <c r="AO63" s="303">
        <v>55.72758786367015</v>
      </c>
      <c r="AP63" s="304">
        <v>47.22766151478891</v>
      </c>
      <c r="AQ63" s="305">
        <v>6.857331209931306</v>
      </c>
      <c r="AR63" s="306">
        <v>0.0</v>
      </c>
      <c r="AS63" s="291">
        <f>AS6*AZ5</f>
        <v>2057.121514</v>
      </c>
      <c r="AT63" s="44">
        <f>AU6*AZ27</f>
        <v>314.5995157</v>
      </c>
      <c r="AU63" s="45">
        <f t="shared" si="3"/>
        <v>2371.72103</v>
      </c>
      <c r="AV63" s="307">
        <v>4136.143094782401</v>
      </c>
      <c r="AW63" s="79" t="s">
        <v>60</v>
      </c>
      <c r="AX63" s="61"/>
    </row>
    <row r="64">
      <c r="A64" s="293"/>
      <c r="B64" s="80" t="s">
        <v>61</v>
      </c>
      <c r="C64" s="62">
        <v>6.984953446E-4</v>
      </c>
      <c r="D64" s="63">
        <v>9.291311917E-4</v>
      </c>
      <c r="E64" s="63">
        <v>0.01233393802</v>
      </c>
      <c r="F64" s="63">
        <v>0.05411078753</v>
      </c>
      <c r="G64" s="63">
        <f t="shared" si="4"/>
        <v>0.0003249484636</v>
      </c>
      <c r="H64" s="63">
        <v>4.521009923E-4</v>
      </c>
      <c r="I64" s="63">
        <v>2.526531666E-4</v>
      </c>
      <c r="J64" s="63">
        <v>5.344544921E-4</v>
      </c>
      <c r="K64" s="63">
        <v>7.855598074E-4</v>
      </c>
      <c r="L64" s="63">
        <f>L8*AZ11</f>
        <v>0.0007601623618</v>
      </c>
      <c r="M64" s="63">
        <f>M8*AZ13</f>
        <v>0.00157206992</v>
      </c>
      <c r="N64" s="63">
        <v>4.562758519E-4</v>
      </c>
      <c r="O64" s="63">
        <v>3.735711325E-4</v>
      </c>
      <c r="P64" s="64">
        <f>P8*AZ15</f>
        <v>0.01562068245</v>
      </c>
      <c r="Q64" s="290">
        <v>5.803955161E-6</v>
      </c>
      <c r="R64" s="63">
        <v>7.629205055E-6</v>
      </c>
      <c r="S64" s="63">
        <v>2.125835934E-5</v>
      </c>
      <c r="T64" s="63">
        <v>2.586537831E-4</v>
      </c>
      <c r="U64" s="63">
        <v>9.950778522E-5</v>
      </c>
      <c r="V64" s="63">
        <v>8.76647524E-6</v>
      </c>
      <c r="W64" s="63">
        <v>6.877960069E-6</v>
      </c>
      <c r="X64" s="63">
        <v>5.286827472E-6</v>
      </c>
      <c r="Y64" s="63">
        <v>6.33711578E-6</v>
      </c>
      <c r="Z64" s="63">
        <v>6.245021383E-6</v>
      </c>
      <c r="AA64" s="63">
        <v>5.475878807E-6</v>
      </c>
      <c r="AB64" s="63">
        <v>7.114442719E-6</v>
      </c>
      <c r="AC64" s="63">
        <v>2.292921331E-6</v>
      </c>
      <c r="AD64" s="63">
        <v>7.565496139E-5</v>
      </c>
      <c r="AE64" s="308">
        <v>1506.4836687129</v>
      </c>
      <c r="AF64" s="154">
        <v>0.0232505127898673</v>
      </c>
      <c r="AG64" s="309">
        <v>24.6691922082074</v>
      </c>
      <c r="AH64" s="310">
        <v>61.64258728446999</v>
      </c>
      <c r="AI64" s="298">
        <v>9.486454263385301</v>
      </c>
      <c r="AJ64" s="311">
        <v>2.4528548572334</v>
      </c>
      <c r="AK64" s="154">
        <v>0.0</v>
      </c>
      <c r="AL64" s="312">
        <v>2648.915880994884</v>
      </c>
      <c r="AM64" s="301">
        <v>3.600550526843314</v>
      </c>
      <c r="AN64" s="313">
        <v>5.14507242233153</v>
      </c>
      <c r="AO64" s="305">
        <v>6.807631528143199</v>
      </c>
      <c r="AP64" s="154">
        <v>-184.6499897914667</v>
      </c>
      <c r="AQ64" s="305">
        <v>6.867294105025226</v>
      </c>
      <c r="AR64" s="306">
        <v>0.0</v>
      </c>
      <c r="AS64" s="291">
        <f>AS7*AZ5</f>
        <v>1684.995908</v>
      </c>
      <c r="AT64" s="44">
        <f>AU7*AZ27</f>
        <v>2486.68644</v>
      </c>
      <c r="AU64" s="45">
        <f t="shared" si="3"/>
        <v>4171.682348</v>
      </c>
      <c r="AV64" s="307">
        <v>7873.560414219729</v>
      </c>
      <c r="AW64" s="79" t="s">
        <v>61</v>
      </c>
      <c r="AX64" s="61"/>
    </row>
    <row r="65">
      <c r="A65" s="293"/>
      <c r="B65" s="97" t="s">
        <v>62</v>
      </c>
      <c r="C65" s="62">
        <v>1.217449221E-4</v>
      </c>
      <c r="D65" s="63">
        <v>0.009604948661</v>
      </c>
      <c r="E65" s="63">
        <v>0.07893907873</v>
      </c>
      <c r="F65" s="63">
        <v>0.005549330603</v>
      </c>
      <c r="G65" s="63">
        <v>0.06424997387</v>
      </c>
      <c r="H65" s="63">
        <v>2.313717055E-4</v>
      </c>
      <c r="I65" s="63">
        <v>8.441044218E-5</v>
      </c>
      <c r="J65" s="63">
        <v>4.544118767E-4</v>
      </c>
      <c r="K65" s="63">
        <v>9.521899385E-5</v>
      </c>
      <c r="L65" s="63">
        <f>L9</f>
        <v>0.000496115035</v>
      </c>
      <c r="M65" s="63">
        <v>9.3092023E-4</v>
      </c>
      <c r="N65" s="63">
        <v>2.334356856E-4</v>
      </c>
      <c r="O65" s="63">
        <v>1.08379026E-4</v>
      </c>
      <c r="P65" s="64">
        <v>0.02450160066</v>
      </c>
      <c r="Q65" s="290">
        <v>2.900889899E-6</v>
      </c>
      <c r="R65" s="63">
        <v>1.352227961E-4</v>
      </c>
      <c r="S65" s="63">
        <v>1.238110225E-4</v>
      </c>
      <c r="T65" s="63">
        <v>9.362261222E-5</v>
      </c>
      <c r="U65" s="63">
        <v>3.833785024E-4</v>
      </c>
      <c r="V65" s="63">
        <v>5.053172637E-6</v>
      </c>
      <c r="W65" s="63">
        <v>8.073980648E-6</v>
      </c>
      <c r="X65" s="63">
        <v>9.34937878E-6</v>
      </c>
      <c r="Y65" s="63">
        <v>2.174412291E-5</v>
      </c>
      <c r="Z65" s="63">
        <v>8.563267468E-6</v>
      </c>
      <c r="AA65" s="63">
        <v>8.669540364E-6</v>
      </c>
      <c r="AB65" s="63">
        <v>1.397888984E-5</v>
      </c>
      <c r="AC65" s="63">
        <v>2.081904599E-6</v>
      </c>
      <c r="AD65" s="63">
        <v>1.343223171E-4</v>
      </c>
      <c r="AE65" s="314">
        <v>6136.36344807</v>
      </c>
      <c r="AF65" s="154">
        <v>0.0216546924313</v>
      </c>
      <c r="AG65" s="315">
        <v>8.15614796412</v>
      </c>
      <c r="AH65" s="316">
        <v>41.1239691604</v>
      </c>
      <c r="AI65" s="317">
        <v>15.6341645197</v>
      </c>
      <c r="AJ65" s="318">
        <v>5.13364392191</v>
      </c>
      <c r="AK65" s="154">
        <v>0.0</v>
      </c>
      <c r="AL65" s="319">
        <v>7105.207309014662</v>
      </c>
      <c r="AM65" s="154">
        <v>1.28565190580754</v>
      </c>
      <c r="AN65" s="320">
        <v>13.71362916809966</v>
      </c>
      <c r="AO65" s="305">
        <v>6.895955759551252</v>
      </c>
      <c r="AP65" s="154">
        <v>-32.52702527126959</v>
      </c>
      <c r="AQ65" s="154">
        <v>1.324783744272544</v>
      </c>
      <c r="AR65" s="306">
        <v>0.0</v>
      </c>
      <c r="AS65" s="291">
        <f>AS8*AZ7</f>
        <v>5523.725395</v>
      </c>
      <c r="AT65" s="44">
        <f t="shared" ref="AT65:AT74" si="5">AU8</f>
        <v>7095.900304</v>
      </c>
      <c r="AU65" s="45">
        <f t="shared" si="3"/>
        <v>12619.6257</v>
      </c>
      <c r="AV65" s="307">
        <v>18957.003552004284</v>
      </c>
      <c r="AW65" s="96" t="s">
        <v>62</v>
      </c>
      <c r="AX65" s="61"/>
    </row>
    <row r="66">
      <c r="A66" s="293"/>
      <c r="B66" s="17" t="s">
        <v>63</v>
      </c>
      <c r="C66" s="62">
        <v>0.008284143753</v>
      </c>
      <c r="D66" s="63">
        <v>5.318991936E-4</v>
      </c>
      <c r="E66" s="63">
        <v>3.493500584E-4</v>
      </c>
      <c r="F66" s="63">
        <v>0.001463534456</v>
      </c>
      <c r="G66" s="63">
        <v>2.707628894E-4</v>
      </c>
      <c r="H66" s="63">
        <v>0.1168124006</v>
      </c>
      <c r="I66" s="63">
        <v>4.784396923E-4</v>
      </c>
      <c r="J66" s="63">
        <v>0.001088890017</v>
      </c>
      <c r="K66" s="63">
        <v>5.432974908E-4</v>
      </c>
      <c r="L66" s="63">
        <v>0.001275448994</v>
      </c>
      <c r="M66" s="63">
        <v>0.003178641506</v>
      </c>
      <c r="N66" s="63">
        <v>0.1176442688</v>
      </c>
      <c r="O66" s="63">
        <v>9.629858831E-4</v>
      </c>
      <c r="P66" s="64">
        <v>7.404438202E-4</v>
      </c>
      <c r="Q66" s="290">
        <v>3.979556871E-7</v>
      </c>
      <c r="R66" s="63">
        <v>7.069906092E-7</v>
      </c>
      <c r="S66" s="63">
        <v>1.202087092E-6</v>
      </c>
      <c r="T66" s="63">
        <v>1.725973993E-6</v>
      </c>
      <c r="U66" s="63">
        <v>3.409264829E-7</v>
      </c>
      <c r="V66" s="63">
        <v>9.502297926E-6</v>
      </c>
      <c r="W66" s="63">
        <v>2.610553992E-7</v>
      </c>
      <c r="X66" s="63">
        <v>5.58685746E-7</v>
      </c>
      <c r="Y66" s="63">
        <v>4.733111172E-7</v>
      </c>
      <c r="Z66" s="63">
        <v>4.068935369E-7</v>
      </c>
      <c r="AA66" s="63">
        <v>2.110993509E-7</v>
      </c>
      <c r="AB66" s="63">
        <v>1.272012088E-5</v>
      </c>
      <c r="AC66" s="63">
        <v>8.312442376E-7</v>
      </c>
      <c r="AD66" s="63">
        <v>2.051007055E-7</v>
      </c>
      <c r="AE66" s="321">
        <v>42.19037332436501</v>
      </c>
      <c r="AF66" s="154">
        <v>0.03373553244254699</v>
      </c>
      <c r="AG66" s="322">
        <v>5.5730160790782</v>
      </c>
      <c r="AH66" s="323">
        <v>11.550764466616</v>
      </c>
      <c r="AI66" s="299">
        <v>2.1513444972243</v>
      </c>
      <c r="AJ66" s="154">
        <v>0.33941870821963</v>
      </c>
      <c r="AK66" s="154">
        <v>0.0</v>
      </c>
      <c r="AL66" s="324">
        <v>5.161341639574866</v>
      </c>
      <c r="AM66" s="154">
        <v>0.09043336286702382</v>
      </c>
      <c r="AN66" s="154">
        <v>0.9185608210831885</v>
      </c>
      <c r="AO66" s="154">
        <v>1.538076414532215</v>
      </c>
      <c r="AP66" s="154">
        <v>0.4359034961482118</v>
      </c>
      <c r="AQ66" s="154">
        <v>0.1943411404489888</v>
      </c>
      <c r="AR66" s="306">
        <v>0.0</v>
      </c>
      <c r="AS66" s="291">
        <f t="shared" ref="AS66:AS74" si="6">AS9</f>
        <v>61.83865261</v>
      </c>
      <c r="AT66" s="44">
        <f t="shared" si="5"/>
        <v>8.338656875</v>
      </c>
      <c r="AU66" s="45">
        <f t="shared" si="3"/>
        <v>70.17730948</v>
      </c>
      <c r="AV66" s="307">
        <v>2402.2066023919074</v>
      </c>
      <c r="AW66" s="96" t="s">
        <v>63</v>
      </c>
      <c r="AX66" s="61"/>
    </row>
    <row r="67">
      <c r="A67" s="293"/>
      <c r="B67" s="17" t="s">
        <v>64</v>
      </c>
      <c r="C67" s="62">
        <v>0.01119028126</v>
      </c>
      <c r="D67" s="63">
        <v>0.00398957399</v>
      </c>
      <c r="E67" s="63">
        <v>0.004117118719</v>
      </c>
      <c r="F67" s="63">
        <v>0.002080568989</v>
      </c>
      <c r="G67" s="63">
        <v>7.304179932E-4</v>
      </c>
      <c r="H67" s="63">
        <v>0.00962998526</v>
      </c>
      <c r="I67" s="63">
        <v>0.1479838416</v>
      </c>
      <c r="J67" s="63">
        <v>0.00851525761</v>
      </c>
      <c r="K67" s="63">
        <f>K11*AZ17</f>
        <v>0.03577682475</v>
      </c>
      <c r="L67" s="63">
        <v>0.003533482337</v>
      </c>
      <c r="M67" s="63">
        <v>0.00102889746</v>
      </c>
      <c r="N67" s="63">
        <v>0.009194256168</v>
      </c>
      <c r="O67" s="63">
        <v>0.001512689652</v>
      </c>
      <c r="P67" s="64">
        <v>0.005177985887</v>
      </c>
      <c r="Q67" s="290">
        <v>2.698646091E-5</v>
      </c>
      <c r="R67" s="63">
        <v>1.515704962E-5</v>
      </c>
      <c r="S67" s="63">
        <v>9.383902673E-6</v>
      </c>
      <c r="T67" s="63">
        <v>1.651818035E-5</v>
      </c>
      <c r="U67" s="63">
        <v>1.081581036E-5</v>
      </c>
      <c r="V67" s="63">
        <v>1.585999963E-5</v>
      </c>
      <c r="W67" s="63">
        <v>4.65460952E-6</v>
      </c>
      <c r="X67" s="63">
        <v>1.144233266E-5</v>
      </c>
      <c r="Y67" s="63">
        <v>9.702573279E-6</v>
      </c>
      <c r="Z67" s="63">
        <v>7.13019244E-6</v>
      </c>
      <c r="AA67" s="63">
        <v>1.506222733E-6</v>
      </c>
      <c r="AB67" s="63">
        <v>2.251525592E-5</v>
      </c>
      <c r="AC67" s="63">
        <v>1.186122907E-5</v>
      </c>
      <c r="AD67" s="63">
        <v>1.40155166E-5</v>
      </c>
      <c r="AE67" s="295">
        <v>725.0977191039</v>
      </c>
      <c r="AF67" s="154">
        <v>0.01935723415516077</v>
      </c>
      <c r="AG67" s="325">
        <v>23.7000022314734</v>
      </c>
      <c r="AH67" s="326">
        <v>134.986216157357</v>
      </c>
      <c r="AI67" s="327">
        <v>57.33814368928226</v>
      </c>
      <c r="AJ67" s="154">
        <v>-5.538835757762952</v>
      </c>
      <c r="AK67" s="154">
        <v>0.0</v>
      </c>
      <c r="AL67" s="328">
        <v>466.4587744112534</v>
      </c>
      <c r="AM67" s="154">
        <v>0.252955580578664</v>
      </c>
      <c r="AN67" s="301">
        <v>3.963291283760074</v>
      </c>
      <c r="AO67" s="320">
        <v>12.78098708119538</v>
      </c>
      <c r="AP67" s="329">
        <v>170.4893940020283</v>
      </c>
      <c r="AQ67" s="154">
        <v>0.3079729900220162</v>
      </c>
      <c r="AR67" s="306">
        <v>0.0</v>
      </c>
      <c r="AS67" s="291">
        <f t="shared" si="6"/>
        <v>935.6026027</v>
      </c>
      <c r="AT67" s="44">
        <f t="shared" si="5"/>
        <v>654.2533753</v>
      </c>
      <c r="AU67" s="45">
        <f t="shared" si="3"/>
        <v>1589.855978</v>
      </c>
      <c r="AV67" s="307">
        <v>6965.121284469343</v>
      </c>
      <c r="AW67" s="111" t="s">
        <v>64</v>
      </c>
      <c r="AX67" s="61"/>
    </row>
    <row r="68">
      <c r="A68" s="293"/>
      <c r="B68" s="17" t="s">
        <v>65</v>
      </c>
      <c r="C68" s="62">
        <f t="shared" ref="C68:D68" si="7">C12*$BA25</f>
        <v>0.1033839698</v>
      </c>
      <c r="D68" s="63">
        <f t="shared" si="7"/>
        <v>0.07898955508</v>
      </c>
      <c r="E68" s="63">
        <f>E12*AZ25</f>
        <v>0.07654402043</v>
      </c>
      <c r="F68" s="63">
        <f>F12*AZ25</f>
        <v>0.05264155731</v>
      </c>
      <c r="G68" s="63">
        <f t="shared" ref="G68:O68" si="8">G12</f>
        <v>0.01689777701</v>
      </c>
      <c r="H68" s="63">
        <f t="shared" si="8"/>
        <v>0.06152725518</v>
      </c>
      <c r="I68" s="63">
        <f t="shared" si="8"/>
        <v>0.06117672938</v>
      </c>
      <c r="J68" s="63">
        <f t="shared" si="8"/>
        <v>0.2145681328</v>
      </c>
      <c r="K68" s="63">
        <f t="shared" si="8"/>
        <v>0.01416511115</v>
      </c>
      <c r="L68" s="63">
        <f t="shared" si="8"/>
        <v>0.05189795929</v>
      </c>
      <c r="M68" s="63">
        <f t="shared" si="8"/>
        <v>0.07317529979</v>
      </c>
      <c r="N68" s="63">
        <f t="shared" si="8"/>
        <v>0.055150236</v>
      </c>
      <c r="O68" s="63">
        <f t="shared" si="8"/>
        <v>0.2347645061</v>
      </c>
      <c r="P68" s="64">
        <v>0.03986965314</v>
      </c>
      <c r="Q68" s="290">
        <v>1.444953256E-4</v>
      </c>
      <c r="R68" s="63">
        <v>3.943667703E-4</v>
      </c>
      <c r="S68" s="63">
        <v>1.60572855E-4</v>
      </c>
      <c r="T68" s="63">
        <v>2.760582184E-4</v>
      </c>
      <c r="U68" s="63">
        <v>1.780859859E-4</v>
      </c>
      <c r="V68" s="63">
        <v>3.28689134E-4</v>
      </c>
      <c r="W68" s="63">
        <v>1.187175615E-4</v>
      </c>
      <c r="X68" s="63">
        <v>9.988308393E-4</v>
      </c>
      <c r="Y68" s="63">
        <v>3.314528152E-4</v>
      </c>
      <c r="Z68" s="63">
        <v>1.576300669E-4</v>
      </c>
      <c r="AA68" s="63">
        <v>8.563723393E-5</v>
      </c>
      <c r="AB68" s="63">
        <v>4.364229789E-4</v>
      </c>
      <c r="AC68" s="63">
        <v>1.639265803E-4</v>
      </c>
      <c r="AD68" s="63">
        <v>6.354847507E-5</v>
      </c>
      <c r="AE68" s="330">
        <v>10196.33384278691</v>
      </c>
      <c r="AF68" s="311">
        <v>2.531313186720358</v>
      </c>
      <c r="AG68" s="331">
        <v>3581.506438197316</v>
      </c>
      <c r="AH68" s="330">
        <v>52684.79886559145</v>
      </c>
      <c r="AI68" s="298">
        <v>9.434744561933229</v>
      </c>
      <c r="AJ68" s="154">
        <v>-57.52735506952202</v>
      </c>
      <c r="AK68" s="154">
        <v>0.0</v>
      </c>
      <c r="AL68" s="332">
        <v>10454.40057786092</v>
      </c>
      <c r="AM68" s="333">
        <v>31.12618350525615</v>
      </c>
      <c r="AN68" s="334">
        <v>480.4820566477221</v>
      </c>
      <c r="AO68" s="120">
        <v>11678.23702980427</v>
      </c>
      <c r="AP68" s="335">
        <v>1029.706633345001</v>
      </c>
      <c r="AQ68" s="302">
        <v>2.221681088482631</v>
      </c>
      <c r="AR68" s="306">
        <v>0.0</v>
      </c>
      <c r="AS68" s="291">
        <f t="shared" si="6"/>
        <v>66417.07785</v>
      </c>
      <c r="AT68" s="44">
        <f t="shared" si="5"/>
        <v>23676.17416</v>
      </c>
      <c r="AU68" s="45">
        <f t="shared" si="3"/>
        <v>90093.25201</v>
      </c>
      <c r="AV68" s="307">
        <v>236842.6450422715</v>
      </c>
      <c r="AW68" s="111" t="s">
        <v>65</v>
      </c>
      <c r="AX68" s="61"/>
    </row>
    <row r="69">
      <c r="A69" s="293"/>
      <c r="B69" s="17" t="s">
        <v>66</v>
      </c>
      <c r="C69" s="62">
        <f>C13*AZ19</f>
        <v>0.001095243022</v>
      </c>
      <c r="D69" s="63">
        <f>D13*AZ19</f>
        <v>0.00002533643022</v>
      </c>
      <c r="E69" s="63">
        <f>E13*AZ19</f>
        <v>0.0109373251</v>
      </c>
      <c r="F69" s="63">
        <f>F13</f>
        <v>0.00002306210151</v>
      </c>
      <c r="G69" s="63">
        <f>G13*AZ19</f>
        <v>0.003544593375</v>
      </c>
      <c r="H69" s="63">
        <f t="shared" ref="H69:O69" si="9">H13</f>
        <v>0.0008495480386</v>
      </c>
      <c r="I69" s="63">
        <f t="shared" si="9"/>
        <v>0.00004407525639</v>
      </c>
      <c r="J69" s="63">
        <f t="shared" si="9"/>
        <v>0.00005693668942</v>
      </c>
      <c r="K69" s="63">
        <f t="shared" si="9"/>
        <v>0.000009660188845</v>
      </c>
      <c r="L69" s="63">
        <f t="shared" si="9"/>
        <v>0.00003392850934</v>
      </c>
      <c r="M69" s="63">
        <f t="shared" si="9"/>
        <v>0.00007818999809</v>
      </c>
      <c r="N69" s="63">
        <f t="shared" si="9"/>
        <v>0.0008408567475</v>
      </c>
      <c r="O69" s="63">
        <f t="shared" si="9"/>
        <v>0.00002844300108</v>
      </c>
      <c r="P69" s="64">
        <v>0.002007898539</v>
      </c>
      <c r="Q69" s="290">
        <v>6.872153649E-6</v>
      </c>
      <c r="R69" s="63">
        <v>1.347622351E-6</v>
      </c>
      <c r="S69" s="63">
        <v>6.28860881E-6</v>
      </c>
      <c r="T69" s="63">
        <v>2.126624423E-6</v>
      </c>
      <c r="U69" s="63">
        <v>2.55790716E-5</v>
      </c>
      <c r="V69" s="63">
        <v>4.998051968E-7</v>
      </c>
      <c r="W69" s="63">
        <v>1.335893958E-7</v>
      </c>
      <c r="X69" s="63">
        <v>8.697865054E-7</v>
      </c>
      <c r="Y69" s="63">
        <v>7.979205431E-7</v>
      </c>
      <c r="Z69" s="63">
        <v>2.390440643E-7</v>
      </c>
      <c r="AA69" s="63">
        <v>2.200517112E-7</v>
      </c>
      <c r="AB69" s="63">
        <v>3.69093157E-7</v>
      </c>
      <c r="AC69" s="63">
        <v>5.419565401E-8</v>
      </c>
      <c r="AD69" s="63">
        <v>3.137712843E-6</v>
      </c>
      <c r="AE69" s="336">
        <v>33.5846430597</v>
      </c>
      <c r="AF69" s="154">
        <v>0.170519011399129</v>
      </c>
      <c r="AG69" s="311">
        <v>2.642558084911</v>
      </c>
      <c r="AH69" s="337">
        <v>6.69469270437</v>
      </c>
      <c r="AI69" s="154">
        <v>0.1064959406373</v>
      </c>
      <c r="AJ69" s="154">
        <v>0.24803852691695</v>
      </c>
      <c r="AK69" s="154">
        <v>0.0</v>
      </c>
      <c r="AL69" s="338">
        <v>63.59035513477934</v>
      </c>
      <c r="AM69" s="154">
        <v>0.08048772490627329</v>
      </c>
      <c r="AN69" s="103">
        <v>10.0934520195862</v>
      </c>
      <c r="AO69" s="154">
        <v>0.4786148534877455</v>
      </c>
      <c r="AP69" s="154">
        <v>-2.625444082310151</v>
      </c>
      <c r="AQ69" s="154">
        <v>0.001951967978912954</v>
      </c>
      <c r="AR69" s="306">
        <v>0.0</v>
      </c>
      <c r="AS69" s="291">
        <f t="shared" si="6"/>
        <v>43.44694733</v>
      </c>
      <c r="AT69" s="44">
        <f t="shared" si="5"/>
        <v>71.61941762</v>
      </c>
      <c r="AU69" s="45">
        <f t="shared" si="3"/>
        <v>115.0663649</v>
      </c>
      <c r="AV69" s="307">
        <v>532.039228968903</v>
      </c>
      <c r="AW69" s="96" t="s">
        <v>66</v>
      </c>
      <c r="AX69" s="61"/>
    </row>
    <row r="70">
      <c r="A70" s="293"/>
      <c r="B70" s="17" t="s">
        <v>67</v>
      </c>
      <c r="C70" s="62">
        <f t="shared" ref="C70:D70" si="10">C14*$BA25</f>
        <v>0.06012214579</v>
      </c>
      <c r="D70" s="63">
        <f t="shared" si="10"/>
        <v>0.090145024</v>
      </c>
      <c r="E70" s="63">
        <f>E14*AZ25</f>
        <v>0.04932078171</v>
      </c>
      <c r="F70" s="63">
        <f>F14*AZ25</f>
        <v>0.09649298683</v>
      </c>
      <c r="G70" s="63">
        <f t="shared" ref="G70:O70" si="11">G14</f>
        <v>0.03261731903</v>
      </c>
      <c r="H70" s="63">
        <f t="shared" si="11"/>
        <v>0.05636567406</v>
      </c>
      <c r="I70" s="63">
        <f t="shared" si="11"/>
        <v>0.06723091595</v>
      </c>
      <c r="J70" s="63">
        <f t="shared" si="11"/>
        <v>0.05221220656</v>
      </c>
      <c r="K70" s="63">
        <f t="shared" si="11"/>
        <v>0.06350246279</v>
      </c>
      <c r="L70" s="63">
        <f t="shared" si="11"/>
        <v>0.1242568891</v>
      </c>
      <c r="M70" s="63">
        <f t="shared" si="11"/>
        <v>0.03825379817</v>
      </c>
      <c r="N70" s="63">
        <f t="shared" si="11"/>
        <v>0.0499726769</v>
      </c>
      <c r="O70" s="63">
        <f t="shared" si="11"/>
        <v>0.05150614985</v>
      </c>
      <c r="P70" s="64">
        <v>0.05433464672</v>
      </c>
      <c r="Q70" s="290">
        <v>1.106797917E-4</v>
      </c>
      <c r="R70" s="63">
        <v>3.641035176E-4</v>
      </c>
      <c r="S70" s="63">
        <v>1.545946942E-4</v>
      </c>
      <c r="T70" s="63">
        <v>2.768770885E-4</v>
      </c>
      <c r="U70" s="63">
        <v>1.584387748E-4</v>
      </c>
      <c r="V70" s="63">
        <v>0.001010162258</v>
      </c>
      <c r="W70" s="63">
        <v>6.282344138E-5</v>
      </c>
      <c r="X70" s="63">
        <v>1.93193337E-4</v>
      </c>
      <c r="Y70" s="63">
        <v>1.557314124E-4</v>
      </c>
      <c r="Z70" s="63">
        <v>3.704039724E-4</v>
      </c>
      <c r="AA70" s="63">
        <v>6.97185469E-5</v>
      </c>
      <c r="AB70" s="63">
        <v>4.049090441E-4</v>
      </c>
      <c r="AC70" s="63">
        <v>1.982779716E-4</v>
      </c>
      <c r="AD70" s="63">
        <v>6.229997938E-5</v>
      </c>
      <c r="AE70" s="112">
        <v>54706.46794894799</v>
      </c>
      <c r="AF70" s="37">
        <v>2.679177240176077</v>
      </c>
      <c r="AG70" s="127">
        <v>6051.928924610388</v>
      </c>
      <c r="AH70" s="128">
        <v>4487.798978254412</v>
      </c>
      <c r="AI70" s="129">
        <v>239.5322883686726</v>
      </c>
      <c r="AJ70" s="82">
        <v>24.52206140025055</v>
      </c>
      <c r="AK70" s="34">
        <v>0.0</v>
      </c>
      <c r="AL70" s="130">
        <v>6380.551067420662</v>
      </c>
      <c r="AM70" s="131">
        <v>32.91903232227442</v>
      </c>
      <c r="AN70" s="132">
        <v>106.9570687237968</v>
      </c>
      <c r="AO70" s="133">
        <v>638.0899485307662</v>
      </c>
      <c r="AP70" s="132">
        <v>142.4830779519722</v>
      </c>
      <c r="AQ70" s="134">
        <v>54.75887770210508</v>
      </c>
      <c r="AR70" s="57">
        <v>0.0</v>
      </c>
      <c r="AS70" s="291">
        <f t="shared" si="6"/>
        <v>65512.92938</v>
      </c>
      <c r="AT70" s="44">
        <f t="shared" si="5"/>
        <v>7355.759073</v>
      </c>
      <c r="AU70" s="45">
        <f t="shared" si="3"/>
        <v>72868.68845</v>
      </c>
      <c r="AV70" s="294">
        <v>146103.45869749866</v>
      </c>
      <c r="AW70" s="137" t="s">
        <v>67</v>
      </c>
      <c r="AX70" s="61"/>
    </row>
    <row r="71">
      <c r="A71" s="293"/>
      <c r="B71" s="17" t="s">
        <v>68</v>
      </c>
      <c r="C71" s="62">
        <f t="shared" ref="C71:D71" si="12">C15*$BA25</f>
        <v>0.07679356412</v>
      </c>
      <c r="D71" s="63">
        <f t="shared" si="12"/>
        <v>0.1308244563</v>
      </c>
      <c r="E71" s="63">
        <f>E15*AZ25</f>
        <v>0.07312237208</v>
      </c>
      <c r="F71" s="63">
        <f>F15*AZ25</f>
        <v>0.1197412986</v>
      </c>
      <c r="G71" s="63">
        <f t="shared" ref="G71:O71" si="13">G15</f>
        <v>0.04719229538</v>
      </c>
      <c r="H71" s="63">
        <f t="shared" si="13"/>
        <v>0.07769508321</v>
      </c>
      <c r="I71" s="63">
        <f t="shared" si="13"/>
        <v>0.04081763574</v>
      </c>
      <c r="J71" s="63">
        <f t="shared" si="13"/>
        <v>0.06476973875</v>
      </c>
      <c r="K71" s="63">
        <f t="shared" si="13"/>
        <v>0.01120212383</v>
      </c>
      <c r="L71" s="63">
        <f t="shared" si="13"/>
        <v>0.1359269324</v>
      </c>
      <c r="M71" s="63">
        <f t="shared" si="13"/>
        <v>0.1898197854</v>
      </c>
      <c r="N71" s="63">
        <f t="shared" si="13"/>
        <v>0.08158478485</v>
      </c>
      <c r="O71" s="63">
        <f t="shared" si="13"/>
        <v>0.07353022571</v>
      </c>
      <c r="P71" s="64">
        <v>0.05443894454</v>
      </c>
      <c r="Q71" s="290">
        <v>4.01458187E-5</v>
      </c>
      <c r="R71" s="63">
        <v>1.040323138E-4</v>
      </c>
      <c r="S71" s="63">
        <v>4.725245576E-5</v>
      </c>
      <c r="T71" s="63">
        <v>8.561844871E-5</v>
      </c>
      <c r="U71" s="63">
        <v>7.749956193E-5</v>
      </c>
      <c r="V71" s="63">
        <v>2.365022202E-4</v>
      </c>
      <c r="W71" s="63">
        <v>4.61531892E-5</v>
      </c>
      <c r="X71" s="63">
        <v>8.534064437E-5</v>
      </c>
      <c r="Y71" s="63">
        <v>6.651594914E-5</v>
      </c>
      <c r="Z71" s="63">
        <v>7.505419715E-5</v>
      </c>
      <c r="AA71" s="63">
        <v>9.539101371E-5</v>
      </c>
      <c r="AB71" s="63">
        <v>3.150456431E-4</v>
      </c>
      <c r="AC71" s="63">
        <v>6.888721892E-5</v>
      </c>
      <c r="AD71" s="63">
        <v>3.641662681E-5</v>
      </c>
      <c r="AE71" s="330">
        <v>79893.2620355443</v>
      </c>
      <c r="AF71" s="330">
        <v>10429.67354068332</v>
      </c>
      <c r="AG71" s="330">
        <v>67269.72223538726</v>
      </c>
      <c r="AH71" s="330">
        <v>14375.9321880634</v>
      </c>
      <c r="AI71" s="339">
        <v>66.680606345516</v>
      </c>
      <c r="AJ71" s="340">
        <v>17.0011628330337</v>
      </c>
      <c r="AK71" s="154">
        <v>0.0</v>
      </c>
      <c r="AL71" s="341">
        <v>1580.065033470434</v>
      </c>
      <c r="AM71" s="329">
        <v>191.5937961042089</v>
      </c>
      <c r="AN71" s="334">
        <v>504.5343355529897</v>
      </c>
      <c r="AO71" s="342">
        <v>2003.677781665995</v>
      </c>
      <c r="AP71" s="343">
        <v>150.1069764468394</v>
      </c>
      <c r="AQ71" s="344">
        <v>41.6743369662688</v>
      </c>
      <c r="AR71" s="306">
        <v>0.0</v>
      </c>
      <c r="AS71" s="291">
        <f t="shared" si="6"/>
        <v>172052.2718</v>
      </c>
      <c r="AT71" s="44">
        <f t="shared" si="5"/>
        <v>4471.65226</v>
      </c>
      <c r="AU71" s="45">
        <f t="shared" si="3"/>
        <v>176523.924</v>
      </c>
      <c r="AV71" s="307">
        <v>284527.0469544843</v>
      </c>
      <c r="AW71" s="96" t="s">
        <v>68</v>
      </c>
      <c r="AX71" s="61"/>
    </row>
    <row r="72">
      <c r="A72" s="293"/>
      <c r="B72" s="17" t="s">
        <v>69</v>
      </c>
      <c r="C72" s="62">
        <f t="shared" ref="C72:O72" si="14">C16</f>
        <v>0.003391091162</v>
      </c>
      <c r="D72" s="63">
        <f t="shared" si="14"/>
        <v>0.001011730245</v>
      </c>
      <c r="E72" s="63">
        <f t="shared" si="14"/>
        <v>0.0009010509439</v>
      </c>
      <c r="F72" s="63">
        <f t="shared" si="14"/>
        <v>0.005380387347</v>
      </c>
      <c r="G72" s="63">
        <f t="shared" si="14"/>
        <v>0.0005274715542</v>
      </c>
      <c r="H72" s="63">
        <f t="shared" si="14"/>
        <v>0.2260004233</v>
      </c>
      <c r="I72" s="63">
        <f t="shared" si="14"/>
        <v>0.0009548248365</v>
      </c>
      <c r="J72" s="63">
        <f t="shared" si="14"/>
        <v>0.002699126617</v>
      </c>
      <c r="K72" s="63">
        <f t="shared" si="14"/>
        <v>0.001095696749</v>
      </c>
      <c r="L72" s="63">
        <f t="shared" si="14"/>
        <v>0.002541511302</v>
      </c>
      <c r="M72" s="63">
        <f t="shared" si="14"/>
        <v>0.005900005107</v>
      </c>
      <c r="N72" s="63">
        <f t="shared" si="14"/>
        <v>0.2288443355</v>
      </c>
      <c r="O72" s="63">
        <f t="shared" si="14"/>
        <v>0.001625422528</v>
      </c>
      <c r="P72" s="64">
        <v>0.001372403087</v>
      </c>
      <c r="Q72" s="290">
        <v>9.471934774E-7</v>
      </c>
      <c r="R72" s="63">
        <v>2.007883666E-6</v>
      </c>
      <c r="S72" s="63">
        <v>2.595110281E-6</v>
      </c>
      <c r="T72" s="63">
        <v>3.732732316E-6</v>
      </c>
      <c r="U72" s="63">
        <v>6.926110217E-7</v>
      </c>
      <c r="V72" s="63">
        <v>2.686272475E-5</v>
      </c>
      <c r="W72" s="63">
        <v>4.982253164E-7</v>
      </c>
      <c r="X72" s="63">
        <v>1.294061839E-6</v>
      </c>
      <c r="Y72" s="63">
        <v>2.202677695E-6</v>
      </c>
      <c r="Z72" s="63">
        <v>7.560667588E-7</v>
      </c>
      <c r="AA72" s="63">
        <v>4.892726266E-7</v>
      </c>
      <c r="AB72" s="63">
        <v>3.126912507E-5</v>
      </c>
      <c r="AC72" s="63">
        <v>1.956391514E-6</v>
      </c>
      <c r="AD72" s="63">
        <v>4.15374663E-7</v>
      </c>
      <c r="AE72" s="345">
        <v>44.65593015761451</v>
      </c>
      <c r="AF72" s="154">
        <v>0.06804619795203799</v>
      </c>
      <c r="AG72" s="346">
        <v>8.79559567867623</v>
      </c>
      <c r="AH72" s="347">
        <v>23.91105923512939</v>
      </c>
      <c r="AI72" s="348">
        <v>4.257447937103011</v>
      </c>
      <c r="AJ72" s="154">
        <v>0.7061291840577871</v>
      </c>
      <c r="AK72" s="154">
        <v>0.0</v>
      </c>
      <c r="AL72" s="349">
        <v>12.53720421332408</v>
      </c>
      <c r="AM72" s="154">
        <v>0.2045086044712902</v>
      </c>
      <c r="AN72" s="154">
        <v>1.48432133199973</v>
      </c>
      <c r="AO72" s="302">
        <v>3.265133432856384</v>
      </c>
      <c r="AP72" s="154">
        <v>1.022369894843737</v>
      </c>
      <c r="AQ72" s="154">
        <v>0.3118078185897767</v>
      </c>
      <c r="AR72" s="306">
        <v>0.0</v>
      </c>
      <c r="AS72" s="291">
        <f t="shared" si="6"/>
        <v>82.39420839</v>
      </c>
      <c r="AT72" s="44">
        <f t="shared" si="5"/>
        <v>18.8253453</v>
      </c>
      <c r="AU72" s="45">
        <f t="shared" si="3"/>
        <v>101.2195537</v>
      </c>
      <c r="AV72" s="307">
        <v>4688.292525624584</v>
      </c>
      <c r="AW72" s="111" t="s">
        <v>69</v>
      </c>
      <c r="AX72" s="61"/>
      <c r="AY72" s="281"/>
      <c r="AZ72" s="281"/>
      <c r="BA72" s="281"/>
      <c r="BB72" s="281"/>
      <c r="BC72" s="281"/>
      <c r="BD72" s="281"/>
      <c r="BE72" s="281"/>
      <c r="BF72" s="281"/>
      <c r="BG72" s="281"/>
      <c r="BH72" s="281"/>
    </row>
    <row r="73">
      <c r="A73" s="293"/>
      <c r="B73" s="17" t="s">
        <v>70</v>
      </c>
      <c r="C73" s="62">
        <f t="shared" ref="C73:O73" si="15">C17</f>
        <v>0.001158193698</v>
      </c>
      <c r="D73" s="63">
        <f t="shared" si="15"/>
        <v>0.001898991131</v>
      </c>
      <c r="E73" s="63">
        <f t="shared" si="15"/>
        <v>0.00125664343</v>
      </c>
      <c r="F73" s="63">
        <f t="shared" si="15"/>
        <v>0.0003952017422</v>
      </c>
      <c r="G73" s="63">
        <f t="shared" si="15"/>
        <v>0.0004458927297</v>
      </c>
      <c r="H73" s="63">
        <f t="shared" si="15"/>
        <v>0.002112298029</v>
      </c>
      <c r="I73" s="63">
        <f t="shared" si="15"/>
        <v>0.0002218520931</v>
      </c>
      <c r="J73" s="63">
        <f t="shared" si="15"/>
        <v>0.0004235436939</v>
      </c>
      <c r="K73" s="63">
        <f t="shared" si="15"/>
        <v>0.0003426631766</v>
      </c>
      <c r="L73" s="63">
        <f t="shared" si="15"/>
        <v>0.0006404430695</v>
      </c>
      <c r="M73" s="63">
        <f t="shared" si="15"/>
        <v>0.002754398992</v>
      </c>
      <c r="N73" s="63">
        <f t="shared" si="15"/>
        <v>0.002133816097</v>
      </c>
      <c r="O73" s="63">
        <f t="shared" si="15"/>
        <v>0.01989035539</v>
      </c>
      <c r="P73" s="64">
        <v>0.001608366322</v>
      </c>
      <c r="Q73" s="290">
        <v>4.952609676E-8</v>
      </c>
      <c r="R73" s="63">
        <v>4.699453164E-8</v>
      </c>
      <c r="S73" s="63">
        <v>1.617907105E-8</v>
      </c>
      <c r="T73" s="63">
        <v>2.911650879E-8</v>
      </c>
      <c r="U73" s="63">
        <v>1.549033689E-8</v>
      </c>
      <c r="V73" s="63">
        <v>9.975263019E-8</v>
      </c>
      <c r="W73" s="63">
        <v>7.923923991E-9</v>
      </c>
      <c r="X73" s="63">
        <v>3.010402726E-8</v>
      </c>
      <c r="Y73" s="63">
        <v>1.238783637E-8</v>
      </c>
      <c r="Z73" s="63">
        <v>3.800876456E-8</v>
      </c>
      <c r="AA73" s="63">
        <v>2.386332294E-8</v>
      </c>
      <c r="AB73" s="63">
        <v>1.171450976E-7</v>
      </c>
      <c r="AC73" s="63">
        <v>1.30151296E-7</v>
      </c>
      <c r="AD73" s="63">
        <v>8.999155442E-9</v>
      </c>
      <c r="AE73" s="302">
        <v>1.36516102807</v>
      </c>
      <c r="AF73" s="154">
        <v>0.0</v>
      </c>
      <c r="AG73" s="154">
        <v>0.0232016966375</v>
      </c>
      <c r="AH73" s="350">
        <v>10.4831028121</v>
      </c>
      <c r="AI73" s="154">
        <v>0.0323281467407</v>
      </c>
      <c r="AJ73" s="154">
        <v>0.00804317820774</v>
      </c>
      <c r="AK73" s="154">
        <v>0.0</v>
      </c>
      <c r="AL73" s="351">
        <v>0.2951126353938044</v>
      </c>
      <c r="AM73" s="154">
        <v>0.01836701148556584</v>
      </c>
      <c r="AN73" s="154">
        <v>0.01293880219774327</v>
      </c>
      <c r="AO73" s="154">
        <v>0.7324733177890848</v>
      </c>
      <c r="AP73" s="154">
        <v>0.00447812098108109</v>
      </c>
      <c r="AQ73" s="154">
        <v>9.227734867328322E-4</v>
      </c>
      <c r="AR73" s="306">
        <v>0.0</v>
      </c>
      <c r="AS73" s="291">
        <f t="shared" si="6"/>
        <v>11.91183686</v>
      </c>
      <c r="AT73" s="44">
        <f t="shared" si="5"/>
        <v>1.064292661</v>
      </c>
      <c r="AU73" s="45">
        <f t="shared" si="3"/>
        <v>12.97612952</v>
      </c>
      <c r="AV73" s="307">
        <v>1115.5900098496209</v>
      </c>
      <c r="AW73" s="111" t="s">
        <v>70</v>
      </c>
      <c r="AX73" s="168"/>
      <c r="AY73" s="281"/>
      <c r="AZ73" s="281"/>
      <c r="BA73" s="281"/>
      <c r="BB73" s="281"/>
      <c r="BC73" s="281"/>
      <c r="BD73" s="281"/>
      <c r="BE73" s="281"/>
      <c r="BF73" s="281"/>
      <c r="BG73" s="281"/>
      <c r="BH73" s="281"/>
    </row>
    <row r="74">
      <c r="A74" s="352"/>
      <c r="B74" s="17" t="s">
        <v>71</v>
      </c>
      <c r="C74" s="169">
        <f t="shared" ref="C74:P74" si="16">C18</f>
        <v>0.00131082684</v>
      </c>
      <c r="D74" s="170">
        <f t="shared" si="16"/>
        <v>0.007415972687</v>
      </c>
      <c r="E74" s="170">
        <f t="shared" si="16"/>
        <v>0.001299425329</v>
      </c>
      <c r="F74" s="170">
        <f t="shared" si="16"/>
        <v>0.006091870711</v>
      </c>
      <c r="G74" s="170">
        <f t="shared" si="16"/>
        <v>0.002242227636</v>
      </c>
      <c r="H74" s="170">
        <f t="shared" si="16"/>
        <v>0.001775225417</v>
      </c>
      <c r="I74" s="170">
        <f t="shared" si="16"/>
        <v>0.0009914529127</v>
      </c>
      <c r="J74" s="170">
        <f t="shared" si="16"/>
        <v>0.002314097177</v>
      </c>
      <c r="K74" s="170">
        <f t="shared" si="16"/>
        <v>0.0007899339281</v>
      </c>
      <c r="L74" s="170">
        <f t="shared" si="16"/>
        <v>0.006033425029</v>
      </c>
      <c r="M74" s="170">
        <f t="shared" si="16"/>
        <v>0.003774402691</v>
      </c>
      <c r="N74" s="170">
        <f t="shared" si="16"/>
        <v>0.001799711334</v>
      </c>
      <c r="O74" s="170">
        <f t="shared" si="16"/>
        <v>0.002744107295</v>
      </c>
      <c r="P74" s="171">
        <f t="shared" si="16"/>
        <v>0.009901269564</v>
      </c>
      <c r="Q74" s="353">
        <v>9.121527182E-6</v>
      </c>
      <c r="R74" s="354">
        <v>2.921391599E-5</v>
      </c>
      <c r="S74" s="354">
        <v>1.26975959E-5</v>
      </c>
      <c r="T74" s="354">
        <v>9.755379525E-6</v>
      </c>
      <c r="U74" s="354">
        <v>1.409415247E-5</v>
      </c>
      <c r="V74" s="354">
        <v>6.454966833E-5</v>
      </c>
      <c r="W74" s="354">
        <v>1.023593901E-5</v>
      </c>
      <c r="X74" s="354">
        <v>5.634733288E-5</v>
      </c>
      <c r="Y74" s="354">
        <v>1.049474608E-4</v>
      </c>
      <c r="Z74" s="354">
        <v>3.406577963E-4</v>
      </c>
      <c r="AA74" s="354">
        <v>6.322089127E-5</v>
      </c>
      <c r="AB74" s="354">
        <v>6.389716645E-5</v>
      </c>
      <c r="AC74" s="354">
        <v>1.736037385E-5</v>
      </c>
      <c r="AD74" s="354">
        <v>3.654581355E-5</v>
      </c>
      <c r="AE74" s="355">
        <v>2664.16692759</v>
      </c>
      <c r="AF74" s="322">
        <v>5.19285339707</v>
      </c>
      <c r="AG74" s="356">
        <v>77.3345884626</v>
      </c>
      <c r="AH74" s="357">
        <v>43.5026786084</v>
      </c>
      <c r="AI74" s="302">
        <v>1.34239237792</v>
      </c>
      <c r="AJ74" s="154">
        <v>0.269797311671</v>
      </c>
      <c r="AK74" s="154">
        <v>0.0</v>
      </c>
      <c r="AL74" s="358">
        <v>1951.764169020446</v>
      </c>
      <c r="AM74" s="359">
        <v>554.3166258545385</v>
      </c>
      <c r="AN74" s="360">
        <v>23.58271602121914</v>
      </c>
      <c r="AO74" s="361">
        <v>20.3446667780963</v>
      </c>
      <c r="AP74" s="362">
        <v>4883.764609076587</v>
      </c>
      <c r="AQ74" s="363">
        <v>1303.914832591401</v>
      </c>
      <c r="AR74" s="364">
        <v>0.0</v>
      </c>
      <c r="AS74" s="291">
        <f t="shared" si="6"/>
        <v>8737.687619</v>
      </c>
      <c r="AT74" s="44">
        <f t="shared" si="5"/>
        <v>2791.809238</v>
      </c>
      <c r="AU74" s="45">
        <f t="shared" si="3"/>
        <v>11529.49686</v>
      </c>
      <c r="AV74" s="307">
        <v>30589.34945042874</v>
      </c>
      <c r="AW74" s="96" t="s">
        <v>71</v>
      </c>
      <c r="AX74" s="365" t="s">
        <v>40</v>
      </c>
      <c r="AY74" s="281"/>
      <c r="AZ74" s="281"/>
      <c r="BA74" s="281"/>
      <c r="BB74" s="281"/>
      <c r="BC74" s="281"/>
      <c r="BD74" s="281"/>
      <c r="BE74" s="281"/>
      <c r="BF74" s="281"/>
      <c r="BG74" s="281"/>
      <c r="BH74" s="281"/>
    </row>
    <row r="75">
      <c r="A75" s="26" t="s">
        <v>40</v>
      </c>
      <c r="B75" s="285" t="s">
        <v>58</v>
      </c>
      <c r="C75" s="366">
        <f t="shared" ref="C75:F75" si="17">C19</f>
        <v>0.01550837378</v>
      </c>
      <c r="D75" s="366">
        <f t="shared" si="17"/>
        <v>0.03073130953</v>
      </c>
      <c r="E75" s="366">
        <f t="shared" si="17"/>
        <v>0.1088281615</v>
      </c>
      <c r="F75" s="366">
        <f t="shared" si="17"/>
        <v>0.00008014600877</v>
      </c>
      <c r="G75" s="366">
        <f>G19*BA9</f>
        <v>0.05461803808</v>
      </c>
      <c r="H75" s="366">
        <f t="shared" ref="H75:K75" si="18">H19</f>
        <v>0.00003183061603</v>
      </c>
      <c r="I75" s="366">
        <f t="shared" si="18"/>
        <v>0.00006631147079</v>
      </c>
      <c r="J75" s="366">
        <f t="shared" si="18"/>
        <v>0.0007175740932</v>
      </c>
      <c r="K75" s="366">
        <f t="shared" si="18"/>
        <v>0.0002278280375</v>
      </c>
      <c r="L75" s="366">
        <f>L19*BA11</f>
        <v>0.0001312897048</v>
      </c>
      <c r="M75" s="366">
        <f>M19*BA13</f>
        <v>0.000151296556</v>
      </c>
      <c r="N75" s="366">
        <f t="shared" ref="N75:O75" si="19">N19</f>
        <v>0.00004086041522</v>
      </c>
      <c r="O75" s="366">
        <f t="shared" si="19"/>
        <v>0.00000521317311</v>
      </c>
      <c r="P75" s="367">
        <f>P19*BA15</f>
        <v>0.005464640463</v>
      </c>
      <c r="Q75" s="49">
        <v>0.2003249004</v>
      </c>
      <c r="R75" s="50">
        <v>0.151392266</v>
      </c>
      <c r="S75" s="50">
        <v>0.04112155266</v>
      </c>
      <c r="T75" s="50">
        <v>0.002613946747</v>
      </c>
      <c r="U75" s="50">
        <v>0.2640351226</v>
      </c>
      <c r="V75" s="50">
        <v>0.001346256164</v>
      </c>
      <c r="W75" s="50">
        <v>0.004973638231</v>
      </c>
      <c r="X75" s="50">
        <v>0.009165985803</v>
      </c>
      <c r="Y75" s="50">
        <v>0.0394525096</v>
      </c>
      <c r="Z75" s="50">
        <v>0.001779586559</v>
      </c>
      <c r="AA75" s="50">
        <v>0.002709128619</v>
      </c>
      <c r="AB75" s="50">
        <v>0.002522918518</v>
      </c>
      <c r="AC75" s="50">
        <v>0.002911466934</v>
      </c>
      <c r="AD75" s="51">
        <v>0.01103695104</v>
      </c>
      <c r="AE75" s="368">
        <v>1263.91509148053</v>
      </c>
      <c r="AF75" s="369">
        <v>0.0</v>
      </c>
      <c r="AG75" s="369">
        <v>0.1899793920724182</v>
      </c>
      <c r="AH75" s="370">
        <v>36.48352030368296</v>
      </c>
      <c r="AI75" s="371">
        <v>3.065474619972921</v>
      </c>
      <c r="AJ75" s="369">
        <v>0.04270501822165242</v>
      </c>
      <c r="AK75" s="372">
        <v>0.0</v>
      </c>
      <c r="AL75" s="373">
        <v>904926.9128416507</v>
      </c>
      <c r="AM75" s="374">
        <v>552.4542964805064</v>
      </c>
      <c r="AN75" s="375">
        <v>18964.20918591821</v>
      </c>
      <c r="AO75" s="376">
        <v>63323.49457890576</v>
      </c>
      <c r="AP75" s="377">
        <v>130813.4363139673</v>
      </c>
      <c r="AQ75" s="369">
        <v>-46.80768258909544</v>
      </c>
      <c r="AR75" s="372">
        <v>0.0</v>
      </c>
      <c r="AS75" s="207">
        <f t="shared" ref="AS75:AS88" si="23">AT18</f>
        <v>1118533.7</v>
      </c>
      <c r="AT75" s="208">
        <f>AV18*BA5</f>
        <v>1238.511932</v>
      </c>
      <c r="AU75" s="45">
        <f t="shared" si="3"/>
        <v>1119772.211</v>
      </c>
      <c r="AV75" s="307">
        <v>3574986.989395662</v>
      </c>
      <c r="AW75" s="378" t="s">
        <v>58</v>
      </c>
      <c r="AX75" s="61"/>
      <c r="AY75" s="281"/>
      <c r="AZ75" s="281"/>
      <c r="BA75" s="281"/>
      <c r="BB75" s="281"/>
      <c r="BC75" s="281"/>
      <c r="BD75" s="281"/>
      <c r="BE75" s="281"/>
      <c r="BF75" s="281"/>
      <c r="BG75" s="281"/>
      <c r="BH75" s="281"/>
      <c r="BJ75" s="24"/>
      <c r="BK75" s="24"/>
      <c r="BL75" s="24"/>
      <c r="BM75" s="24"/>
      <c r="BN75" s="24"/>
      <c r="BO75" s="24"/>
      <c r="BP75" s="24"/>
      <c r="BQ75" s="24"/>
      <c r="BR75" s="24"/>
      <c r="BS75" s="24"/>
      <c r="BT75" s="24"/>
      <c r="BU75" s="24"/>
      <c r="BV75" s="24"/>
      <c r="BW75" s="24"/>
      <c r="BX75" s="24"/>
      <c r="BY75" s="24"/>
      <c r="BZ75" s="24"/>
      <c r="CA75" s="24"/>
      <c r="CB75" s="24"/>
      <c r="CC75" s="24"/>
      <c r="CD75" s="24"/>
      <c r="CE75" s="24"/>
      <c r="CF75" s="24"/>
      <c r="CG75" s="24"/>
      <c r="CH75" s="24"/>
      <c r="CI75" s="24"/>
      <c r="CJ75" s="24"/>
      <c r="CK75" s="24"/>
      <c r="CL75" s="24"/>
      <c r="CM75" s="24"/>
      <c r="CN75" s="24"/>
      <c r="CO75" s="24"/>
      <c r="CP75" s="24"/>
      <c r="CQ75" s="24"/>
      <c r="CR75" s="24"/>
      <c r="CS75" s="24"/>
      <c r="CT75" s="24"/>
      <c r="CU75" s="24"/>
      <c r="CV75" s="24"/>
      <c r="CW75" s="24"/>
      <c r="CX75" s="24"/>
      <c r="CY75" s="24"/>
      <c r="CZ75" s="24"/>
      <c r="DA75" s="24"/>
      <c r="DB75" s="24"/>
      <c r="DC75" s="24"/>
      <c r="DD75" s="24"/>
      <c r="DE75" s="24"/>
      <c r="DF75" s="24"/>
      <c r="DG75" s="24"/>
      <c r="DH75" s="24"/>
      <c r="DI75" s="24"/>
      <c r="DJ75" s="24"/>
      <c r="DK75" s="24"/>
      <c r="DL75" s="24"/>
      <c r="DM75" s="24"/>
      <c r="DN75" s="24"/>
      <c r="DO75" s="24"/>
      <c r="DP75" s="24"/>
      <c r="DQ75" s="24"/>
      <c r="DR75" s="24"/>
      <c r="DS75" s="24"/>
      <c r="DT75" s="24"/>
      <c r="DU75" s="24"/>
    </row>
    <row r="76">
      <c r="A76" s="61"/>
      <c r="B76" s="285" t="s">
        <v>59</v>
      </c>
      <c r="C76" s="63">
        <f t="shared" ref="C76:F76" si="20">C20</f>
        <v>0.0002093046928</v>
      </c>
      <c r="D76" s="63">
        <f t="shared" si="20"/>
        <v>0.001867255963</v>
      </c>
      <c r="E76" s="63">
        <f t="shared" si="20"/>
        <v>0.003891826899</v>
      </c>
      <c r="F76" s="63">
        <f t="shared" si="20"/>
        <v>0.000381220363</v>
      </c>
      <c r="G76" s="63">
        <f>G20*BA9</f>
        <v>0.02119860959</v>
      </c>
      <c r="H76" s="63">
        <f t="shared" ref="H76:K76" si="21">H20</f>
        <v>0.000003399731434</v>
      </c>
      <c r="I76" s="63">
        <f t="shared" si="21"/>
        <v>0.00002926320554</v>
      </c>
      <c r="J76" s="63">
        <f t="shared" si="21"/>
        <v>0.001060047746</v>
      </c>
      <c r="K76" s="63">
        <f t="shared" si="21"/>
        <v>0.00008820696252</v>
      </c>
      <c r="L76" s="63">
        <f>L20*BA11</f>
        <v>0.00005638592676</v>
      </c>
      <c r="M76" s="63">
        <f>M20*BA13</f>
        <v>0.0000984099781</v>
      </c>
      <c r="N76" s="63">
        <f t="shared" ref="N76:O76" si="22">N20</f>
        <v>0.000003452984856</v>
      </c>
      <c r="O76" s="63">
        <f t="shared" si="22"/>
        <v>0.000008928674313</v>
      </c>
      <c r="P76" s="379">
        <f>P20*BA15</f>
        <v>0.003829025345</v>
      </c>
      <c r="Q76" s="62">
        <v>0.00102973482</v>
      </c>
      <c r="R76" s="63">
        <v>0.03655312507</v>
      </c>
      <c r="S76" s="63">
        <v>0.0146194046</v>
      </c>
      <c r="T76" s="63">
        <v>0.01169554095</v>
      </c>
      <c r="U76" s="63">
        <v>0.0216807217</v>
      </c>
      <c r="V76" s="63">
        <v>0.001382303773</v>
      </c>
      <c r="W76" s="63">
        <v>4.345803353E-4</v>
      </c>
      <c r="X76" s="63">
        <v>9.116516691E-4</v>
      </c>
      <c r="Y76" s="63">
        <v>0.004248198245</v>
      </c>
      <c r="Z76" s="63">
        <v>0.001741882932</v>
      </c>
      <c r="AA76" s="63">
        <v>0.001018061908</v>
      </c>
      <c r="AB76" s="63">
        <v>0.002612283949</v>
      </c>
      <c r="AC76" s="63">
        <v>0.001103165091</v>
      </c>
      <c r="AD76" s="64">
        <v>0.02931165868</v>
      </c>
      <c r="AE76" s="191">
        <v>866.1529169083187</v>
      </c>
      <c r="AF76" s="154">
        <v>0.0</v>
      </c>
      <c r="AG76" s="154">
        <v>0.08592482391439069</v>
      </c>
      <c r="AH76" s="302">
        <v>2.284899424036052</v>
      </c>
      <c r="AI76" s="154">
        <v>0.8516819944522945</v>
      </c>
      <c r="AJ76" s="154">
        <v>0.002577991832516221</v>
      </c>
      <c r="AK76" s="306">
        <v>0.0</v>
      </c>
      <c r="AL76" s="380">
        <v>627569.9905716935</v>
      </c>
      <c r="AM76" s="154">
        <v>120.6645649086494</v>
      </c>
      <c r="AN76" s="381">
        <v>1658.031132516211</v>
      </c>
      <c r="AO76" s="382">
        <v>1813.83064320283</v>
      </c>
      <c r="AP76" s="383">
        <v>1979.271011033797</v>
      </c>
      <c r="AQ76" s="154">
        <v>142.7192292700112</v>
      </c>
      <c r="AR76" s="306">
        <v>0.0</v>
      </c>
      <c r="AS76" s="207">
        <f t="shared" si="23"/>
        <v>633284.5072</v>
      </c>
      <c r="AT76" s="208">
        <f>AV19*AZ5</f>
        <v>912.8469012</v>
      </c>
      <c r="AU76" s="45">
        <f t="shared" si="3"/>
        <v>634197.3541</v>
      </c>
      <c r="AV76" s="307">
        <v>1077167.3862912403</v>
      </c>
      <c r="AW76" s="378" t="s">
        <v>59</v>
      </c>
      <c r="AX76" s="61"/>
      <c r="AY76" s="281"/>
      <c r="AZ76" s="281"/>
      <c r="BA76" s="281"/>
      <c r="BB76" s="281"/>
      <c r="BC76" s="281"/>
      <c r="BD76" s="281"/>
      <c r="BE76" s="281"/>
      <c r="BF76" s="281"/>
      <c r="BG76" s="281"/>
      <c r="BH76" s="281"/>
      <c r="BJ76" s="24"/>
      <c r="BK76" s="24"/>
      <c r="BL76" s="24"/>
      <c r="BM76" s="24"/>
      <c r="BN76" s="24"/>
      <c r="BO76" s="24"/>
      <c r="BP76" s="24"/>
      <c r="BQ76" s="24"/>
      <c r="BR76" s="24"/>
      <c r="BS76" s="24"/>
      <c r="BT76" s="24"/>
      <c r="BU76" s="24"/>
      <c r="BV76" s="24"/>
      <c r="BW76" s="24"/>
      <c r="BX76" s="24"/>
      <c r="BY76" s="24"/>
      <c r="BZ76" s="24"/>
      <c r="CA76" s="24"/>
      <c r="CB76" s="24"/>
      <c r="CC76" s="24"/>
      <c r="CD76" s="24"/>
      <c r="CE76" s="24"/>
      <c r="CF76" s="24"/>
      <c r="CG76" s="24"/>
      <c r="CH76" s="24"/>
      <c r="CI76" s="24"/>
      <c r="CJ76" s="24"/>
      <c r="CK76" s="24"/>
      <c r="CL76" s="24"/>
      <c r="CM76" s="24"/>
      <c r="CN76" s="24"/>
      <c r="CO76" s="24"/>
      <c r="CP76" s="24"/>
      <c r="CQ76" s="24"/>
      <c r="CR76" s="24"/>
      <c r="CS76" s="24"/>
      <c r="CT76" s="24"/>
      <c r="CU76" s="24"/>
      <c r="CV76" s="24"/>
      <c r="CW76" s="24"/>
      <c r="CX76" s="24"/>
      <c r="CY76" s="24"/>
      <c r="CZ76" s="24"/>
      <c r="DA76" s="24"/>
      <c r="DB76" s="24"/>
      <c r="DC76" s="24"/>
      <c r="DD76" s="24"/>
      <c r="DE76" s="24"/>
      <c r="DF76" s="24"/>
      <c r="DG76" s="24"/>
      <c r="DH76" s="24"/>
      <c r="DI76" s="24"/>
      <c r="DJ76" s="24"/>
      <c r="DK76" s="24"/>
      <c r="DL76" s="24"/>
      <c r="DM76" s="24"/>
      <c r="DN76" s="24"/>
      <c r="DO76" s="24"/>
      <c r="DP76" s="24"/>
      <c r="DQ76" s="24"/>
      <c r="DR76" s="24"/>
      <c r="DS76" s="24"/>
      <c r="DT76" s="24"/>
      <c r="DU76" s="24"/>
    </row>
    <row r="77">
      <c r="A77" s="61"/>
      <c r="B77" s="286" t="s">
        <v>60</v>
      </c>
      <c r="C77" s="63">
        <f t="shared" ref="C77:F77" si="24">C21</f>
        <v>0.00002542894</v>
      </c>
      <c r="D77" s="63">
        <f t="shared" si="24"/>
        <v>0.00008924895389</v>
      </c>
      <c r="E77" s="63">
        <f t="shared" si="24"/>
        <v>0.0005740287339</v>
      </c>
      <c r="F77" s="63">
        <f t="shared" si="24"/>
        <v>0.01599422767</v>
      </c>
      <c r="G77" s="63">
        <f>G21*AZ9</f>
        <v>0.000009203011624</v>
      </c>
      <c r="H77" s="63">
        <f t="shared" ref="H77:K77" si="25">H21</f>
        <v>0.00001276265471</v>
      </c>
      <c r="I77" s="63">
        <f t="shared" si="25"/>
        <v>0.0001227038878</v>
      </c>
      <c r="J77" s="63">
        <f t="shared" si="25"/>
        <v>0.000148088927</v>
      </c>
      <c r="K77" s="63">
        <f t="shared" si="25"/>
        <v>0.00005893933918</v>
      </c>
      <c r="L77" s="63">
        <f>L21*AZ11</f>
        <v>0.0002513242896</v>
      </c>
      <c r="M77" s="63">
        <f>M21*AZ13</f>
        <v>0.0001189764408</v>
      </c>
      <c r="N77" s="63">
        <f t="shared" ref="N77:O77" si="26">N21</f>
        <v>0.00001460664523</v>
      </c>
      <c r="O77" s="63">
        <f t="shared" si="26"/>
        <v>0.000006476257245</v>
      </c>
      <c r="P77" s="379">
        <f>P21*AZ15</f>
        <v>0.0005923444534</v>
      </c>
      <c r="Q77" s="62">
        <v>0.001070858166</v>
      </c>
      <c r="R77" s="63">
        <v>9.69730399E-4</v>
      </c>
      <c r="S77" s="63">
        <v>0.07216130804</v>
      </c>
      <c r="T77" s="63">
        <v>0.3191939758</v>
      </c>
      <c r="U77" s="63">
        <v>0.009103250853</v>
      </c>
      <c r="V77" s="63">
        <v>0.003120813838</v>
      </c>
      <c r="W77" s="63">
        <v>0.00125778832</v>
      </c>
      <c r="X77" s="63">
        <v>0.001624883164</v>
      </c>
      <c r="Y77" s="63">
        <v>0.01258954118</v>
      </c>
      <c r="Z77" s="63">
        <v>9.647252237E-4</v>
      </c>
      <c r="AA77" s="63">
        <v>6.43984119E-4</v>
      </c>
      <c r="AB77" s="63">
        <v>0.001136260119</v>
      </c>
      <c r="AC77" s="63">
        <v>0.003843195891</v>
      </c>
      <c r="AD77" s="64">
        <v>0.01512559481</v>
      </c>
      <c r="AE77" s="343">
        <v>109.3655634567079</v>
      </c>
      <c r="AF77" s="154">
        <v>0.0</v>
      </c>
      <c r="AG77" s="154">
        <v>0.2713459165609642</v>
      </c>
      <c r="AH77" s="343">
        <v>113.8379392924525</v>
      </c>
      <c r="AI77" s="154">
        <v>-0.752282243317623</v>
      </c>
      <c r="AJ77" s="154">
        <v>0.0745490148153067</v>
      </c>
      <c r="AK77" s="306">
        <v>0.0</v>
      </c>
      <c r="AL77" s="384">
        <v>591491.8408581036</v>
      </c>
      <c r="AM77" s="385">
        <v>2517.197306540251</v>
      </c>
      <c r="AN77" s="386">
        <v>34496.01800171533</v>
      </c>
      <c r="AO77" s="387">
        <v>95928.07002835145</v>
      </c>
      <c r="AP77" s="388">
        <v>261735.5798799888</v>
      </c>
      <c r="AQ77" s="389">
        <v>266.2598854981971</v>
      </c>
      <c r="AR77" s="306">
        <v>0.0</v>
      </c>
      <c r="AS77" s="207">
        <f t="shared" si="23"/>
        <v>986434.966</v>
      </c>
      <c r="AT77" s="208">
        <f>AV20*AZ5</f>
        <v>233.9369712</v>
      </c>
      <c r="AU77" s="45">
        <f t="shared" si="3"/>
        <v>986668.9029</v>
      </c>
      <c r="AV77" s="307">
        <v>2126066.2548890924</v>
      </c>
      <c r="AW77" s="79" t="s">
        <v>60</v>
      </c>
      <c r="AX77" s="61"/>
      <c r="BJ77" s="24"/>
      <c r="BK77" s="24"/>
      <c r="BL77" s="24"/>
      <c r="BM77" s="24"/>
      <c r="BN77" s="24"/>
      <c r="BO77" s="24"/>
      <c r="BP77" s="24"/>
      <c r="BQ77" s="24"/>
      <c r="BR77" s="24"/>
      <c r="BS77" s="24"/>
      <c r="BT77" s="24"/>
      <c r="BU77" s="24"/>
      <c r="BV77" s="24"/>
      <c r="BW77" s="24"/>
      <c r="BX77" s="24"/>
      <c r="BY77" s="24"/>
      <c r="BZ77" s="24"/>
      <c r="CA77" s="24"/>
      <c r="CB77" s="24"/>
      <c r="CC77" s="24"/>
      <c r="CD77" s="24"/>
      <c r="CE77" s="24"/>
      <c r="CF77" s="24"/>
      <c r="CG77" s="24"/>
      <c r="CH77" s="24"/>
      <c r="CI77" s="24"/>
      <c r="CJ77" s="24"/>
      <c r="CK77" s="24"/>
      <c r="CL77" s="24"/>
      <c r="CM77" s="24"/>
      <c r="CN77" s="24"/>
      <c r="CO77" s="24"/>
      <c r="CP77" s="24"/>
      <c r="CQ77" s="24"/>
      <c r="CR77" s="24"/>
      <c r="CS77" s="24"/>
      <c r="CT77" s="24"/>
      <c r="CU77" s="24"/>
      <c r="CV77" s="24"/>
      <c r="CW77" s="24"/>
      <c r="CX77" s="24"/>
      <c r="CY77" s="24"/>
      <c r="CZ77" s="24"/>
      <c r="DA77" s="24"/>
      <c r="DB77" s="24"/>
      <c r="DC77" s="24"/>
      <c r="DD77" s="24"/>
      <c r="DE77" s="24"/>
      <c r="DF77" s="24"/>
      <c r="DG77" s="24"/>
      <c r="DH77" s="24"/>
      <c r="DI77" s="24"/>
      <c r="DJ77" s="24"/>
      <c r="DK77" s="24"/>
      <c r="DL77" s="24"/>
      <c r="DM77" s="24"/>
      <c r="DN77" s="24"/>
      <c r="DO77" s="24"/>
      <c r="DP77" s="24"/>
      <c r="DQ77" s="24"/>
      <c r="DR77" s="24"/>
      <c r="DS77" s="24"/>
      <c r="DT77" s="24"/>
      <c r="DU77" s="24"/>
    </row>
    <row r="78">
      <c r="A78" s="61"/>
      <c r="B78" s="286" t="s">
        <v>61</v>
      </c>
      <c r="C78" s="63">
        <f t="shared" ref="C78:F78" si="27">C22</f>
        <v>0.0002155323627</v>
      </c>
      <c r="D78" s="63">
        <f t="shared" si="27"/>
        <v>0.0004642548179</v>
      </c>
      <c r="E78" s="63">
        <f t="shared" si="27"/>
        <v>0.02025192085</v>
      </c>
      <c r="F78" s="63">
        <f t="shared" si="27"/>
        <v>0.04443934019</v>
      </c>
      <c r="G78" s="63">
        <f>G22*AZ9</f>
        <v>0.0002124863624</v>
      </c>
      <c r="H78" s="63">
        <f t="shared" ref="H78:K78" si="28">H22</f>
        <v>0.00002891100358</v>
      </c>
      <c r="I78" s="63">
        <f t="shared" si="28"/>
        <v>0.0001034578522</v>
      </c>
      <c r="J78" s="63">
        <f t="shared" si="28"/>
        <v>0.0008348776859</v>
      </c>
      <c r="K78" s="63">
        <f t="shared" si="28"/>
        <v>0.0005178653381</v>
      </c>
      <c r="L78" s="63">
        <f>L22*AZ11</f>
        <v>0.003878520599</v>
      </c>
      <c r="M78" s="63">
        <f>M22*AZ13</f>
        <v>0.0005091331601</v>
      </c>
      <c r="N78" s="63">
        <f t="shared" ref="N78:O78" si="29">N22</f>
        <v>0.000030659835</v>
      </c>
      <c r="O78" s="63">
        <f t="shared" si="29"/>
        <v>0.00002838204154</v>
      </c>
      <c r="P78" s="379">
        <f>P22*AZ15</f>
        <v>0.009966657083</v>
      </c>
      <c r="Q78" s="62">
        <v>0.00213670219</v>
      </c>
      <c r="R78" s="63">
        <v>0.006144864587</v>
      </c>
      <c r="S78" s="63">
        <v>0.01653424764</v>
      </c>
      <c r="T78" s="63">
        <v>0.0783993826</v>
      </c>
      <c r="U78" s="63">
        <v>0.041265935</v>
      </c>
      <c r="V78" s="63">
        <v>0.002345727052</v>
      </c>
      <c r="W78" s="63">
        <v>7.742545602E-4</v>
      </c>
      <c r="X78" s="63">
        <v>0.001662954574</v>
      </c>
      <c r="Y78" s="63">
        <v>0.007388326637</v>
      </c>
      <c r="Z78" s="63">
        <v>0.001588004229</v>
      </c>
      <c r="AA78" s="63">
        <v>0.00259330706</v>
      </c>
      <c r="AB78" s="63">
        <v>0.004328494393</v>
      </c>
      <c r="AC78" s="63">
        <v>0.002414626402</v>
      </c>
      <c r="AD78" s="64">
        <v>0.04252483401</v>
      </c>
      <c r="AE78" s="208">
        <v>1277.447092629195</v>
      </c>
      <c r="AF78" s="154">
        <v>0.0</v>
      </c>
      <c r="AG78" s="154">
        <v>0.3092874994224312</v>
      </c>
      <c r="AH78" s="390">
        <v>10.99722876653069</v>
      </c>
      <c r="AI78" s="313">
        <v>5.192252393746272</v>
      </c>
      <c r="AJ78" s="154">
        <v>0.01572939443740303</v>
      </c>
      <c r="AK78" s="306">
        <v>0.0</v>
      </c>
      <c r="AL78" s="207">
        <v>1390058.344163374</v>
      </c>
      <c r="AM78" s="391">
        <v>16936.94056597389</v>
      </c>
      <c r="AN78" s="391">
        <v>14125.23105676941</v>
      </c>
      <c r="AO78" s="392">
        <v>6845.796306541906</v>
      </c>
      <c r="AP78" s="393">
        <v>49962.77169062495</v>
      </c>
      <c r="AQ78" s="394">
        <v>348.9897046984574</v>
      </c>
      <c r="AR78" s="306">
        <v>0.0</v>
      </c>
      <c r="AS78" s="207">
        <f t="shared" si="23"/>
        <v>1478278.073</v>
      </c>
      <c r="AT78" s="208">
        <f t="shared" ref="AT78:AT88" si="31">AV21</f>
        <v>1293.961591</v>
      </c>
      <c r="AU78" s="45">
        <f t="shared" si="3"/>
        <v>1479572.035</v>
      </c>
      <c r="AV78" s="307">
        <v>2287259.092942211</v>
      </c>
      <c r="AW78" s="79" t="s">
        <v>61</v>
      </c>
      <c r="AX78" s="61"/>
      <c r="BJ78" s="24"/>
      <c r="BK78" s="24"/>
      <c r="BL78" s="24"/>
      <c r="BM78" s="24"/>
      <c r="BN78" s="24"/>
      <c r="BO78" s="24"/>
      <c r="BP78" s="24"/>
      <c r="BQ78" s="24"/>
      <c r="BR78" s="24"/>
      <c r="BS78" s="24"/>
      <c r="BT78" s="24"/>
      <c r="BU78" s="24"/>
      <c r="BV78" s="24"/>
      <c r="BW78" s="24"/>
      <c r="BX78" s="24"/>
      <c r="BY78" s="24"/>
      <c r="BZ78" s="24"/>
      <c r="CA78" s="24"/>
      <c r="CB78" s="24"/>
      <c r="CC78" s="24"/>
      <c r="CD78" s="24"/>
      <c r="CE78" s="24"/>
      <c r="CF78" s="24"/>
      <c r="CG78" s="24"/>
      <c r="CH78" s="24"/>
      <c r="CI78" s="24"/>
      <c r="CJ78" s="24"/>
      <c r="CK78" s="24"/>
      <c r="CL78" s="24"/>
      <c r="CM78" s="24"/>
      <c r="CN78" s="24"/>
      <c r="CO78" s="24"/>
      <c r="CP78" s="24"/>
      <c r="CQ78" s="24"/>
      <c r="CR78" s="24"/>
      <c r="CS78" s="24"/>
      <c r="CT78" s="24"/>
      <c r="CU78" s="24"/>
      <c r="CV78" s="24"/>
      <c r="CW78" s="24"/>
      <c r="CX78" s="24"/>
      <c r="CY78" s="24"/>
      <c r="CZ78" s="24"/>
      <c r="DA78" s="24"/>
      <c r="DB78" s="24"/>
      <c r="DC78" s="24"/>
      <c r="DD78" s="24"/>
      <c r="DE78" s="24"/>
      <c r="DF78" s="24"/>
      <c r="DG78" s="24"/>
      <c r="DH78" s="24"/>
      <c r="DI78" s="24"/>
      <c r="DJ78" s="24"/>
      <c r="DK78" s="24"/>
      <c r="DL78" s="24"/>
      <c r="DM78" s="24"/>
      <c r="DN78" s="24"/>
      <c r="DO78" s="24"/>
      <c r="DP78" s="24"/>
      <c r="DQ78" s="24"/>
      <c r="DR78" s="24"/>
      <c r="DS78" s="24"/>
      <c r="DT78" s="24"/>
      <c r="DU78" s="24"/>
    </row>
    <row r="79">
      <c r="A79" s="61"/>
      <c r="B79" s="287" t="s">
        <v>62</v>
      </c>
      <c r="C79" s="63">
        <f t="shared" ref="C79:P79" si="30">C23</f>
        <v>0.0001625172436</v>
      </c>
      <c r="D79" s="63">
        <f t="shared" si="30"/>
        <v>0.004054379652</v>
      </c>
      <c r="E79" s="63">
        <f t="shared" si="30"/>
        <v>0.01381449353</v>
      </c>
      <c r="F79" s="63">
        <f t="shared" si="30"/>
        <v>0.007461053047</v>
      </c>
      <c r="G79" s="63">
        <f t="shared" si="30"/>
        <v>0.03441276691</v>
      </c>
      <c r="H79" s="63">
        <f t="shared" si="30"/>
        <v>0.000008939459763</v>
      </c>
      <c r="I79" s="63">
        <f t="shared" si="30"/>
        <v>0.00003122815741</v>
      </c>
      <c r="J79" s="63">
        <f t="shared" si="30"/>
        <v>0.0009765325555</v>
      </c>
      <c r="K79" s="63">
        <f t="shared" si="30"/>
        <v>0.0001855750159</v>
      </c>
      <c r="L79" s="63">
        <f t="shared" si="30"/>
        <v>0.001052194051</v>
      </c>
      <c r="M79" s="63">
        <f t="shared" si="30"/>
        <v>0.0002830323248</v>
      </c>
      <c r="N79" s="63">
        <f t="shared" si="30"/>
        <v>0.000009362820695</v>
      </c>
      <c r="O79" s="63">
        <f t="shared" si="30"/>
        <v>0.00002726121444</v>
      </c>
      <c r="P79" s="379">
        <f t="shared" si="30"/>
        <v>0.008860599327</v>
      </c>
      <c r="Q79" s="62">
        <v>0.001795760602</v>
      </c>
      <c r="R79" s="63">
        <v>0.04439539655</v>
      </c>
      <c r="S79" s="63">
        <v>0.06537997563</v>
      </c>
      <c r="T79" s="63">
        <v>0.02749088433</v>
      </c>
      <c r="U79" s="63">
        <v>0.136495458</v>
      </c>
      <c r="V79" s="63">
        <v>0.001682103196</v>
      </c>
      <c r="W79" s="63">
        <v>8.601020394E-4</v>
      </c>
      <c r="X79" s="63">
        <v>0.001405179146</v>
      </c>
      <c r="Y79" s="63">
        <v>0.01266964899</v>
      </c>
      <c r="Z79" s="63">
        <v>0.00137340028</v>
      </c>
      <c r="AA79" s="63">
        <v>0.002336503518</v>
      </c>
      <c r="AB79" s="63">
        <v>0.001826226603</v>
      </c>
      <c r="AC79" s="63">
        <v>0.001975534967</v>
      </c>
      <c r="AD79" s="64">
        <v>0.04438992754</v>
      </c>
      <c r="AE79" s="211">
        <v>4116.016682888914</v>
      </c>
      <c r="AF79" s="154">
        <v>0.0</v>
      </c>
      <c r="AG79" s="154">
        <v>0.132407378983262</v>
      </c>
      <c r="AH79" s="301">
        <v>3.59142671409786</v>
      </c>
      <c r="AI79" s="154">
        <v>1.225575447663042</v>
      </c>
      <c r="AJ79" s="154">
        <v>0.007649044578031968</v>
      </c>
      <c r="AK79" s="306">
        <v>0.0</v>
      </c>
      <c r="AL79" s="207">
        <v>1604153.892336488</v>
      </c>
      <c r="AM79" s="394">
        <v>351.7121544329784</v>
      </c>
      <c r="AN79" s="391">
        <v>15892.81289793148</v>
      </c>
      <c r="AO79" s="395">
        <v>4143.143662918288</v>
      </c>
      <c r="AP79" s="391">
        <v>13780.78480103546</v>
      </c>
      <c r="AQ79" s="394">
        <v>333.550282798764</v>
      </c>
      <c r="AR79" s="306">
        <v>0.0</v>
      </c>
      <c r="AS79" s="207">
        <f t="shared" si="23"/>
        <v>1638655.896</v>
      </c>
      <c r="AT79" s="208">
        <f t="shared" si="31"/>
        <v>4120.973741</v>
      </c>
      <c r="AU79" s="45">
        <f t="shared" si="3"/>
        <v>1642776.87</v>
      </c>
      <c r="AV79" s="307">
        <v>2714438.7184824497</v>
      </c>
      <c r="AW79" s="96" t="s">
        <v>62</v>
      </c>
      <c r="AX79" s="61"/>
      <c r="BI79" s="281"/>
      <c r="BJ79" s="24"/>
      <c r="BK79" s="24"/>
      <c r="BL79" s="24"/>
      <c r="BM79" s="24"/>
      <c r="BN79" s="24"/>
      <c r="BO79" s="24"/>
      <c r="BP79" s="24"/>
      <c r="BQ79" s="24"/>
      <c r="BR79" s="24"/>
      <c r="BS79" s="24"/>
      <c r="BT79" s="24"/>
      <c r="BU79" s="24"/>
      <c r="BV79" s="24"/>
      <c r="BW79" s="24"/>
      <c r="BX79" s="24"/>
      <c r="BY79" s="24"/>
      <c r="BZ79" s="24"/>
      <c r="CA79" s="24"/>
      <c r="CB79" s="24"/>
      <c r="CC79" s="24"/>
      <c r="CD79" s="24"/>
      <c r="CE79" s="24"/>
      <c r="CF79" s="24"/>
      <c r="CG79" s="24"/>
      <c r="CH79" s="24"/>
      <c r="CI79" s="24"/>
      <c r="CJ79" s="24"/>
      <c r="CK79" s="24"/>
      <c r="CL79" s="24"/>
      <c r="CM79" s="24"/>
      <c r="CN79" s="24"/>
      <c r="CO79" s="24"/>
      <c r="CP79" s="24"/>
      <c r="CQ79" s="24"/>
      <c r="CR79" s="24"/>
      <c r="CS79" s="24"/>
      <c r="CT79" s="24"/>
      <c r="CU79" s="24"/>
      <c r="CV79" s="24"/>
      <c r="CW79" s="24"/>
      <c r="CX79" s="24"/>
      <c r="CY79" s="24"/>
      <c r="CZ79" s="24"/>
      <c r="DA79" s="24"/>
      <c r="DB79" s="24"/>
      <c r="DC79" s="24"/>
      <c r="DD79" s="24"/>
      <c r="DE79" s="24"/>
      <c r="DF79" s="24"/>
      <c r="DG79" s="24"/>
      <c r="DH79" s="24"/>
      <c r="DI79" s="24"/>
      <c r="DJ79" s="24"/>
      <c r="DK79" s="24"/>
      <c r="DL79" s="24"/>
      <c r="DM79" s="24"/>
      <c r="DN79" s="24"/>
      <c r="DO79" s="24"/>
      <c r="DP79" s="24"/>
      <c r="DQ79" s="24"/>
      <c r="DR79" s="24"/>
      <c r="DS79" s="24"/>
      <c r="DT79" s="24"/>
      <c r="DU79" s="24"/>
    </row>
    <row r="80">
      <c r="A80" s="61"/>
      <c r="B80" s="25" t="s">
        <v>63</v>
      </c>
      <c r="C80" s="63">
        <f t="shared" ref="C80:P80" si="32">C24</f>
        <v>0.00003101750552</v>
      </c>
      <c r="D80" s="63">
        <f t="shared" si="32"/>
        <v>0.00007427193801</v>
      </c>
      <c r="E80" s="63">
        <f t="shared" si="32"/>
        <v>0.00003158991752</v>
      </c>
      <c r="F80" s="63">
        <f t="shared" si="32"/>
        <v>0.00006928642216</v>
      </c>
      <c r="G80" s="63">
        <f t="shared" si="32"/>
        <v>0.00004827737048</v>
      </c>
      <c r="H80" s="63">
        <f t="shared" si="32"/>
        <v>0.001064152217</v>
      </c>
      <c r="I80" s="63">
        <f t="shared" si="32"/>
        <v>0.000003875378719</v>
      </c>
      <c r="J80" s="63">
        <f t="shared" si="32"/>
        <v>0.0001429099498</v>
      </c>
      <c r="K80" s="63">
        <f t="shared" si="32"/>
        <v>0.00003773861258</v>
      </c>
      <c r="L80" s="63">
        <f t="shared" si="32"/>
        <v>0.00005817769369</v>
      </c>
      <c r="M80" s="63">
        <f t="shared" si="32"/>
        <v>0.00001139684422</v>
      </c>
      <c r="N80" s="63">
        <f t="shared" si="32"/>
        <v>0.001033953114</v>
      </c>
      <c r="O80" s="63">
        <f t="shared" si="32"/>
        <v>0.00001264894603</v>
      </c>
      <c r="P80" s="379">
        <f t="shared" si="32"/>
        <v>0.000008074232414</v>
      </c>
      <c r="Q80" s="62">
        <v>2.126291031E-4</v>
      </c>
      <c r="R80" s="63">
        <v>5.074944001E-4</v>
      </c>
      <c r="S80" s="63">
        <v>3.827372157E-4</v>
      </c>
      <c r="T80" s="63">
        <v>6.252552812E-4</v>
      </c>
      <c r="U80" s="63">
        <v>3.798593915E-4</v>
      </c>
      <c r="V80" s="63">
        <v>0.03667794747</v>
      </c>
      <c r="W80" s="63">
        <v>3.773283262E-4</v>
      </c>
      <c r="X80" s="63">
        <v>6.034669845E-4</v>
      </c>
      <c r="Y80" s="63">
        <v>3.988839859E-4</v>
      </c>
      <c r="Z80" s="63">
        <v>3.478964228E-4</v>
      </c>
      <c r="AA80" s="63">
        <v>4.726982662E-4</v>
      </c>
      <c r="AB80" s="63">
        <v>0.03284023471</v>
      </c>
      <c r="AC80" s="63">
        <v>0.005960373615</v>
      </c>
      <c r="AD80" s="64">
        <v>4.613271069E-4</v>
      </c>
      <c r="AE80" s="212">
        <v>51.9685576570073</v>
      </c>
      <c r="AF80" s="34">
        <v>0.0</v>
      </c>
      <c r="AG80" s="34">
        <v>0.03655074651141303</v>
      </c>
      <c r="AH80" s="34">
        <v>1.030596170486209</v>
      </c>
      <c r="AI80" s="34">
        <v>0.8582389554913031</v>
      </c>
      <c r="AJ80" s="34">
        <v>0.3215192244507553</v>
      </c>
      <c r="AK80" s="57">
        <v>0.0</v>
      </c>
      <c r="AL80" s="213">
        <v>36987.40305620636</v>
      </c>
      <c r="AM80" s="197">
        <v>187.4029743239258</v>
      </c>
      <c r="AN80" s="203">
        <v>15693.7650058426</v>
      </c>
      <c r="AO80" s="214">
        <v>2207.971070356055</v>
      </c>
      <c r="AP80" s="215">
        <v>652.9216637541338</v>
      </c>
      <c r="AQ80" s="34">
        <v>99.63117343302591</v>
      </c>
      <c r="AR80" s="57">
        <v>0.0</v>
      </c>
      <c r="AS80" s="207">
        <f t="shared" si="23"/>
        <v>55829.09494</v>
      </c>
      <c r="AT80" s="208">
        <f t="shared" si="31"/>
        <v>54.21546275</v>
      </c>
      <c r="AU80" s="45">
        <f t="shared" si="3"/>
        <v>55883.31041</v>
      </c>
      <c r="AV80" s="294">
        <v>148507.68879074432</v>
      </c>
      <c r="AW80" s="137" t="s">
        <v>63</v>
      </c>
      <c r="AX80" s="61"/>
      <c r="BI80" s="281"/>
      <c r="BJ80" s="24"/>
      <c r="BK80" s="24"/>
      <c r="BL80" s="24"/>
      <c r="BM80" s="24"/>
      <c r="BN80" s="24"/>
      <c r="BO80" s="24"/>
      <c r="BP80" s="24"/>
      <c r="BQ80" s="24"/>
      <c r="BR80" s="24"/>
      <c r="BS80" s="24"/>
      <c r="BT80" s="24"/>
      <c r="BU80" s="24"/>
      <c r="BV80" s="24"/>
      <c r="BW80" s="24"/>
      <c r="BX80" s="24"/>
      <c r="BY80" s="24"/>
      <c r="BZ80" s="24"/>
      <c r="CA80" s="24"/>
      <c r="CB80" s="24"/>
      <c r="CC80" s="24"/>
      <c r="CD80" s="24"/>
      <c r="CE80" s="24"/>
      <c r="CF80" s="24"/>
      <c r="CG80" s="24"/>
      <c r="CH80" s="24"/>
      <c r="CI80" s="24"/>
      <c r="CJ80" s="24"/>
      <c r="CK80" s="24"/>
      <c r="CL80" s="24"/>
      <c r="CM80" s="24"/>
      <c r="CN80" s="24"/>
      <c r="CO80" s="24"/>
      <c r="CP80" s="24"/>
      <c r="CQ80" s="24"/>
      <c r="CR80" s="24"/>
      <c r="CS80" s="24"/>
      <c r="CT80" s="24"/>
      <c r="CU80" s="24"/>
      <c r="CV80" s="24"/>
      <c r="CW80" s="24"/>
      <c r="CX80" s="24"/>
      <c r="CY80" s="24"/>
      <c r="CZ80" s="24"/>
      <c r="DA80" s="24"/>
      <c r="DB80" s="24"/>
      <c r="DC80" s="24"/>
      <c r="DD80" s="24"/>
      <c r="DE80" s="24"/>
      <c r="DF80" s="24"/>
      <c r="DG80" s="24"/>
      <c r="DH80" s="24"/>
      <c r="DI80" s="24"/>
      <c r="DJ80" s="24"/>
      <c r="DK80" s="24"/>
      <c r="DL80" s="24"/>
      <c r="DM80" s="24"/>
      <c r="DN80" s="24"/>
      <c r="DO80" s="24"/>
      <c r="DP80" s="24"/>
      <c r="DQ80" s="24"/>
      <c r="DR80" s="24"/>
      <c r="DS80" s="24"/>
      <c r="DT80" s="24"/>
      <c r="DU80" s="24"/>
    </row>
    <row r="81">
      <c r="A81" s="61"/>
      <c r="B81" s="25" t="s">
        <v>64</v>
      </c>
      <c r="C81" s="63">
        <f t="shared" ref="C81:J81" si="33">C25</f>
        <v>0.004956818682</v>
      </c>
      <c r="D81" s="63">
        <f t="shared" si="33"/>
        <v>0.0005596434218</v>
      </c>
      <c r="E81" s="63">
        <f t="shared" si="33"/>
        <v>0.01876442446</v>
      </c>
      <c r="F81" s="63">
        <f t="shared" si="33"/>
        <v>0.000844817971</v>
      </c>
      <c r="G81" s="63">
        <f t="shared" si="33"/>
        <v>0.002000582403</v>
      </c>
      <c r="H81" s="63">
        <f t="shared" si="33"/>
        <v>0.0004000386504</v>
      </c>
      <c r="I81" s="63">
        <f t="shared" si="33"/>
        <v>0.04727344629</v>
      </c>
      <c r="J81" s="63">
        <f t="shared" si="33"/>
        <v>0.02761232644</v>
      </c>
      <c r="K81" s="63">
        <f>K25*AZ17</f>
        <v>0.6426427725</v>
      </c>
      <c r="L81" s="63">
        <f t="shared" ref="L81:P81" si="34">L25</f>
        <v>0.004914040077</v>
      </c>
      <c r="M81" s="63">
        <f t="shared" si="34"/>
        <v>0.0002697013305</v>
      </c>
      <c r="N81" s="63">
        <f t="shared" si="34"/>
        <v>0.0004823403154</v>
      </c>
      <c r="O81" s="63">
        <f t="shared" si="34"/>
        <v>0.0001237668267</v>
      </c>
      <c r="P81" s="379">
        <f t="shared" si="34"/>
        <v>0.0006414240186</v>
      </c>
      <c r="Q81" s="62">
        <v>0.004108888476</v>
      </c>
      <c r="R81" s="63">
        <v>0.004127883298</v>
      </c>
      <c r="S81" s="63">
        <v>0.006126275439</v>
      </c>
      <c r="T81" s="63">
        <v>0.006815359137</v>
      </c>
      <c r="U81" s="63">
        <v>0.004865942446</v>
      </c>
      <c r="V81" s="63">
        <v>0.005282308311</v>
      </c>
      <c r="W81" s="63">
        <v>0.1172722048</v>
      </c>
      <c r="X81" s="63">
        <v>0.05812158243</v>
      </c>
      <c r="Y81" s="63">
        <v>0.04598384962</v>
      </c>
      <c r="Z81" s="63">
        <v>0.02035334297</v>
      </c>
      <c r="AA81" s="63">
        <v>0.001219211278</v>
      </c>
      <c r="AB81" s="63">
        <v>0.009728944219</v>
      </c>
      <c r="AC81" s="63">
        <v>0.01015138427</v>
      </c>
      <c r="AD81" s="64">
        <v>0.001530164089</v>
      </c>
      <c r="AE81" s="217">
        <v>52.7325620142073</v>
      </c>
      <c r="AF81" s="34">
        <v>0.0</v>
      </c>
      <c r="AG81" s="34">
        <v>1.475453618875441</v>
      </c>
      <c r="AH81" s="56">
        <v>19.54084867182477</v>
      </c>
      <c r="AI81" s="132">
        <v>124.3804576840507</v>
      </c>
      <c r="AJ81" s="34">
        <v>0.0157493848755585</v>
      </c>
      <c r="AK81" s="57">
        <v>0.0</v>
      </c>
      <c r="AL81" s="218">
        <v>187013.5652219891</v>
      </c>
      <c r="AM81" s="206">
        <v>334.5121843512309</v>
      </c>
      <c r="AN81" s="203">
        <v>15610.20927045048</v>
      </c>
      <c r="AO81" s="194">
        <v>27480.31570379712</v>
      </c>
      <c r="AP81" s="219">
        <v>54336.21459104295</v>
      </c>
      <c r="AQ81" s="34">
        <v>91.40929114187973</v>
      </c>
      <c r="AR81" s="57">
        <v>0.0</v>
      </c>
      <c r="AS81" s="207">
        <f t="shared" si="23"/>
        <v>284866.2263</v>
      </c>
      <c r="AT81" s="208">
        <f t="shared" si="31"/>
        <v>198.1450714</v>
      </c>
      <c r="AU81" s="45">
        <f t="shared" si="3"/>
        <v>285064.3713</v>
      </c>
      <c r="AV81" s="294">
        <v>4491373.834094705</v>
      </c>
      <c r="AW81" s="265" t="s">
        <v>64</v>
      </c>
      <c r="AX81" s="61"/>
      <c r="BI81" s="281"/>
      <c r="BJ81" s="24"/>
      <c r="BK81" s="24"/>
      <c r="BL81" s="24"/>
      <c r="BM81" s="24"/>
      <c r="BN81" s="24"/>
      <c r="BO81" s="24"/>
      <c r="BP81" s="24"/>
      <c r="BQ81" s="24"/>
      <c r="BR81" s="24"/>
      <c r="BS81" s="24"/>
      <c r="BT81" s="24"/>
      <c r="BU81" s="24"/>
      <c r="BV81" s="24"/>
      <c r="BW81" s="24"/>
      <c r="BX81" s="24"/>
      <c r="BY81" s="24"/>
      <c r="BZ81" s="24"/>
      <c r="CA81" s="24"/>
      <c r="CB81" s="24"/>
      <c r="CC81" s="24"/>
      <c r="CD81" s="24"/>
      <c r="CE81" s="24"/>
      <c r="CF81" s="24"/>
      <c r="CG81" s="24"/>
      <c r="CH81" s="24"/>
      <c r="CI81" s="24"/>
      <c r="CJ81" s="24"/>
      <c r="CK81" s="24"/>
      <c r="CL81" s="24"/>
      <c r="CM81" s="24"/>
      <c r="CN81" s="24"/>
      <c r="CO81" s="24"/>
      <c r="CP81" s="24"/>
      <c r="CQ81" s="24"/>
      <c r="CR81" s="24"/>
      <c r="CS81" s="24"/>
      <c r="CT81" s="24"/>
      <c r="CU81" s="24"/>
      <c r="CV81" s="24"/>
      <c r="CW81" s="24"/>
      <c r="CX81" s="24"/>
      <c r="CY81" s="24"/>
      <c r="CZ81" s="24"/>
      <c r="DA81" s="24"/>
      <c r="DB81" s="24"/>
      <c r="DC81" s="24"/>
      <c r="DD81" s="24"/>
      <c r="DE81" s="24"/>
      <c r="DF81" s="24"/>
      <c r="DG81" s="24"/>
      <c r="DH81" s="24"/>
      <c r="DI81" s="24"/>
      <c r="DJ81" s="24"/>
      <c r="DK81" s="24"/>
      <c r="DL81" s="24"/>
      <c r="DM81" s="24"/>
      <c r="DN81" s="24"/>
      <c r="DO81" s="24"/>
      <c r="DP81" s="24"/>
      <c r="DQ81" s="24"/>
      <c r="DR81" s="24"/>
      <c r="DS81" s="24"/>
      <c r="DT81" s="24"/>
      <c r="DU81" s="24"/>
    </row>
    <row r="82">
      <c r="A82" s="61"/>
      <c r="B82" s="25" t="s">
        <v>65</v>
      </c>
      <c r="C82" s="63">
        <f t="shared" ref="C82:D82" si="35">C26*$BA25</f>
        <v>0.1524998974</v>
      </c>
      <c r="D82" s="63">
        <f t="shared" si="35"/>
        <v>0.07261025449</v>
      </c>
      <c r="E82" s="63">
        <f>E26*AZ25</f>
        <v>0.04204023341</v>
      </c>
      <c r="F82" s="63">
        <f>F26*AZ25</f>
        <v>0.06401154902</v>
      </c>
      <c r="G82" s="63">
        <f t="shared" ref="G82:J82" si="36">G26</f>
        <v>0.01750817918</v>
      </c>
      <c r="H82" s="63">
        <f t="shared" si="36"/>
        <v>0.009514408279</v>
      </c>
      <c r="I82" s="63">
        <f t="shared" si="36"/>
        <v>0.01637639727</v>
      </c>
      <c r="J82" s="63">
        <f t="shared" si="36"/>
        <v>0.1753082893</v>
      </c>
      <c r="K82" s="63">
        <f>K26*AZ17</f>
        <v>0.01934257139</v>
      </c>
      <c r="L82" s="63">
        <f t="shared" ref="L82:P82" si="37">L26</f>
        <v>0.01917867847</v>
      </c>
      <c r="M82" s="63">
        <f t="shared" si="37"/>
        <v>0.02122064168</v>
      </c>
      <c r="N82" s="63">
        <f t="shared" si="37"/>
        <v>0.007031582267</v>
      </c>
      <c r="O82" s="63">
        <f t="shared" si="37"/>
        <v>0.00972120577</v>
      </c>
      <c r="P82" s="379">
        <f t="shared" si="37"/>
        <v>0.01230617482</v>
      </c>
      <c r="Q82" s="62">
        <v>0.07912228861</v>
      </c>
      <c r="R82" s="63">
        <v>0.1381464013</v>
      </c>
      <c r="S82" s="63">
        <v>0.07182869096</v>
      </c>
      <c r="T82" s="63">
        <v>0.09720568752</v>
      </c>
      <c r="U82" s="63">
        <v>0.06584972971</v>
      </c>
      <c r="V82" s="63">
        <v>0.1252313002</v>
      </c>
      <c r="W82" s="63">
        <v>0.1211553055</v>
      </c>
      <c r="X82" s="63">
        <v>0.4034802537</v>
      </c>
      <c r="Y82" s="63">
        <v>0.2308226296</v>
      </c>
      <c r="Z82" s="63">
        <v>0.09018987912</v>
      </c>
      <c r="AA82" s="63">
        <v>0.06934692855</v>
      </c>
      <c r="AB82" s="63">
        <v>0.1243401511</v>
      </c>
      <c r="AC82" s="63">
        <v>0.1121835321</v>
      </c>
      <c r="AD82" s="64">
        <v>0.04301739392</v>
      </c>
      <c r="AE82" s="117">
        <v>25473.29775247629</v>
      </c>
      <c r="AF82" s="34">
        <v>0.0</v>
      </c>
      <c r="AG82" s="221">
        <v>48.6936474327396</v>
      </c>
      <c r="AH82" s="117">
        <v>25730.39087688862</v>
      </c>
      <c r="AI82" s="34">
        <v>-3856.317502555541</v>
      </c>
      <c r="AJ82" s="72">
        <v>2.19104072864706</v>
      </c>
      <c r="AK82" s="57">
        <v>0.0</v>
      </c>
      <c r="AL82" s="202">
        <v>5631171.133254381</v>
      </c>
      <c r="AM82" s="203">
        <v>21194.94134479049</v>
      </c>
      <c r="AN82" s="222">
        <v>345242.146977703</v>
      </c>
      <c r="AO82" s="223">
        <v>1.545089995378228E7</v>
      </c>
      <c r="AP82" s="224">
        <v>339885.8653568218</v>
      </c>
      <c r="AQ82" s="194">
        <v>33751.13261232673</v>
      </c>
      <c r="AR82" s="57">
        <v>0.0</v>
      </c>
      <c r="AS82" s="207">
        <f t="shared" si="23"/>
        <v>21822145.17</v>
      </c>
      <c r="AT82" s="208">
        <f t="shared" si="31"/>
        <v>47398.25581</v>
      </c>
      <c r="AU82" s="45">
        <f t="shared" si="3"/>
        <v>21869543.43</v>
      </c>
      <c r="AV82" s="294">
        <v>5.0617665035178885E7</v>
      </c>
      <c r="AW82" s="265" t="s">
        <v>65</v>
      </c>
      <c r="AX82" s="61"/>
      <c r="BI82" s="281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24"/>
      <c r="DH82" s="24"/>
      <c r="DI82" s="24"/>
      <c r="DJ82" s="24"/>
      <c r="DK82" s="24"/>
      <c r="DL82" s="24"/>
      <c r="DM82" s="24"/>
      <c r="DN82" s="24"/>
      <c r="DO82" s="24"/>
      <c r="DP82" s="24"/>
      <c r="DQ82" s="24"/>
      <c r="DR82" s="24"/>
      <c r="DS82" s="24"/>
      <c r="DT82" s="24"/>
      <c r="DU82" s="24"/>
    </row>
    <row r="83">
      <c r="A83" s="61"/>
      <c r="B83" s="25" t="s">
        <v>66</v>
      </c>
      <c r="C83" s="63">
        <f>C27*AZ19</f>
        <v>0.003000402276</v>
      </c>
      <c r="D83" s="63">
        <f>D27*AZ19</f>
        <v>0.00006863320411</v>
      </c>
      <c r="E83" s="63">
        <f>E27*AZ19</f>
        <v>0.0003866655374</v>
      </c>
      <c r="F83" s="63">
        <f>F27</f>
        <v>0.00005416074759</v>
      </c>
      <c r="G83" s="63">
        <f>G27*AZ19</f>
        <v>0.00002554777875</v>
      </c>
      <c r="H83" s="63">
        <f t="shared" ref="H83:P83" si="38">H27</f>
        <v>0.00005521428412</v>
      </c>
      <c r="I83" s="63">
        <f t="shared" si="38"/>
        <v>0.00006642790544</v>
      </c>
      <c r="J83" s="63">
        <f t="shared" si="38"/>
        <v>0.0004717920312</v>
      </c>
      <c r="K83" s="63">
        <f t="shared" si="38"/>
        <v>0.0003454381787</v>
      </c>
      <c r="L83" s="63">
        <f t="shared" si="38"/>
        <v>0.00002925100395</v>
      </c>
      <c r="M83" s="63">
        <f t="shared" si="38"/>
        <v>0.00002707844364</v>
      </c>
      <c r="N83" s="63">
        <f t="shared" si="38"/>
        <v>0.00005679503977</v>
      </c>
      <c r="O83" s="63">
        <f t="shared" si="38"/>
        <v>0.00001073426208</v>
      </c>
      <c r="P83" s="379">
        <f t="shared" si="38"/>
        <v>0.00002189706929</v>
      </c>
      <c r="Q83" s="62">
        <v>0.06431873416</v>
      </c>
      <c r="R83" s="63">
        <v>6.7976669E-4</v>
      </c>
      <c r="S83" s="63">
        <v>0.002922547606</v>
      </c>
      <c r="T83" s="63">
        <v>0.001091613114</v>
      </c>
      <c r="U83" s="63">
        <v>5.700295838E-4</v>
      </c>
      <c r="V83" s="63">
        <v>4.516155823E-4</v>
      </c>
      <c r="W83" s="63">
        <v>0.003094283728</v>
      </c>
      <c r="X83" s="63">
        <v>0.00135566462</v>
      </c>
      <c r="Y83" s="63">
        <v>0.1568324996</v>
      </c>
      <c r="Z83" s="63">
        <v>4.301509697E-4</v>
      </c>
      <c r="AA83" s="63">
        <v>3.837593513E-4</v>
      </c>
      <c r="AB83" s="63">
        <v>4.069478294E-4</v>
      </c>
      <c r="AC83" s="63">
        <v>9.868896358E-4</v>
      </c>
      <c r="AD83" s="64">
        <v>2.979135396E-4</v>
      </c>
      <c r="AE83" s="225">
        <v>27.8437773046215</v>
      </c>
      <c r="AF83" s="34">
        <v>0.0</v>
      </c>
      <c r="AG83" s="85">
        <v>4.244012529966717</v>
      </c>
      <c r="AH83" s="124">
        <v>8.44630369730711</v>
      </c>
      <c r="AI83" s="72">
        <v>2.137150797335026</v>
      </c>
      <c r="AJ83" s="34">
        <v>0.01596142486043767</v>
      </c>
      <c r="AK83" s="57">
        <v>0.0</v>
      </c>
      <c r="AL83" s="226">
        <v>47836.89967082597</v>
      </c>
      <c r="AM83" s="34">
        <v>80.06668630698772</v>
      </c>
      <c r="AN83" s="227">
        <v>215061.4183675453</v>
      </c>
      <c r="AO83" s="228">
        <v>3610.352967946166</v>
      </c>
      <c r="AP83" s="229">
        <v>9292.567736915158</v>
      </c>
      <c r="AQ83" s="34">
        <v>70.44958586158258</v>
      </c>
      <c r="AR83" s="57">
        <v>0.0</v>
      </c>
      <c r="AS83" s="207">
        <f t="shared" si="23"/>
        <v>275951.755</v>
      </c>
      <c r="AT83" s="208">
        <f t="shared" si="31"/>
        <v>42.68720575</v>
      </c>
      <c r="AU83" s="45">
        <f t="shared" si="3"/>
        <v>275994.4422</v>
      </c>
      <c r="AV83" s="294">
        <v>752250.6186373252</v>
      </c>
      <c r="AW83" s="137" t="s">
        <v>66</v>
      </c>
      <c r="AX83" s="61"/>
      <c r="BI83" s="281"/>
      <c r="BJ83" s="24"/>
      <c r="BK83" s="24"/>
      <c r="BL83" s="24"/>
      <c r="BM83" s="24"/>
      <c r="BN83" s="24"/>
      <c r="BO83" s="24"/>
      <c r="BP83" s="24"/>
      <c r="BQ83" s="24"/>
      <c r="BR83" s="24"/>
      <c r="BS83" s="24"/>
      <c r="BT83" s="24"/>
      <c r="BU83" s="24"/>
      <c r="BV83" s="24"/>
      <c r="BW83" s="24"/>
      <c r="BX83" s="24"/>
      <c r="BY83" s="24"/>
      <c r="BZ83" s="24"/>
      <c r="CA83" s="24"/>
      <c r="CB83" s="24"/>
      <c r="CC83" s="24"/>
      <c r="CD83" s="24"/>
      <c r="CE83" s="24"/>
      <c r="CF83" s="24"/>
      <c r="CG83" s="24"/>
      <c r="CH83" s="24"/>
      <c r="CI83" s="24"/>
      <c r="CJ83" s="24"/>
      <c r="CK83" s="24"/>
      <c r="CL83" s="24"/>
      <c r="CM83" s="24"/>
      <c r="CN83" s="24"/>
      <c r="CO83" s="24"/>
      <c r="CP83" s="24"/>
      <c r="CQ83" s="24"/>
      <c r="CR83" s="24"/>
      <c r="CS83" s="24"/>
      <c r="CT83" s="24"/>
      <c r="CU83" s="24"/>
      <c r="CV83" s="24"/>
      <c r="CW83" s="24"/>
      <c r="CX83" s="24"/>
      <c r="CY83" s="24"/>
      <c r="CZ83" s="24"/>
      <c r="DA83" s="24"/>
      <c r="DB83" s="24"/>
      <c r="DC83" s="24"/>
      <c r="DD83" s="24"/>
      <c r="DE83" s="24"/>
      <c r="DF83" s="24"/>
      <c r="DG83" s="24"/>
      <c r="DH83" s="24"/>
      <c r="DI83" s="24"/>
      <c r="DJ83" s="24"/>
      <c r="DK83" s="24"/>
      <c r="DL83" s="24"/>
      <c r="DM83" s="24"/>
      <c r="DN83" s="24"/>
      <c r="DO83" s="24"/>
      <c r="DP83" s="24"/>
      <c r="DQ83" s="24"/>
      <c r="DR83" s="24"/>
      <c r="DS83" s="24"/>
      <c r="DT83" s="24"/>
      <c r="DU83" s="24"/>
    </row>
    <row r="84">
      <c r="A84" s="61"/>
      <c r="B84" s="25" t="s">
        <v>67</v>
      </c>
      <c r="C84" s="63">
        <f t="shared" ref="C84:D84" si="39">C28*$BA25</f>
        <v>0.00931831518</v>
      </c>
      <c r="D84" s="63">
        <f t="shared" si="39"/>
        <v>0.04568608023</v>
      </c>
      <c r="E84" s="63">
        <f>E28*AZ25</f>
        <v>0.02163489181</v>
      </c>
      <c r="F84" s="63">
        <f>F28*AZ25</f>
        <v>0.08535530431</v>
      </c>
      <c r="G84" s="63">
        <f t="shared" ref="G84:J84" si="40">G28</f>
        <v>0.01915249489</v>
      </c>
      <c r="H84" s="63">
        <f t="shared" si="40"/>
        <v>0.01058463497</v>
      </c>
      <c r="I84" s="63">
        <f t="shared" si="40"/>
        <v>0.02562309319</v>
      </c>
      <c r="J84" s="63">
        <f t="shared" si="40"/>
        <v>0.03550638096</v>
      </c>
      <c r="K84" s="63">
        <f>K28*AZ17</f>
        <v>0.08854859864</v>
      </c>
      <c r="L84" s="63">
        <f t="shared" ref="L84:P84" si="41">L28</f>
        <v>0.04160223989</v>
      </c>
      <c r="M84" s="63">
        <f t="shared" si="41"/>
        <v>0.00652326488</v>
      </c>
      <c r="N84" s="63">
        <f t="shared" si="41"/>
        <v>0.01276767151</v>
      </c>
      <c r="O84" s="63">
        <f t="shared" si="41"/>
        <v>0.01313950472</v>
      </c>
      <c r="P84" s="379">
        <f t="shared" si="41"/>
        <v>0.005484299924</v>
      </c>
      <c r="Q84" s="62">
        <v>0.06697580073</v>
      </c>
      <c r="R84" s="63">
        <v>0.2063798507</v>
      </c>
      <c r="S84" s="63">
        <v>0.1155159443</v>
      </c>
      <c r="T84" s="63">
        <v>0.1323078673</v>
      </c>
      <c r="U84" s="63">
        <v>0.09484351565</v>
      </c>
      <c r="V84" s="63">
        <v>0.09364600636</v>
      </c>
      <c r="W84" s="63">
        <v>0.0861563623</v>
      </c>
      <c r="X84" s="63">
        <v>0.1086743866</v>
      </c>
      <c r="Y84" s="63">
        <v>0.2043359244</v>
      </c>
      <c r="Z84" s="63">
        <v>0.1652393545</v>
      </c>
      <c r="AA84" s="63">
        <v>0.06203655932</v>
      </c>
      <c r="AB84" s="63">
        <v>0.09406529708</v>
      </c>
      <c r="AC84" s="63">
        <v>0.09221967695</v>
      </c>
      <c r="AD84" s="64">
        <v>0.1099968315</v>
      </c>
      <c r="AE84" s="231">
        <v>1156.630701684462</v>
      </c>
      <c r="AF84" s="34">
        <v>0.0</v>
      </c>
      <c r="AG84" s="232">
        <v>24.30801695146246</v>
      </c>
      <c r="AH84" s="233">
        <v>4680.114150439798</v>
      </c>
      <c r="AI84" s="34">
        <v>-25.00938698263687</v>
      </c>
      <c r="AJ84" s="124">
        <v>8.566633974405889</v>
      </c>
      <c r="AK84" s="57">
        <v>0.0</v>
      </c>
      <c r="AL84" s="202">
        <v>9724786.035232594</v>
      </c>
      <c r="AM84" s="203">
        <v>12549.97646369253</v>
      </c>
      <c r="AN84" s="234">
        <v>541122.3671786571</v>
      </c>
      <c r="AO84" s="235">
        <v>979977.5673876887</v>
      </c>
      <c r="AP84" s="236">
        <v>108548.9961349472</v>
      </c>
      <c r="AQ84" s="203">
        <v>11207.68039782215</v>
      </c>
      <c r="AR84" s="57">
        <v>0.0</v>
      </c>
      <c r="AS84" s="207">
        <f t="shared" si="23"/>
        <v>11378192.62</v>
      </c>
      <c r="AT84" s="208">
        <f t="shared" si="31"/>
        <v>5844.610116</v>
      </c>
      <c r="AU84" s="45">
        <f t="shared" si="3"/>
        <v>11384037.23</v>
      </c>
      <c r="AV84" s="294">
        <v>2.7182869465565313E7</v>
      </c>
      <c r="AW84" s="137" t="s">
        <v>67</v>
      </c>
      <c r="AX84" s="61"/>
      <c r="BI84" s="281"/>
      <c r="BJ84" s="24"/>
      <c r="BK84" s="24"/>
      <c r="BL84" s="24"/>
      <c r="BM84" s="24"/>
      <c r="BN84" s="24"/>
      <c r="BO84" s="24"/>
      <c r="BP84" s="24"/>
      <c r="BQ84" s="24"/>
      <c r="BR84" s="24"/>
      <c r="BS84" s="24"/>
      <c r="BT84" s="24"/>
      <c r="BU84" s="24"/>
      <c r="BV84" s="24"/>
      <c r="BW84" s="24"/>
      <c r="BX84" s="24"/>
      <c r="BY84" s="24"/>
      <c r="BZ84" s="24"/>
      <c r="CA84" s="24"/>
      <c r="CB84" s="24"/>
      <c r="CC84" s="24"/>
      <c r="CD84" s="24"/>
      <c r="CE84" s="24"/>
      <c r="CF84" s="24"/>
      <c r="CG84" s="24"/>
      <c r="CH84" s="24"/>
      <c r="CI84" s="24"/>
      <c r="CJ84" s="24"/>
      <c r="CK84" s="24"/>
      <c r="CL84" s="24"/>
      <c r="CM84" s="24"/>
      <c r="CN84" s="24"/>
      <c r="CO84" s="24"/>
      <c r="CP84" s="24"/>
      <c r="CQ84" s="24"/>
      <c r="CR84" s="24"/>
      <c r="CS84" s="24"/>
      <c r="CT84" s="24"/>
      <c r="CU84" s="24"/>
      <c r="CV84" s="24"/>
      <c r="CW84" s="24"/>
      <c r="CX84" s="24"/>
      <c r="CY84" s="24"/>
      <c r="CZ84" s="24"/>
      <c r="DA84" s="24"/>
      <c r="DB84" s="24"/>
      <c r="DC84" s="24"/>
      <c r="DD84" s="24"/>
      <c r="DE84" s="24"/>
      <c r="DF84" s="24"/>
      <c r="DG84" s="24"/>
      <c r="DH84" s="24"/>
      <c r="DI84" s="24"/>
      <c r="DJ84" s="24"/>
      <c r="DK84" s="24"/>
      <c r="DL84" s="24"/>
      <c r="DM84" s="24"/>
      <c r="DN84" s="24"/>
      <c r="DO84" s="24"/>
      <c r="DP84" s="24"/>
      <c r="DQ84" s="24"/>
      <c r="DR84" s="24"/>
      <c r="DS84" s="24"/>
      <c r="DT84" s="24"/>
      <c r="DU84" s="24"/>
    </row>
    <row r="85">
      <c r="A85" s="61"/>
      <c r="B85" s="25" t="s">
        <v>68</v>
      </c>
      <c r="C85" s="63">
        <f t="shared" ref="C85:D85" si="42">C29*$BA25</f>
        <v>0.00508910242</v>
      </c>
      <c r="D85" s="63">
        <f t="shared" si="42"/>
        <v>0.02649157395</v>
      </c>
      <c r="E85" s="63">
        <f>E29*AZ25</f>
        <v>0.005746621507</v>
      </c>
      <c r="F85" s="63">
        <f>F29*AZ25</f>
        <v>0.06162439575</v>
      </c>
      <c r="G85" s="63">
        <f t="shared" ref="G85:J85" si="43">G29</f>
        <v>0.007556833171</v>
      </c>
      <c r="H85" s="63">
        <f t="shared" si="43"/>
        <v>0.003672249048</v>
      </c>
      <c r="I85" s="63">
        <f t="shared" si="43"/>
        <v>0.0046681523</v>
      </c>
      <c r="J85" s="63">
        <f t="shared" si="43"/>
        <v>0.01745512988</v>
      </c>
      <c r="K85" s="63">
        <f>K29*AZ17</f>
        <v>0.01332301663</v>
      </c>
      <c r="L85" s="63">
        <f t="shared" ref="L85:P85" si="44">L29</f>
        <v>0.0143655859</v>
      </c>
      <c r="M85" s="63">
        <f t="shared" si="44"/>
        <v>0.02638435792</v>
      </c>
      <c r="N85" s="63">
        <f t="shared" si="44"/>
        <v>0.003727681857</v>
      </c>
      <c r="O85" s="63">
        <f t="shared" si="44"/>
        <v>0.002115708586</v>
      </c>
      <c r="P85" s="379">
        <f t="shared" si="44"/>
        <v>0.00489013001</v>
      </c>
      <c r="Q85" s="62">
        <v>0.04432625479</v>
      </c>
      <c r="R85" s="63">
        <v>0.08519907741</v>
      </c>
      <c r="S85" s="63">
        <v>0.04681823704</v>
      </c>
      <c r="T85" s="63">
        <v>0.04960956421</v>
      </c>
      <c r="U85" s="63">
        <v>0.05407671496</v>
      </c>
      <c r="V85" s="63">
        <v>0.1726569203</v>
      </c>
      <c r="W85" s="63">
        <v>0.08062617621</v>
      </c>
      <c r="X85" s="63">
        <v>0.07466945559</v>
      </c>
      <c r="Y85" s="63">
        <v>0.09112488407</v>
      </c>
      <c r="Z85" s="63">
        <v>0.1082310681</v>
      </c>
      <c r="AA85" s="63">
        <v>0.2149018211</v>
      </c>
      <c r="AB85" s="63">
        <v>0.1513882395</v>
      </c>
      <c r="AC85" s="63">
        <v>0.1209488703</v>
      </c>
      <c r="AD85" s="64">
        <v>0.111531924</v>
      </c>
      <c r="AE85" s="238">
        <v>1889.76085570905</v>
      </c>
      <c r="AF85" s="34">
        <v>0.0</v>
      </c>
      <c r="AG85" s="132">
        <v>126.6485353230122</v>
      </c>
      <c r="AH85" s="239">
        <v>240.4135501404733</v>
      </c>
      <c r="AI85" s="34">
        <v>-15.82838138011536</v>
      </c>
      <c r="AJ85" s="71">
        <v>4.105898574624691</v>
      </c>
      <c r="AK85" s="57">
        <v>0.0</v>
      </c>
      <c r="AL85" s="202">
        <v>1.921487638349182E7</v>
      </c>
      <c r="AM85" s="240">
        <v>910965.0593006716</v>
      </c>
      <c r="AN85" s="223">
        <v>1.161346340408759E7</v>
      </c>
      <c r="AO85" s="223">
        <v>3305544.367448729</v>
      </c>
      <c r="AP85" s="241">
        <v>123639.7310161102</v>
      </c>
      <c r="AQ85" s="242">
        <v>2782.121509025499</v>
      </c>
      <c r="AR85" s="57">
        <v>0.0</v>
      </c>
      <c r="AS85" s="207">
        <f t="shared" si="23"/>
        <v>35171271.07</v>
      </c>
      <c r="AT85" s="208">
        <f t="shared" si="31"/>
        <v>2245.100458</v>
      </c>
      <c r="AU85" s="45">
        <f t="shared" si="3"/>
        <v>35173516.17</v>
      </c>
      <c r="AV85" s="294">
        <v>5.5451471813918054E7</v>
      </c>
      <c r="AW85" s="137" t="s">
        <v>68</v>
      </c>
      <c r="AX85" s="61"/>
      <c r="BJ85" s="24"/>
      <c r="BK85" s="24"/>
      <c r="BL85" s="24"/>
      <c r="BM85" s="24"/>
      <c r="BN85" s="24"/>
      <c r="BO85" s="24"/>
      <c r="BP85" s="24"/>
      <c r="BQ85" s="24"/>
      <c r="BR85" s="24"/>
      <c r="BS85" s="24"/>
      <c r="BT85" s="24"/>
      <c r="BU85" s="24"/>
      <c r="BV85" s="24"/>
      <c r="BW85" s="24"/>
      <c r="BX85" s="24"/>
      <c r="BY85" s="24"/>
      <c r="BZ85" s="24"/>
      <c r="CA85" s="24"/>
      <c r="CB85" s="24"/>
      <c r="CC85" s="24"/>
      <c r="CD85" s="24"/>
      <c r="CE85" s="24"/>
      <c r="CF85" s="24"/>
      <c r="CG85" s="24"/>
      <c r="CH85" s="24"/>
      <c r="CI85" s="24"/>
      <c r="CJ85" s="24"/>
      <c r="CK85" s="24"/>
      <c r="CL85" s="24"/>
      <c r="CM85" s="24"/>
      <c r="CN85" s="24"/>
      <c r="CO85" s="24"/>
      <c r="CP85" s="24"/>
      <c r="CQ85" s="24"/>
      <c r="CR85" s="24"/>
      <c r="CS85" s="24"/>
      <c r="CT85" s="24"/>
      <c r="CU85" s="24"/>
      <c r="CV85" s="24"/>
      <c r="CW85" s="24"/>
      <c r="CX85" s="24"/>
      <c r="CY85" s="24"/>
      <c r="CZ85" s="24"/>
      <c r="DA85" s="24"/>
      <c r="DB85" s="24"/>
      <c r="DC85" s="24"/>
      <c r="DD85" s="24"/>
      <c r="DE85" s="24"/>
      <c r="DF85" s="24"/>
      <c r="DG85" s="24"/>
      <c r="DH85" s="24"/>
      <c r="DI85" s="24"/>
      <c r="DJ85" s="24"/>
      <c r="DK85" s="24"/>
      <c r="DL85" s="24"/>
      <c r="DM85" s="24"/>
      <c r="DN85" s="24"/>
      <c r="DO85" s="24"/>
      <c r="DP85" s="24"/>
      <c r="DQ85" s="24"/>
      <c r="DR85" s="24"/>
      <c r="DS85" s="24"/>
      <c r="DT85" s="24"/>
      <c r="DU85" s="24"/>
    </row>
    <row r="86">
      <c r="A86" s="61"/>
      <c r="B86" s="25" t="s">
        <v>69</v>
      </c>
      <c r="C86" s="63">
        <f t="shared" ref="C86:P86" si="45">C30</f>
        <v>0.0000205325037</v>
      </c>
      <c r="D86" s="63">
        <f t="shared" si="45"/>
        <v>0.0001636771139</v>
      </c>
      <c r="E86" s="63">
        <f t="shared" si="45"/>
        <v>0.0000264994424</v>
      </c>
      <c r="F86" s="63">
        <f t="shared" si="45"/>
        <v>0.0001671188006</v>
      </c>
      <c r="G86" s="63">
        <f t="shared" si="45"/>
        <v>0.00008518692915</v>
      </c>
      <c r="H86" s="63">
        <f t="shared" si="45"/>
        <v>0.002351569584</v>
      </c>
      <c r="I86" s="63">
        <f t="shared" si="45"/>
        <v>0.00001597366134</v>
      </c>
      <c r="J86" s="63">
        <f t="shared" si="45"/>
        <v>0.0006581049234</v>
      </c>
      <c r="K86" s="63">
        <f t="shared" si="45"/>
        <v>0.0000899083377</v>
      </c>
      <c r="L86" s="63">
        <f t="shared" si="45"/>
        <v>0.000171923805</v>
      </c>
      <c r="M86" s="63">
        <f t="shared" si="45"/>
        <v>0.00001882006022</v>
      </c>
      <c r="N86" s="63">
        <f t="shared" si="45"/>
        <v>0.003271682832</v>
      </c>
      <c r="O86" s="63">
        <f t="shared" si="45"/>
        <v>0.00003126341118</v>
      </c>
      <c r="P86" s="379">
        <f t="shared" si="45"/>
        <v>0.00001667369123</v>
      </c>
      <c r="Q86" s="62">
        <v>6.00366624E-4</v>
      </c>
      <c r="R86" s="63">
        <v>0.001550399511</v>
      </c>
      <c r="S86" s="63">
        <v>0.001418503979</v>
      </c>
      <c r="T86" s="63">
        <v>0.001887904518</v>
      </c>
      <c r="U86" s="63">
        <v>0.001072845521</v>
      </c>
      <c r="V86" s="63">
        <v>0.07727175276</v>
      </c>
      <c r="W86" s="63">
        <v>0.001388836201</v>
      </c>
      <c r="X86" s="63">
        <v>0.001318245737</v>
      </c>
      <c r="Y86" s="63">
        <v>9.742685296E-4</v>
      </c>
      <c r="Z86" s="63">
        <v>0.001007307371</v>
      </c>
      <c r="AA86" s="63">
        <v>0.001391852636</v>
      </c>
      <c r="AB86" s="63">
        <v>0.08362266345</v>
      </c>
      <c r="AC86" s="63">
        <v>0.01157763535</v>
      </c>
      <c r="AD86" s="64">
        <v>0.001753668397</v>
      </c>
      <c r="AE86" s="72">
        <v>3.097445822173814</v>
      </c>
      <c r="AF86" s="34">
        <v>0.0</v>
      </c>
      <c r="AG86" s="34">
        <v>0.06246148626304529</v>
      </c>
      <c r="AH86" s="72">
        <v>2.437501145096102</v>
      </c>
      <c r="AI86" s="85">
        <v>4.843644756390735</v>
      </c>
      <c r="AJ86" s="34">
        <v>0.8953510899473404</v>
      </c>
      <c r="AK86" s="57">
        <v>0.0</v>
      </c>
      <c r="AL86" s="216">
        <v>59356.02736672117</v>
      </c>
      <c r="AM86" s="244">
        <v>433.8032171170188</v>
      </c>
      <c r="AN86" s="194">
        <v>27888.70114732236</v>
      </c>
      <c r="AO86" s="245">
        <v>1264.828890250356</v>
      </c>
      <c r="AP86" s="245">
        <v>1275.908063582274</v>
      </c>
      <c r="AQ86" s="197">
        <v>216.1845456227803</v>
      </c>
      <c r="AR86" s="57">
        <v>0.0</v>
      </c>
      <c r="AS86" s="207">
        <f t="shared" si="23"/>
        <v>90435.45323</v>
      </c>
      <c r="AT86" s="208">
        <f t="shared" si="31"/>
        <v>11.3364043</v>
      </c>
      <c r="AU86" s="45">
        <f t="shared" si="3"/>
        <v>90446.78963</v>
      </c>
      <c r="AV86" s="294">
        <v>332573.2919045248</v>
      </c>
      <c r="AW86" s="265" t="s">
        <v>69</v>
      </c>
      <c r="AX86" s="61"/>
      <c r="BJ86" s="24"/>
      <c r="BK86" s="24"/>
      <c r="BL86" s="24"/>
      <c r="BM86" s="24"/>
      <c r="BN86" s="24"/>
      <c r="BO86" s="24"/>
      <c r="BP86" s="24"/>
      <c r="BQ86" s="24"/>
      <c r="BR86" s="24"/>
      <c r="BS86" s="24"/>
      <c r="BT86" s="24"/>
      <c r="BU86" s="24"/>
      <c r="BV86" s="24"/>
      <c r="BW86" s="24"/>
      <c r="BX86" s="24"/>
      <c r="BY86" s="24"/>
      <c r="BZ86" s="24"/>
      <c r="CA86" s="24"/>
      <c r="CB86" s="24"/>
      <c r="CC86" s="24"/>
      <c r="CD86" s="24"/>
      <c r="CE86" s="24"/>
      <c r="CF86" s="24"/>
      <c r="CG86" s="24"/>
      <c r="CH86" s="24"/>
      <c r="CI86" s="24"/>
      <c r="CJ86" s="24"/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24"/>
      <c r="CX86" s="24"/>
      <c r="CY86" s="24"/>
      <c r="CZ86" s="24"/>
      <c r="DA86" s="24"/>
      <c r="DB86" s="24"/>
      <c r="DC86" s="24"/>
      <c r="DD86" s="24"/>
      <c r="DE86" s="24"/>
      <c r="DF86" s="24"/>
      <c r="DG86" s="24"/>
      <c r="DH86" s="24"/>
      <c r="DI86" s="24"/>
      <c r="DJ86" s="24"/>
      <c r="DK86" s="24"/>
      <c r="DL86" s="24"/>
      <c r="DM86" s="24"/>
      <c r="DN86" s="24"/>
      <c r="DO86" s="24"/>
      <c r="DP86" s="24"/>
      <c r="DQ86" s="24"/>
      <c r="DR86" s="24"/>
      <c r="DS86" s="24"/>
      <c r="DT86" s="24"/>
      <c r="DU86" s="24"/>
    </row>
    <row r="87">
      <c r="A87" s="61"/>
      <c r="B87" s="25" t="s">
        <v>70</v>
      </c>
      <c r="C87" s="63">
        <f t="shared" ref="C87:P87" si="46">C31</f>
        <v>0.000007233435615</v>
      </c>
      <c r="D87" s="63">
        <f t="shared" si="46"/>
        <v>0.00006510812453</v>
      </c>
      <c r="E87" s="63">
        <f t="shared" si="46"/>
        <v>0.00001345170637</v>
      </c>
      <c r="F87" s="63">
        <f t="shared" si="46"/>
        <v>0.00007935522742</v>
      </c>
      <c r="G87" s="63">
        <f t="shared" si="46"/>
        <v>0.00003588227131</v>
      </c>
      <c r="H87" s="63">
        <f t="shared" si="46"/>
        <v>0.0002571060657</v>
      </c>
      <c r="I87" s="63">
        <f t="shared" si="46"/>
        <v>0.00002043549079</v>
      </c>
      <c r="J87" s="63">
        <f t="shared" si="46"/>
        <v>0.00006103435791</v>
      </c>
      <c r="K87" s="63">
        <f t="shared" si="46"/>
        <v>0.00004990078884</v>
      </c>
      <c r="L87" s="63">
        <f t="shared" si="46"/>
        <v>0.0001418928502</v>
      </c>
      <c r="M87" s="63">
        <f t="shared" si="46"/>
        <v>0.00001147408482</v>
      </c>
      <c r="N87" s="63">
        <f t="shared" si="46"/>
        <v>0.0002852436981</v>
      </c>
      <c r="O87" s="63">
        <f t="shared" si="46"/>
        <v>0.000004577302369</v>
      </c>
      <c r="P87" s="379">
        <f t="shared" si="46"/>
        <v>0.00000848799468</v>
      </c>
      <c r="Q87" s="62">
        <v>0.001282913366</v>
      </c>
      <c r="R87" s="63">
        <v>0.001299415702</v>
      </c>
      <c r="S87" s="63">
        <v>5.962029268E-4</v>
      </c>
      <c r="T87" s="63">
        <v>6.618171107E-4</v>
      </c>
      <c r="U87" s="63">
        <v>6.181872823E-4</v>
      </c>
      <c r="V87" s="63">
        <v>0.008680845179</v>
      </c>
      <c r="W87" s="63">
        <v>7.496647544E-4</v>
      </c>
      <c r="X87" s="63">
        <v>5.42602049E-4</v>
      </c>
      <c r="Y87" s="63">
        <v>0.001479460546</v>
      </c>
      <c r="Z87" s="63">
        <v>5.683555212E-4</v>
      </c>
      <c r="AA87" s="63">
        <v>7.707629993E-4</v>
      </c>
      <c r="AB87" s="63">
        <v>0.007850969944</v>
      </c>
      <c r="AC87" s="63">
        <v>0.04533659896</v>
      </c>
      <c r="AD87" s="64">
        <v>0.001250578248</v>
      </c>
      <c r="AE87" s="72">
        <v>2.595800755776077</v>
      </c>
      <c r="AF87" s="34">
        <v>0.0</v>
      </c>
      <c r="AG87" s="34">
        <v>0.03618247642663451</v>
      </c>
      <c r="AH87" s="75">
        <v>6.375250018953876</v>
      </c>
      <c r="AI87" s="34">
        <v>0.06411481150692508</v>
      </c>
      <c r="AJ87" s="34">
        <v>0.1176715101844378</v>
      </c>
      <c r="AK87" s="57">
        <v>0.0</v>
      </c>
      <c r="AL87" s="247">
        <v>109252.564615866</v>
      </c>
      <c r="AM87" s="34">
        <v>58.15450903888431</v>
      </c>
      <c r="AN87" s="248">
        <v>7502.937585098122</v>
      </c>
      <c r="AO87" s="188">
        <v>1778.501972785819</v>
      </c>
      <c r="AP87" s="34">
        <v>-72.78056898447542</v>
      </c>
      <c r="AQ87" s="34">
        <v>50.51849577798351</v>
      </c>
      <c r="AR87" s="57">
        <v>0.0</v>
      </c>
      <c r="AS87" s="207">
        <f t="shared" si="23"/>
        <v>118569.8966</v>
      </c>
      <c r="AT87" s="208">
        <f t="shared" si="31"/>
        <v>9.189019573</v>
      </c>
      <c r="AU87" s="45">
        <f t="shared" si="3"/>
        <v>118579.0856</v>
      </c>
      <c r="AV87" s="294">
        <v>239326.31713143046</v>
      </c>
      <c r="AW87" s="265" t="s">
        <v>70</v>
      </c>
      <c r="AX87" s="168"/>
      <c r="BJ87" s="24"/>
      <c r="BK87" s="24"/>
      <c r="BL87" s="24"/>
      <c r="BM87" s="24"/>
      <c r="BN87" s="24"/>
      <c r="BO87" s="24"/>
      <c r="BP87" s="24"/>
      <c r="BQ87" s="24"/>
      <c r="BR87" s="24"/>
      <c r="BS87" s="24"/>
      <c r="BT87" s="24"/>
      <c r="BU87" s="24"/>
      <c r="BV87" s="24"/>
      <c r="BW87" s="24"/>
      <c r="BX87" s="24"/>
      <c r="BY87" s="24"/>
      <c r="BZ87" s="24"/>
      <c r="CA87" s="24"/>
      <c r="CB87" s="24"/>
      <c r="CC87" s="24"/>
      <c r="CD87" s="24"/>
      <c r="CE87" s="24"/>
      <c r="CF87" s="24"/>
      <c r="CG87" s="24"/>
      <c r="CH87" s="24"/>
      <c r="CI87" s="24"/>
      <c r="CJ87" s="24"/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24"/>
      <c r="CX87" s="24"/>
      <c r="CY87" s="24"/>
      <c r="CZ87" s="24"/>
      <c r="DA87" s="24"/>
      <c r="DB87" s="24"/>
      <c r="DC87" s="24"/>
      <c r="DD87" s="24"/>
      <c r="DE87" s="24"/>
      <c r="DF87" s="24"/>
      <c r="DG87" s="24"/>
      <c r="DH87" s="24"/>
      <c r="DI87" s="24"/>
      <c r="DJ87" s="24"/>
      <c r="DK87" s="24"/>
      <c r="DL87" s="24"/>
      <c r="DM87" s="24"/>
      <c r="DN87" s="24"/>
      <c r="DO87" s="24"/>
      <c r="DP87" s="24"/>
      <c r="DQ87" s="24"/>
      <c r="DR87" s="24"/>
      <c r="DS87" s="24"/>
      <c r="DT87" s="24"/>
      <c r="DU87" s="24"/>
    </row>
    <row r="88">
      <c r="A88" s="168"/>
      <c r="B88" s="25" t="s">
        <v>71</v>
      </c>
      <c r="C88" s="63">
        <f t="shared" ref="C88:P88" si="47">C32</f>
        <v>0.0004846124597</v>
      </c>
      <c r="D88" s="63">
        <f t="shared" si="47"/>
        <v>0.002096004997</v>
      </c>
      <c r="E88" s="63">
        <f t="shared" si="47"/>
        <v>0.0006287997182</v>
      </c>
      <c r="F88" s="63">
        <f t="shared" si="47"/>
        <v>0.001761230318</v>
      </c>
      <c r="G88" s="63">
        <f t="shared" si="47"/>
        <v>0.0008581949526</v>
      </c>
      <c r="H88" s="63">
        <f t="shared" si="47"/>
        <v>0.0005826186503</v>
      </c>
      <c r="I88" s="63">
        <f t="shared" si="47"/>
        <v>0.0003760117191</v>
      </c>
      <c r="J88" s="63">
        <f t="shared" si="47"/>
        <v>0.001570656704</v>
      </c>
      <c r="K88" s="63">
        <f t="shared" si="47"/>
        <v>0.0006703853705</v>
      </c>
      <c r="L88" s="63">
        <f t="shared" si="47"/>
        <v>0.00892275863</v>
      </c>
      <c r="M88" s="63">
        <f t="shared" si="47"/>
        <v>0.02547062674</v>
      </c>
      <c r="N88" s="63">
        <f t="shared" si="47"/>
        <v>0.0005923028947</v>
      </c>
      <c r="O88" s="63">
        <f t="shared" si="47"/>
        <v>0.0007442409952</v>
      </c>
      <c r="P88" s="379">
        <f t="shared" si="47"/>
        <v>0.002494874099</v>
      </c>
      <c r="Q88" s="169">
        <v>0.002214868344</v>
      </c>
      <c r="R88" s="170">
        <v>0.005929534641</v>
      </c>
      <c r="S88" s="170">
        <v>0.002568370126</v>
      </c>
      <c r="T88" s="170">
        <v>0.004898568762</v>
      </c>
      <c r="U88" s="170">
        <v>0.002196452773</v>
      </c>
      <c r="V88" s="170">
        <v>0.005289193915</v>
      </c>
      <c r="W88" s="170">
        <v>0.004275054895</v>
      </c>
      <c r="X88" s="170">
        <v>0.005263945279</v>
      </c>
      <c r="Y88" s="170">
        <v>0.005708123558</v>
      </c>
      <c r="Z88" s="170">
        <v>0.01012120054</v>
      </c>
      <c r="AA88" s="170">
        <v>0.01391051791</v>
      </c>
      <c r="AB88" s="170">
        <v>0.00681468535</v>
      </c>
      <c r="AC88" s="170">
        <v>0.00414772913</v>
      </c>
      <c r="AD88" s="171">
        <v>0.009326369149</v>
      </c>
      <c r="AE88" s="250">
        <v>7.841953225606806</v>
      </c>
      <c r="AF88" s="251">
        <v>0.0</v>
      </c>
      <c r="AG88" s="251">
        <v>0.1249853774649127</v>
      </c>
      <c r="AH88" s="252">
        <v>3.743880856367821</v>
      </c>
      <c r="AI88" s="251">
        <v>-0.3040584520035439</v>
      </c>
      <c r="AJ88" s="251">
        <v>0.05288816146539875</v>
      </c>
      <c r="AK88" s="164">
        <v>0.0</v>
      </c>
      <c r="AL88" s="253">
        <v>2716276.360358094</v>
      </c>
      <c r="AM88" s="254">
        <v>29605.39222160448</v>
      </c>
      <c r="AN88" s="255">
        <v>76762.7191681192</v>
      </c>
      <c r="AO88" s="256">
        <v>7526.205671279502</v>
      </c>
      <c r="AP88" s="254">
        <v>33012.51234253689</v>
      </c>
      <c r="AQ88" s="257">
        <v>7549.744209818788</v>
      </c>
      <c r="AR88" s="164">
        <v>0.0</v>
      </c>
      <c r="AS88" s="207">
        <f t="shared" si="23"/>
        <v>2870732.934</v>
      </c>
      <c r="AT88" s="208">
        <f t="shared" si="31"/>
        <v>11.45964917</v>
      </c>
      <c r="AU88" s="45">
        <f t="shared" si="3"/>
        <v>2870744.394</v>
      </c>
      <c r="AV88" s="396">
        <v>4297278.3044112455</v>
      </c>
      <c r="AW88" s="137" t="s">
        <v>71</v>
      </c>
      <c r="BJ88" s="24"/>
      <c r="BK88" s="24"/>
      <c r="BL88" s="24"/>
      <c r="BM88" s="24"/>
      <c r="BN88" s="24"/>
      <c r="BO88" s="24"/>
      <c r="BP88" s="24"/>
      <c r="BQ88" s="24"/>
      <c r="BR88" s="24"/>
      <c r="BS88" s="24"/>
      <c r="BT88" s="24"/>
      <c r="BU88" s="24"/>
      <c r="BV88" s="24"/>
      <c r="BW88" s="24"/>
      <c r="BX88" s="24"/>
      <c r="BY88" s="24"/>
      <c r="BZ88" s="24"/>
      <c r="CA88" s="24"/>
      <c r="CB88" s="24"/>
      <c r="CC88" s="24"/>
      <c r="CD88" s="24"/>
      <c r="CE88" s="24"/>
      <c r="CF88" s="24"/>
      <c r="CG88" s="24"/>
      <c r="CH88" s="24"/>
      <c r="CI88" s="24"/>
      <c r="CJ88" s="24"/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24"/>
      <c r="CX88" s="24"/>
      <c r="CY88" s="24"/>
      <c r="CZ88" s="24"/>
      <c r="DA88" s="24"/>
      <c r="DB88" s="24"/>
      <c r="DC88" s="24"/>
      <c r="DD88" s="24"/>
      <c r="DE88" s="24"/>
      <c r="DF88" s="24"/>
      <c r="DG88" s="24"/>
      <c r="DH88" s="24"/>
      <c r="DI88" s="24"/>
      <c r="DJ88" s="24"/>
      <c r="DK88" s="24"/>
      <c r="DL88" s="24"/>
      <c r="DM88" s="24"/>
      <c r="DN88" s="24"/>
      <c r="DO88" s="24"/>
      <c r="DP88" s="24"/>
      <c r="DQ88" s="24"/>
      <c r="DR88" s="24"/>
      <c r="DS88" s="24"/>
      <c r="DT88" s="24"/>
      <c r="DU88" s="24"/>
    </row>
    <row r="89">
      <c r="BJ89" s="24"/>
      <c r="BK89" s="24"/>
      <c r="BL89" s="24"/>
      <c r="BM89" s="24"/>
      <c r="BN89" s="24"/>
      <c r="BO89" s="24"/>
      <c r="BP89" s="24"/>
      <c r="BQ89" s="24"/>
      <c r="BR89" s="24"/>
      <c r="BS89" s="24"/>
      <c r="BT89" s="24"/>
      <c r="BU89" s="24"/>
      <c r="BV89" s="24"/>
      <c r="BW89" s="24"/>
      <c r="BX89" s="24"/>
      <c r="BY89" s="24"/>
      <c r="BZ89" s="24"/>
      <c r="CA89" s="24"/>
      <c r="CB89" s="24"/>
      <c r="CC89" s="24"/>
      <c r="CD89" s="24"/>
      <c r="CE89" s="24"/>
      <c r="CF89" s="24"/>
      <c r="CG89" s="24"/>
      <c r="CH89" s="24"/>
      <c r="CI89" s="24"/>
      <c r="CJ89" s="24"/>
      <c r="CK89" s="24"/>
      <c r="CL89" s="24"/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24"/>
      <c r="CZ89" s="24"/>
      <c r="DA89" s="24"/>
      <c r="DB89" s="24"/>
      <c r="DC89" s="24"/>
      <c r="DD89" s="24"/>
      <c r="DE89" s="24"/>
      <c r="DF89" s="24"/>
      <c r="DG89" s="24"/>
      <c r="DH89" s="24"/>
      <c r="DI89" s="24"/>
      <c r="DJ89" s="24"/>
      <c r="DK89" s="24"/>
      <c r="DL89" s="24"/>
      <c r="DM89" s="24"/>
      <c r="DN89" s="24"/>
      <c r="DO89" s="24"/>
      <c r="DP89" s="24"/>
      <c r="DQ89" s="24"/>
      <c r="DR89" s="24"/>
      <c r="DS89" s="24"/>
      <c r="DT89" s="24"/>
      <c r="DU89" s="24"/>
    </row>
    <row r="90">
      <c r="B90" s="260" t="s">
        <v>97</v>
      </c>
      <c r="C90" s="261"/>
      <c r="D90" s="261"/>
      <c r="E90" s="261"/>
      <c r="F90" s="261"/>
      <c r="G90" s="261"/>
      <c r="H90" s="261"/>
      <c r="I90" s="261"/>
      <c r="J90" s="261"/>
      <c r="K90" s="261"/>
      <c r="L90" s="261"/>
      <c r="M90" s="261"/>
      <c r="N90" s="261"/>
      <c r="O90" s="261"/>
      <c r="P90" s="261"/>
      <c r="Q90" s="261"/>
      <c r="R90" s="261"/>
      <c r="S90" s="261"/>
      <c r="T90" s="261"/>
      <c r="U90" s="261"/>
      <c r="V90" s="261"/>
      <c r="W90" s="261"/>
      <c r="X90" s="261"/>
      <c r="Y90" s="261"/>
      <c r="Z90" s="261"/>
      <c r="AA90" s="261"/>
      <c r="AB90" s="261"/>
      <c r="AC90" s="261"/>
      <c r="AD90" s="261"/>
      <c r="BJ90" s="24"/>
      <c r="BK90" s="24"/>
      <c r="BL90" s="24"/>
      <c r="BM90" s="24"/>
      <c r="BN90" s="24"/>
      <c r="BO90" s="24"/>
      <c r="BP90" s="24"/>
      <c r="BQ90" s="24"/>
      <c r="BR90" s="24"/>
      <c r="BS90" s="24"/>
      <c r="BT90" s="24"/>
      <c r="BU90" s="24"/>
      <c r="BV90" s="24"/>
      <c r="BW90" s="24"/>
      <c r="BX90" s="24"/>
      <c r="BY90" s="24"/>
      <c r="BZ90" s="24"/>
      <c r="CA90" s="24"/>
      <c r="CB90" s="24"/>
      <c r="CC90" s="24"/>
      <c r="CD90" s="24"/>
      <c r="CE90" s="24"/>
      <c r="CF90" s="24"/>
      <c r="CG90" s="24"/>
      <c r="CH90" s="24"/>
      <c r="CI90" s="24"/>
      <c r="CJ90" s="24"/>
      <c r="CK90" s="24"/>
      <c r="CL90" s="24"/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24"/>
      <c r="CY90" s="24"/>
      <c r="CZ90" s="24"/>
      <c r="DA90" s="24"/>
      <c r="DB90" s="24"/>
      <c r="DC90" s="24"/>
      <c r="DD90" s="24"/>
      <c r="DE90" s="24"/>
      <c r="DF90" s="24"/>
      <c r="DG90" s="24"/>
      <c r="DH90" s="24"/>
      <c r="DI90" s="24"/>
      <c r="DJ90" s="24"/>
      <c r="DK90" s="24"/>
      <c r="DL90" s="24"/>
      <c r="DM90" s="24"/>
      <c r="DN90" s="24"/>
      <c r="DO90" s="24"/>
      <c r="DP90" s="24"/>
      <c r="DQ90" s="24"/>
      <c r="DR90" s="24"/>
      <c r="DS90" s="24"/>
      <c r="DT90" s="24"/>
      <c r="DU90" s="24"/>
    </row>
    <row r="91">
      <c r="B91" s="262" t="s">
        <v>44</v>
      </c>
      <c r="C91" s="263" t="s">
        <v>39</v>
      </c>
      <c r="D91" s="264"/>
      <c r="E91" s="264"/>
      <c r="F91" s="264"/>
      <c r="G91" s="264"/>
      <c r="H91" s="264"/>
      <c r="I91" s="264"/>
      <c r="J91" s="264"/>
      <c r="K91" s="264"/>
      <c r="L91" s="264"/>
      <c r="M91" s="264"/>
      <c r="N91" s="264"/>
      <c r="O91" s="264"/>
      <c r="P91" s="265"/>
      <c r="Q91" s="263" t="s">
        <v>40</v>
      </c>
      <c r="R91" s="264"/>
      <c r="S91" s="264"/>
      <c r="T91" s="264"/>
      <c r="U91" s="264"/>
      <c r="V91" s="264"/>
      <c r="W91" s="264"/>
      <c r="X91" s="264"/>
      <c r="Y91" s="264"/>
      <c r="Z91" s="264"/>
      <c r="AA91" s="264"/>
      <c r="AB91" s="264"/>
      <c r="AC91" s="264"/>
      <c r="AD91" s="265"/>
      <c r="BJ91" s="24"/>
      <c r="BK91" s="24"/>
      <c r="BL91" s="24"/>
      <c r="BM91" s="24"/>
      <c r="BN91" s="24"/>
      <c r="BO91" s="24"/>
      <c r="BP91" s="24"/>
      <c r="BQ91" s="24"/>
      <c r="BR91" s="24"/>
      <c r="BS91" s="24"/>
      <c r="BT91" s="24"/>
      <c r="BU91" s="24"/>
      <c r="BV91" s="24"/>
      <c r="BW91" s="24"/>
      <c r="BX91" s="24"/>
      <c r="BY91" s="24"/>
      <c r="BZ91" s="24"/>
      <c r="CA91" s="24"/>
      <c r="CB91" s="24"/>
      <c r="CC91" s="24"/>
      <c r="CD91" s="24"/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24"/>
      <c r="CU91" s="24"/>
      <c r="CV91" s="24"/>
      <c r="CW91" s="24"/>
      <c r="CX91" s="24"/>
      <c r="CY91" s="24"/>
      <c r="CZ91" s="24"/>
      <c r="DA91" s="24"/>
      <c r="DB91" s="24"/>
      <c r="DC91" s="24"/>
      <c r="DD91" s="24"/>
      <c r="DE91" s="24"/>
      <c r="DF91" s="24"/>
      <c r="DG91" s="24"/>
      <c r="DH91" s="24"/>
      <c r="DI91" s="24"/>
      <c r="DJ91" s="24"/>
      <c r="DK91" s="24"/>
      <c r="DL91" s="24"/>
      <c r="DM91" s="24"/>
      <c r="DN91" s="24"/>
      <c r="DO91" s="24"/>
      <c r="DP91" s="24"/>
      <c r="DQ91" s="24"/>
      <c r="DR91" s="24"/>
      <c r="DS91" s="24"/>
      <c r="DT91" s="24"/>
      <c r="DU91" s="24"/>
    </row>
    <row r="92">
      <c r="B92" s="266" t="s">
        <v>57</v>
      </c>
      <c r="C92" s="262" t="s">
        <v>58</v>
      </c>
      <c r="D92" s="262" t="s">
        <v>59</v>
      </c>
      <c r="E92" s="262" t="s">
        <v>60</v>
      </c>
      <c r="F92" s="262" t="s">
        <v>61</v>
      </c>
      <c r="G92" s="262" t="s">
        <v>62</v>
      </c>
      <c r="H92" s="262" t="s">
        <v>63</v>
      </c>
      <c r="I92" s="262" t="s">
        <v>64</v>
      </c>
      <c r="J92" s="262" t="s">
        <v>65</v>
      </c>
      <c r="K92" s="262" t="s">
        <v>66</v>
      </c>
      <c r="L92" s="262" t="s">
        <v>67</v>
      </c>
      <c r="M92" s="262" t="s">
        <v>68</v>
      </c>
      <c r="N92" s="262" t="s">
        <v>69</v>
      </c>
      <c r="O92" s="262" t="s">
        <v>70</v>
      </c>
      <c r="P92" s="262" t="s">
        <v>71</v>
      </c>
      <c r="Q92" s="266" t="s">
        <v>58</v>
      </c>
      <c r="R92" s="266" t="s">
        <v>59</v>
      </c>
      <c r="S92" s="266" t="s">
        <v>60</v>
      </c>
      <c r="T92" s="266" t="s">
        <v>61</v>
      </c>
      <c r="U92" s="266" t="s">
        <v>62</v>
      </c>
      <c r="V92" s="266" t="s">
        <v>63</v>
      </c>
      <c r="W92" s="266" t="s">
        <v>64</v>
      </c>
      <c r="X92" s="266" t="s">
        <v>65</v>
      </c>
      <c r="Y92" s="266" t="s">
        <v>66</v>
      </c>
      <c r="Z92" s="266" t="s">
        <v>67</v>
      </c>
      <c r="AA92" s="266" t="s">
        <v>68</v>
      </c>
      <c r="AB92" s="262" t="s">
        <v>69</v>
      </c>
      <c r="AC92" s="267" t="s">
        <v>70</v>
      </c>
      <c r="AD92" s="262" t="s">
        <v>71</v>
      </c>
    </row>
    <row r="93">
      <c r="A93" s="281" t="s">
        <v>98</v>
      </c>
      <c r="B93" s="268" t="s">
        <v>80</v>
      </c>
      <c r="C93" s="397">
        <f t="shared" ref="C93:H93" si="48">C37*$AZ21</f>
        <v>394558.3431</v>
      </c>
      <c r="D93" s="397">
        <f t="shared" si="48"/>
        <v>63250.82635</v>
      </c>
      <c r="E93" s="397">
        <f t="shared" si="48"/>
        <v>330103.0601</v>
      </c>
      <c r="F93" s="397">
        <f t="shared" si="48"/>
        <v>56972.8144</v>
      </c>
      <c r="G93" s="397">
        <f t="shared" si="48"/>
        <v>27844.16562</v>
      </c>
      <c r="H93" s="397">
        <f t="shared" si="48"/>
        <v>82218.2544</v>
      </c>
      <c r="I93" s="397">
        <f t="shared" ref="I93:AD93" si="49">I37</f>
        <v>193610.1664</v>
      </c>
      <c r="J93" s="397">
        <f t="shared" si="49"/>
        <v>113702.1386</v>
      </c>
      <c r="K93" s="397">
        <f t="shared" si="49"/>
        <v>47362.21929</v>
      </c>
      <c r="L93" s="397">
        <f t="shared" si="49"/>
        <v>171044.0988</v>
      </c>
      <c r="M93" s="397">
        <f t="shared" si="49"/>
        <v>20424.23351</v>
      </c>
      <c r="N93" s="397">
        <f t="shared" si="49"/>
        <v>64930.68619</v>
      </c>
      <c r="O93" s="397">
        <f t="shared" si="49"/>
        <v>5561.473043</v>
      </c>
      <c r="P93" s="397">
        <f t="shared" si="49"/>
        <v>41500.40501</v>
      </c>
      <c r="Q93" s="397">
        <f t="shared" si="49"/>
        <v>187609.6483</v>
      </c>
      <c r="R93" s="397">
        <f t="shared" si="49"/>
        <v>188083.9883</v>
      </c>
      <c r="S93" s="397">
        <f t="shared" si="49"/>
        <v>167107.087</v>
      </c>
      <c r="T93" s="397">
        <f t="shared" si="49"/>
        <v>236455.7291</v>
      </c>
      <c r="U93" s="397">
        <f t="shared" si="49"/>
        <v>95291.31703</v>
      </c>
      <c r="V93" s="397">
        <f t="shared" si="49"/>
        <v>329550.9476</v>
      </c>
      <c r="W93" s="397">
        <f t="shared" si="49"/>
        <v>282355.3204</v>
      </c>
      <c r="X93" s="397">
        <f t="shared" si="49"/>
        <v>211729.3103</v>
      </c>
      <c r="Y93" s="397">
        <f t="shared" si="49"/>
        <v>495115.0082</v>
      </c>
      <c r="Z93" s="397">
        <f t="shared" si="49"/>
        <v>600344.2307</v>
      </c>
      <c r="AA93" s="397">
        <f t="shared" si="49"/>
        <v>30663.0403</v>
      </c>
      <c r="AB93" s="397">
        <f t="shared" si="49"/>
        <v>251346.082</v>
      </c>
      <c r="AC93" s="397">
        <f t="shared" si="49"/>
        <v>99332.73948</v>
      </c>
      <c r="AD93" s="397">
        <f t="shared" si="49"/>
        <v>27924.2879</v>
      </c>
    </row>
    <row r="94">
      <c r="B94" s="271" t="s">
        <v>81</v>
      </c>
      <c r="C94" s="397">
        <f t="shared" ref="C94:G94" si="50">C38*$AZ21</f>
        <v>3592.90067</v>
      </c>
      <c r="D94" s="397">
        <f t="shared" si="50"/>
        <v>271.0133783</v>
      </c>
      <c r="E94" s="397">
        <f t="shared" si="50"/>
        <v>6351.266635</v>
      </c>
      <c r="F94" s="397">
        <f t="shared" si="50"/>
        <v>228.7324932</v>
      </c>
      <c r="G94" s="397">
        <f t="shared" si="50"/>
        <v>87.64695003</v>
      </c>
      <c r="H94" s="397">
        <f t="shared" ref="H94:AD94" si="51">H38</f>
        <v>556.9058349</v>
      </c>
      <c r="I94" s="397">
        <f t="shared" si="51"/>
        <v>3643.652517</v>
      </c>
      <c r="J94" s="397">
        <f t="shared" si="51"/>
        <v>322.5196557</v>
      </c>
      <c r="K94" s="397">
        <f t="shared" si="51"/>
        <v>228.9797589</v>
      </c>
      <c r="L94" s="397">
        <f t="shared" si="51"/>
        <v>602.4355739</v>
      </c>
      <c r="M94" s="397">
        <f t="shared" si="51"/>
        <v>69.73906204</v>
      </c>
      <c r="N94" s="397">
        <f t="shared" si="51"/>
        <v>550.8057399</v>
      </c>
      <c r="O94" s="397">
        <f t="shared" si="51"/>
        <v>15.43698154</v>
      </c>
      <c r="P94" s="397">
        <f t="shared" si="51"/>
        <v>425.0564604</v>
      </c>
      <c r="Q94" s="397">
        <f t="shared" si="51"/>
        <v>2284.488884</v>
      </c>
      <c r="R94" s="397">
        <f t="shared" si="51"/>
        <v>846.7020321</v>
      </c>
      <c r="S94" s="397">
        <f t="shared" si="51"/>
        <v>2220.764765</v>
      </c>
      <c r="T94" s="397">
        <f t="shared" si="51"/>
        <v>1405.887466</v>
      </c>
      <c r="U94" s="397">
        <f t="shared" si="51"/>
        <v>456.2868331</v>
      </c>
      <c r="V94" s="397">
        <f t="shared" si="51"/>
        <v>996.5927236</v>
      </c>
      <c r="W94" s="397">
        <f t="shared" si="51"/>
        <v>762.6439572</v>
      </c>
      <c r="X94" s="397">
        <f t="shared" si="51"/>
        <v>529.0193301</v>
      </c>
      <c r="Y94" s="397">
        <f t="shared" si="51"/>
        <v>1307.622637</v>
      </c>
      <c r="Z94" s="397">
        <f t="shared" si="51"/>
        <v>656.4911786</v>
      </c>
      <c r="AA94" s="397">
        <f t="shared" si="51"/>
        <v>259.6293817</v>
      </c>
      <c r="AB94" s="397">
        <f t="shared" si="51"/>
        <v>1530.995943</v>
      </c>
      <c r="AC94" s="397">
        <f t="shared" si="51"/>
        <v>650.3331205</v>
      </c>
      <c r="AD94" s="397">
        <f t="shared" si="51"/>
        <v>507.8566172</v>
      </c>
    </row>
    <row r="95">
      <c r="B95" s="274" t="s">
        <v>82</v>
      </c>
      <c r="C95" s="397">
        <f t="shared" ref="C95:D95" si="52">C39</f>
        <v>0</v>
      </c>
      <c r="D95" s="397">
        <f t="shared" si="52"/>
        <v>0</v>
      </c>
      <c r="E95" s="397">
        <f>E39*$AZ23</f>
        <v>1067225.475</v>
      </c>
      <c r="F95" s="397">
        <f t="shared" ref="F95:AD95" si="53">F39</f>
        <v>0</v>
      </c>
      <c r="G95" s="397">
        <f t="shared" si="53"/>
        <v>0</v>
      </c>
      <c r="H95" s="397">
        <f t="shared" si="53"/>
        <v>465505.4041</v>
      </c>
      <c r="I95" s="397">
        <f t="shared" si="53"/>
        <v>0</v>
      </c>
      <c r="J95" s="397">
        <f t="shared" si="53"/>
        <v>0</v>
      </c>
      <c r="K95" s="397">
        <f t="shared" si="53"/>
        <v>0</v>
      </c>
      <c r="L95" s="397">
        <f t="shared" si="53"/>
        <v>0</v>
      </c>
      <c r="M95" s="397">
        <f t="shared" si="53"/>
        <v>0</v>
      </c>
      <c r="N95" s="397">
        <f t="shared" si="53"/>
        <v>350543.8462</v>
      </c>
      <c r="O95" s="397">
        <f t="shared" si="53"/>
        <v>0</v>
      </c>
      <c r="P95" s="397">
        <f t="shared" si="53"/>
        <v>0</v>
      </c>
      <c r="Q95" s="397">
        <f t="shared" si="53"/>
        <v>335866.4472</v>
      </c>
      <c r="R95" s="397">
        <f t="shared" si="53"/>
        <v>0</v>
      </c>
      <c r="S95" s="397">
        <f t="shared" si="53"/>
        <v>1393398.376</v>
      </c>
      <c r="T95" s="397">
        <f t="shared" si="53"/>
        <v>0</v>
      </c>
      <c r="U95" s="397">
        <f t="shared" si="53"/>
        <v>0</v>
      </c>
      <c r="V95" s="397">
        <f t="shared" si="53"/>
        <v>10072510.25</v>
      </c>
      <c r="W95" s="397">
        <f t="shared" si="53"/>
        <v>0</v>
      </c>
      <c r="X95" s="397">
        <f t="shared" si="53"/>
        <v>0</v>
      </c>
      <c r="Y95" s="397">
        <f t="shared" si="53"/>
        <v>0</v>
      </c>
      <c r="Z95" s="397">
        <f t="shared" si="53"/>
        <v>0</v>
      </c>
      <c r="AA95" s="397">
        <f t="shared" si="53"/>
        <v>0</v>
      </c>
      <c r="AB95" s="397">
        <f t="shared" si="53"/>
        <v>2629763.509</v>
      </c>
      <c r="AC95" s="397">
        <f t="shared" si="53"/>
        <v>0</v>
      </c>
      <c r="AD95" s="397">
        <f t="shared" si="53"/>
        <v>0</v>
      </c>
    </row>
    <row r="96">
      <c r="B96" s="275" t="s">
        <v>83</v>
      </c>
      <c r="C96" s="397">
        <f t="shared" ref="C96:AD96" si="54">C40</f>
        <v>4466.124653</v>
      </c>
      <c r="D96" s="397">
        <f t="shared" si="54"/>
        <v>379.2681242</v>
      </c>
      <c r="E96" s="397">
        <f t="shared" si="54"/>
        <v>3904.405604</v>
      </c>
      <c r="F96" s="397">
        <f t="shared" si="54"/>
        <v>302.1398114</v>
      </c>
      <c r="G96" s="397">
        <f t="shared" si="54"/>
        <v>109.3292425</v>
      </c>
      <c r="H96" s="397">
        <f t="shared" si="54"/>
        <v>856.4790955</v>
      </c>
      <c r="I96" s="397">
        <f t="shared" si="54"/>
        <v>1504.105885</v>
      </c>
      <c r="J96" s="397">
        <f t="shared" si="54"/>
        <v>623.7969491</v>
      </c>
      <c r="K96" s="397">
        <f t="shared" si="54"/>
        <v>278.971215</v>
      </c>
      <c r="L96" s="397">
        <f t="shared" si="54"/>
        <v>816.4908865</v>
      </c>
      <c r="M96" s="397">
        <f t="shared" si="54"/>
        <v>154.330084</v>
      </c>
      <c r="N96" s="397">
        <f t="shared" si="54"/>
        <v>694.2823975</v>
      </c>
      <c r="O96" s="397">
        <f t="shared" si="54"/>
        <v>56.99527715</v>
      </c>
      <c r="P96" s="397">
        <f t="shared" si="54"/>
        <v>463.3774766</v>
      </c>
      <c r="Q96" s="397">
        <f t="shared" si="54"/>
        <v>2755.540818</v>
      </c>
      <c r="R96" s="397">
        <f t="shared" si="54"/>
        <v>1181.207714</v>
      </c>
      <c r="S96" s="397">
        <f t="shared" si="54"/>
        <v>2195.529428</v>
      </c>
      <c r="T96" s="397">
        <f t="shared" si="54"/>
        <v>1635.237001</v>
      </c>
      <c r="U96" s="397">
        <f t="shared" si="54"/>
        <v>671.2138335</v>
      </c>
      <c r="V96" s="397">
        <f t="shared" si="54"/>
        <v>1510.514596</v>
      </c>
      <c r="W96" s="397">
        <f t="shared" si="54"/>
        <v>1541.376988</v>
      </c>
      <c r="X96" s="397">
        <f t="shared" si="54"/>
        <v>1044.297689</v>
      </c>
      <c r="Y96" s="397">
        <f t="shared" si="54"/>
        <v>2148.662325</v>
      </c>
      <c r="Z96" s="397">
        <f t="shared" si="54"/>
        <v>3922.425503</v>
      </c>
      <c r="AA96" s="397">
        <f t="shared" si="54"/>
        <v>269.0048971</v>
      </c>
      <c r="AB96" s="397">
        <f t="shared" si="54"/>
        <v>1058.956566</v>
      </c>
      <c r="AC96" s="397">
        <f t="shared" si="54"/>
        <v>440.9153666</v>
      </c>
      <c r="AD96" s="397">
        <f t="shared" si="54"/>
        <v>326.1996627</v>
      </c>
    </row>
    <row r="97">
      <c r="B97" s="276" t="s">
        <v>84</v>
      </c>
      <c r="C97" s="397">
        <f t="shared" ref="C97:AD97" si="55">C41</f>
        <v>9102.530791</v>
      </c>
      <c r="D97" s="397">
        <f t="shared" si="55"/>
        <v>1331.411587</v>
      </c>
      <c r="E97" s="397">
        <f t="shared" si="55"/>
        <v>1411.438693</v>
      </c>
      <c r="F97" s="397">
        <f t="shared" si="55"/>
        <v>419.1985741</v>
      </c>
      <c r="G97" s="397">
        <f t="shared" si="55"/>
        <v>602.7455555</v>
      </c>
      <c r="H97" s="397">
        <f t="shared" si="55"/>
        <v>32032.8337</v>
      </c>
      <c r="I97" s="397">
        <f t="shared" si="55"/>
        <v>17434.14845</v>
      </c>
      <c r="J97" s="397">
        <f t="shared" si="55"/>
        <v>465.0823852</v>
      </c>
      <c r="K97" s="397">
        <f t="shared" si="55"/>
        <v>2277.197288</v>
      </c>
      <c r="L97" s="397">
        <f t="shared" si="55"/>
        <v>0</v>
      </c>
      <c r="M97" s="397">
        <f t="shared" si="55"/>
        <v>0</v>
      </c>
      <c r="N97" s="397">
        <f t="shared" si="55"/>
        <v>18892.61253</v>
      </c>
      <c r="O97" s="397">
        <f t="shared" si="55"/>
        <v>0</v>
      </c>
      <c r="P97" s="397">
        <f t="shared" si="55"/>
        <v>0</v>
      </c>
      <c r="Q97" s="397">
        <f t="shared" si="55"/>
        <v>5885.454732</v>
      </c>
      <c r="R97" s="397">
        <f t="shared" si="55"/>
        <v>1648.553282</v>
      </c>
      <c r="S97" s="397">
        <f t="shared" si="55"/>
        <v>1174.646058</v>
      </c>
      <c r="T97" s="397">
        <f t="shared" si="55"/>
        <v>216.7334954</v>
      </c>
      <c r="U97" s="397">
        <f t="shared" si="55"/>
        <v>368.5531389</v>
      </c>
      <c r="V97" s="397">
        <f t="shared" si="55"/>
        <v>223842.4569</v>
      </c>
      <c r="W97" s="397">
        <f t="shared" si="55"/>
        <v>13251.13508</v>
      </c>
      <c r="X97" s="397">
        <f t="shared" si="55"/>
        <v>1589.562784</v>
      </c>
      <c r="Y97" s="397">
        <f t="shared" si="55"/>
        <v>917.5601985</v>
      </c>
      <c r="Z97" s="397">
        <f t="shared" si="55"/>
        <v>0</v>
      </c>
      <c r="AA97" s="397">
        <f t="shared" si="55"/>
        <v>0</v>
      </c>
      <c r="AB97" s="397">
        <f t="shared" si="55"/>
        <v>40252.43737</v>
      </c>
      <c r="AC97" s="397">
        <f t="shared" si="55"/>
        <v>0</v>
      </c>
      <c r="AD97" s="397">
        <f t="shared" si="55"/>
        <v>0</v>
      </c>
    </row>
    <row r="98">
      <c r="B98" s="277" t="s">
        <v>85</v>
      </c>
      <c r="C98" s="397">
        <f t="shared" ref="C98:AD98" si="56">SUM(C93:C97)</f>
        <v>411719.8992</v>
      </c>
      <c r="D98" s="397">
        <f t="shared" si="56"/>
        <v>65232.51944</v>
      </c>
      <c r="E98" s="397">
        <f t="shared" si="56"/>
        <v>1408995.646</v>
      </c>
      <c r="F98" s="397">
        <f t="shared" si="56"/>
        <v>57922.88528</v>
      </c>
      <c r="G98" s="397">
        <f t="shared" si="56"/>
        <v>28643.88737</v>
      </c>
      <c r="H98" s="397">
        <f t="shared" si="56"/>
        <v>581169.8771</v>
      </c>
      <c r="I98" s="397">
        <f t="shared" si="56"/>
        <v>216192.0733</v>
      </c>
      <c r="J98" s="397">
        <f t="shared" si="56"/>
        <v>115113.5376</v>
      </c>
      <c r="K98" s="397">
        <f t="shared" si="56"/>
        <v>50147.36755</v>
      </c>
      <c r="L98" s="397">
        <f t="shared" si="56"/>
        <v>172463.0253</v>
      </c>
      <c r="M98" s="397">
        <f t="shared" si="56"/>
        <v>20648.30266</v>
      </c>
      <c r="N98" s="397">
        <f t="shared" si="56"/>
        <v>435612.2331</v>
      </c>
      <c r="O98" s="397">
        <f t="shared" si="56"/>
        <v>5633.905302</v>
      </c>
      <c r="P98" s="397">
        <f t="shared" si="56"/>
        <v>42388.83895</v>
      </c>
      <c r="Q98" s="397">
        <f t="shared" si="56"/>
        <v>534401.5799</v>
      </c>
      <c r="R98" s="397">
        <f t="shared" si="56"/>
        <v>191760.4513</v>
      </c>
      <c r="S98" s="397">
        <f t="shared" si="56"/>
        <v>1566096.403</v>
      </c>
      <c r="T98" s="397">
        <f t="shared" si="56"/>
        <v>239713.5871</v>
      </c>
      <c r="U98" s="397">
        <f t="shared" si="56"/>
        <v>96787.37084</v>
      </c>
      <c r="V98" s="397">
        <f t="shared" si="56"/>
        <v>10628410.76</v>
      </c>
      <c r="W98" s="397">
        <f t="shared" si="56"/>
        <v>297910.4764</v>
      </c>
      <c r="X98" s="397">
        <f t="shared" si="56"/>
        <v>214892.1901</v>
      </c>
      <c r="Y98" s="397">
        <f t="shared" si="56"/>
        <v>499488.8534</v>
      </c>
      <c r="Z98" s="397">
        <f t="shared" si="56"/>
        <v>604923.1474</v>
      </c>
      <c r="AA98" s="397">
        <f t="shared" si="56"/>
        <v>31191.67458</v>
      </c>
      <c r="AB98" s="397">
        <f t="shared" si="56"/>
        <v>2923951.981</v>
      </c>
      <c r="AC98" s="397">
        <f t="shared" si="56"/>
        <v>100423.988</v>
      </c>
      <c r="AD98" s="397">
        <f t="shared" si="56"/>
        <v>28758.34418</v>
      </c>
    </row>
    <row r="99">
      <c r="B99" s="280" t="s">
        <v>44</v>
      </c>
      <c r="C99" s="263" t="s">
        <v>39</v>
      </c>
      <c r="D99" s="264"/>
      <c r="E99" s="264"/>
      <c r="F99" s="264"/>
      <c r="G99" s="264"/>
      <c r="H99" s="264"/>
      <c r="I99" s="264"/>
      <c r="J99" s="264"/>
      <c r="K99" s="264"/>
      <c r="L99" s="264"/>
      <c r="M99" s="264"/>
      <c r="N99" s="264"/>
      <c r="O99" s="264"/>
      <c r="P99" s="265"/>
      <c r="Q99" s="263" t="s">
        <v>40</v>
      </c>
      <c r="R99" s="264"/>
      <c r="S99" s="264"/>
      <c r="T99" s="264"/>
      <c r="U99" s="264"/>
      <c r="V99" s="264"/>
      <c r="W99" s="264"/>
      <c r="X99" s="264"/>
      <c r="Y99" s="264"/>
      <c r="Z99" s="264"/>
      <c r="AA99" s="264"/>
      <c r="AB99" s="264"/>
      <c r="AC99" s="264"/>
      <c r="AD99" s="265"/>
    </row>
    <row r="100">
      <c r="B100" s="266" t="s">
        <v>57</v>
      </c>
      <c r="C100" s="262" t="s">
        <v>58</v>
      </c>
      <c r="D100" s="262" t="s">
        <v>59</v>
      </c>
      <c r="E100" s="262" t="s">
        <v>60</v>
      </c>
      <c r="F100" s="262" t="s">
        <v>61</v>
      </c>
      <c r="G100" s="262" t="s">
        <v>62</v>
      </c>
      <c r="H100" s="262" t="s">
        <v>63</v>
      </c>
      <c r="I100" s="262" t="s">
        <v>64</v>
      </c>
      <c r="J100" s="262" t="s">
        <v>65</v>
      </c>
      <c r="K100" s="262" t="s">
        <v>66</v>
      </c>
      <c r="L100" s="262" t="s">
        <v>67</v>
      </c>
      <c r="M100" s="262" t="s">
        <v>68</v>
      </c>
      <c r="N100" s="262" t="s">
        <v>69</v>
      </c>
      <c r="O100" s="262" t="s">
        <v>70</v>
      </c>
      <c r="P100" s="262" t="s">
        <v>71</v>
      </c>
      <c r="Q100" s="266" t="s">
        <v>58</v>
      </c>
      <c r="R100" s="266" t="s">
        <v>59</v>
      </c>
      <c r="S100" s="266" t="s">
        <v>60</v>
      </c>
      <c r="T100" s="266" t="s">
        <v>61</v>
      </c>
      <c r="U100" s="266" t="s">
        <v>62</v>
      </c>
      <c r="V100" s="266" t="s">
        <v>63</v>
      </c>
      <c r="W100" s="266" t="s">
        <v>64</v>
      </c>
      <c r="X100" s="266" t="s">
        <v>65</v>
      </c>
      <c r="Y100" s="266" t="s">
        <v>66</v>
      </c>
      <c r="Z100" s="266" t="s">
        <v>67</v>
      </c>
      <c r="AA100" s="266" t="s">
        <v>68</v>
      </c>
      <c r="AB100" s="262" t="s">
        <v>69</v>
      </c>
      <c r="AC100" s="267" t="s">
        <v>70</v>
      </c>
      <c r="AD100" s="262" t="s">
        <v>71</v>
      </c>
    </row>
    <row r="101">
      <c r="A101" s="281" t="s">
        <v>98</v>
      </c>
      <c r="B101" s="282" t="s">
        <v>86</v>
      </c>
      <c r="C101" s="269">
        <v>2.421279035</v>
      </c>
      <c r="D101" s="269">
        <v>0.0</v>
      </c>
      <c r="E101" s="269">
        <v>0.0</v>
      </c>
      <c r="F101" s="269">
        <v>0.0</v>
      </c>
      <c r="G101" s="269">
        <v>0.0</v>
      </c>
      <c r="H101" s="269">
        <v>0.0</v>
      </c>
      <c r="I101" s="269">
        <v>0.0</v>
      </c>
      <c r="J101" s="269">
        <v>0.0</v>
      </c>
      <c r="K101" s="269">
        <v>0.0</v>
      </c>
      <c r="L101" s="269">
        <v>0.0</v>
      </c>
      <c r="M101" s="269">
        <v>0.0</v>
      </c>
      <c r="N101" s="269">
        <v>0.0</v>
      </c>
      <c r="O101" s="269">
        <v>0.0</v>
      </c>
      <c r="P101" s="269">
        <v>0.0</v>
      </c>
      <c r="Q101" s="269">
        <v>2.61865566</v>
      </c>
      <c r="R101" s="269">
        <v>0.0</v>
      </c>
      <c r="S101" s="269">
        <v>0.0</v>
      </c>
      <c r="T101" s="269">
        <v>0.0</v>
      </c>
      <c r="U101" s="269">
        <v>0.0</v>
      </c>
      <c r="V101" s="269">
        <v>0.0</v>
      </c>
      <c r="W101" s="269">
        <v>0.0</v>
      </c>
      <c r="X101" s="269">
        <v>0.0</v>
      </c>
      <c r="Y101" s="269">
        <v>0.0</v>
      </c>
      <c r="Z101" s="269">
        <v>0.0</v>
      </c>
      <c r="AA101" s="269">
        <v>0.0</v>
      </c>
      <c r="AB101" s="269">
        <v>0.0</v>
      </c>
      <c r="AC101" s="269">
        <v>0.0</v>
      </c>
      <c r="AD101" s="269">
        <v>0.0</v>
      </c>
    </row>
    <row r="102">
      <c r="B102" s="283" t="s">
        <v>87</v>
      </c>
      <c r="C102" s="272">
        <v>0.0</v>
      </c>
      <c r="D102" s="272">
        <v>0.0</v>
      </c>
      <c r="E102" s="272">
        <v>3.701035907</v>
      </c>
      <c r="F102" s="272">
        <v>0.0</v>
      </c>
      <c r="G102" s="272">
        <v>0.0</v>
      </c>
      <c r="H102" s="272">
        <v>0.0</v>
      </c>
      <c r="I102" s="272">
        <v>0.0</v>
      </c>
      <c r="J102" s="272">
        <v>0.0</v>
      </c>
      <c r="K102" s="272">
        <v>0.0</v>
      </c>
      <c r="L102" s="272">
        <v>0.0</v>
      </c>
      <c r="M102" s="272">
        <v>0.0</v>
      </c>
      <c r="N102" s="272">
        <v>0.0</v>
      </c>
      <c r="O102" s="272">
        <v>0.0</v>
      </c>
      <c r="P102" s="272">
        <v>0.0</v>
      </c>
      <c r="Q102" s="272">
        <v>0.0</v>
      </c>
      <c r="R102" s="272">
        <v>0.0</v>
      </c>
      <c r="S102" s="272">
        <v>6.597752347</v>
      </c>
      <c r="T102" s="272">
        <v>0.0</v>
      </c>
      <c r="U102" s="272">
        <v>0.0</v>
      </c>
      <c r="V102" s="272">
        <v>0.0</v>
      </c>
      <c r="W102" s="272">
        <v>0.0</v>
      </c>
      <c r="X102" s="272">
        <v>0.0</v>
      </c>
      <c r="Y102" s="272">
        <v>0.0</v>
      </c>
      <c r="Z102" s="272">
        <v>0.0</v>
      </c>
      <c r="AA102" s="272">
        <v>0.0</v>
      </c>
      <c r="AB102" s="272">
        <v>0.0</v>
      </c>
      <c r="AC102" s="272">
        <v>0.0</v>
      </c>
      <c r="AD102" s="272">
        <v>0.0</v>
      </c>
    </row>
    <row r="103">
      <c r="B103" s="283" t="s">
        <v>88</v>
      </c>
      <c r="C103" s="272">
        <v>0.0</v>
      </c>
      <c r="D103" s="272">
        <v>0.0</v>
      </c>
      <c r="E103" s="272">
        <v>0.0</v>
      </c>
      <c r="F103" s="272">
        <v>0.0</v>
      </c>
      <c r="G103" s="272">
        <v>0.0</v>
      </c>
      <c r="H103" s="272">
        <v>0.0</v>
      </c>
      <c r="I103" s="272">
        <v>1.478224374</v>
      </c>
      <c r="J103" s="272">
        <v>0.0</v>
      </c>
      <c r="K103" s="272">
        <v>0.0</v>
      </c>
      <c r="L103" s="272">
        <v>0.0</v>
      </c>
      <c r="M103" s="272">
        <v>0.0</v>
      </c>
      <c r="N103" s="272">
        <v>0.0</v>
      </c>
      <c r="O103" s="272">
        <v>0.0</v>
      </c>
      <c r="P103" s="272">
        <v>0.0</v>
      </c>
      <c r="Q103" s="272">
        <v>0.0</v>
      </c>
      <c r="R103" s="272">
        <v>0.0</v>
      </c>
      <c r="S103" s="272">
        <v>0.0</v>
      </c>
      <c r="T103" s="272">
        <v>0.0</v>
      </c>
      <c r="U103" s="272">
        <v>0.0</v>
      </c>
      <c r="V103" s="272">
        <v>0.0</v>
      </c>
      <c r="W103" s="272">
        <v>0.5509743587</v>
      </c>
      <c r="X103" s="272">
        <v>0.0</v>
      </c>
      <c r="Y103" s="272">
        <v>0.0</v>
      </c>
      <c r="Z103" s="272">
        <v>0.0</v>
      </c>
      <c r="AA103" s="272">
        <v>0.0</v>
      </c>
      <c r="AB103" s="272">
        <v>0.0</v>
      </c>
      <c r="AC103" s="272">
        <v>0.0</v>
      </c>
      <c r="AD103" s="272">
        <v>0.0</v>
      </c>
    </row>
    <row r="104">
      <c r="B104" s="283" t="s">
        <v>89</v>
      </c>
      <c r="C104" s="272">
        <v>0.0</v>
      </c>
      <c r="D104" s="272">
        <v>0.0</v>
      </c>
      <c r="E104" s="272">
        <v>8.124795517E-5</v>
      </c>
      <c r="F104" s="272">
        <v>0.0</v>
      </c>
      <c r="G104" s="272">
        <v>0.0</v>
      </c>
      <c r="H104" s="272">
        <v>0.0</v>
      </c>
      <c r="I104" s="272">
        <v>0.0</v>
      </c>
      <c r="J104" s="272">
        <v>0.0</v>
      </c>
      <c r="K104" s="272">
        <v>0.0</v>
      </c>
      <c r="L104" s="272">
        <v>0.0</v>
      </c>
      <c r="M104" s="272">
        <v>0.0</v>
      </c>
      <c r="N104" s="272">
        <v>0.0</v>
      </c>
      <c r="O104" s="272">
        <v>0.0</v>
      </c>
      <c r="P104" s="272">
        <v>0.0</v>
      </c>
      <c r="Q104" s="272">
        <v>0.0</v>
      </c>
      <c r="R104" s="272">
        <v>0.0</v>
      </c>
      <c r="S104" s="272">
        <v>0.0346224016</v>
      </c>
      <c r="T104" s="272">
        <v>0.0</v>
      </c>
      <c r="U104" s="272">
        <v>0.0</v>
      </c>
      <c r="V104" s="272">
        <v>0.0</v>
      </c>
      <c r="W104" s="272">
        <v>0.0</v>
      </c>
      <c r="X104" s="272">
        <v>0.0</v>
      </c>
      <c r="Y104" s="272">
        <v>0.0</v>
      </c>
      <c r="Z104" s="272">
        <v>0.0</v>
      </c>
      <c r="AA104" s="272">
        <v>0.0</v>
      </c>
      <c r="AB104" s="272">
        <v>0.0</v>
      </c>
      <c r="AC104" s="272">
        <v>0.0</v>
      </c>
      <c r="AD104" s="272">
        <v>0.0</v>
      </c>
    </row>
    <row r="105">
      <c r="B105" s="283" t="s">
        <v>90</v>
      </c>
      <c r="C105" s="272">
        <v>0.0</v>
      </c>
      <c r="D105" s="272">
        <v>0.0</v>
      </c>
      <c r="E105" s="272">
        <v>0.0</v>
      </c>
      <c r="F105" s="272">
        <v>0.0</v>
      </c>
      <c r="G105" s="272">
        <v>0.0</v>
      </c>
      <c r="H105" s="272">
        <v>0.0</v>
      </c>
      <c r="I105" s="272">
        <v>0.1859097977</v>
      </c>
      <c r="J105" s="272">
        <v>0.0</v>
      </c>
      <c r="K105" s="272">
        <v>0.0</v>
      </c>
      <c r="L105" s="272">
        <v>0.0</v>
      </c>
      <c r="M105" s="272">
        <v>0.0</v>
      </c>
      <c r="N105" s="272">
        <v>0.0</v>
      </c>
      <c r="O105" s="272">
        <v>0.0</v>
      </c>
      <c r="P105" s="272">
        <v>0.0</v>
      </c>
      <c r="Q105" s="272">
        <v>0.0</v>
      </c>
      <c r="R105" s="272">
        <v>0.0</v>
      </c>
      <c r="S105" s="272">
        <v>0.0</v>
      </c>
      <c r="T105" s="272">
        <v>0.0</v>
      </c>
      <c r="U105" s="272">
        <v>0.0</v>
      </c>
      <c r="V105" s="272">
        <v>0.0</v>
      </c>
      <c r="W105" s="272">
        <v>3.560443812</v>
      </c>
      <c r="X105" s="272">
        <v>0.0</v>
      </c>
      <c r="Y105" s="272">
        <v>0.0</v>
      </c>
      <c r="Z105" s="272">
        <v>0.0</v>
      </c>
      <c r="AA105" s="272">
        <v>0.0</v>
      </c>
      <c r="AB105" s="272">
        <v>0.0</v>
      </c>
      <c r="AC105" s="272">
        <v>0.0</v>
      </c>
      <c r="AD105" s="272">
        <v>0.0</v>
      </c>
    </row>
    <row r="106">
      <c r="B106" s="283" t="s">
        <v>91</v>
      </c>
      <c r="C106" s="272">
        <v>0.0</v>
      </c>
      <c r="D106" s="272">
        <v>0.0</v>
      </c>
      <c r="E106" s="272">
        <v>0.0</v>
      </c>
      <c r="F106" s="272">
        <v>0.0</v>
      </c>
      <c r="G106" s="272">
        <v>0.0</v>
      </c>
      <c r="H106" s="272">
        <v>0.0</v>
      </c>
      <c r="I106" s="272">
        <v>0.9711417078</v>
      </c>
      <c r="J106" s="272">
        <v>0.0</v>
      </c>
      <c r="K106" s="272">
        <v>0.0</v>
      </c>
      <c r="L106" s="272">
        <v>0.0</v>
      </c>
      <c r="M106" s="272">
        <v>0.0</v>
      </c>
      <c r="N106" s="272">
        <v>0.0</v>
      </c>
      <c r="O106" s="272">
        <v>0.0</v>
      </c>
      <c r="P106" s="272">
        <v>0.0</v>
      </c>
      <c r="Q106" s="272">
        <v>0.0</v>
      </c>
      <c r="R106" s="272">
        <v>0.0</v>
      </c>
      <c r="S106" s="272">
        <v>0.0</v>
      </c>
      <c r="T106" s="272">
        <v>0.0</v>
      </c>
      <c r="U106" s="272">
        <v>0.0</v>
      </c>
      <c r="V106" s="272">
        <v>0.0</v>
      </c>
      <c r="W106" s="272">
        <v>2.129875851</v>
      </c>
      <c r="X106" s="272">
        <v>0.0</v>
      </c>
      <c r="Y106" s="272">
        <v>0.0</v>
      </c>
      <c r="Z106" s="272">
        <v>0.0</v>
      </c>
      <c r="AA106" s="272">
        <v>0.0</v>
      </c>
      <c r="AB106" s="272">
        <v>0.0</v>
      </c>
      <c r="AC106" s="272">
        <v>0.0</v>
      </c>
      <c r="AD106" s="272">
        <v>0.0</v>
      </c>
    </row>
    <row r="107">
      <c r="B107" s="283" t="s">
        <v>92</v>
      </c>
      <c r="C107" s="272">
        <v>0.0</v>
      </c>
      <c r="D107" s="272">
        <v>0.0</v>
      </c>
      <c r="E107" s="272">
        <v>0.0</v>
      </c>
      <c r="F107" s="272">
        <v>0.0</v>
      </c>
      <c r="G107" s="272">
        <v>0.0</v>
      </c>
      <c r="H107" s="272">
        <v>0.0</v>
      </c>
      <c r="I107" s="272">
        <v>11.32478843</v>
      </c>
      <c r="J107" s="272">
        <v>0.0</v>
      </c>
      <c r="K107" s="272">
        <v>0.0</v>
      </c>
      <c r="L107" s="272">
        <v>0.0</v>
      </c>
      <c r="M107" s="272">
        <v>0.0</v>
      </c>
      <c r="N107" s="272">
        <v>0.0</v>
      </c>
      <c r="O107" s="272">
        <v>0.0</v>
      </c>
      <c r="P107" s="272">
        <v>0.0</v>
      </c>
      <c r="Q107" s="272">
        <v>0.0</v>
      </c>
      <c r="R107" s="272">
        <v>0.0</v>
      </c>
      <c r="S107" s="272">
        <v>0.0</v>
      </c>
      <c r="T107" s="272">
        <v>0.0</v>
      </c>
      <c r="U107" s="272">
        <v>0.0</v>
      </c>
      <c r="V107" s="272">
        <v>0.0</v>
      </c>
      <c r="W107" s="272">
        <v>9.712320684</v>
      </c>
      <c r="X107" s="272">
        <v>0.0</v>
      </c>
      <c r="Y107" s="272">
        <v>0.0</v>
      </c>
      <c r="Z107" s="272">
        <v>0.0</v>
      </c>
      <c r="AA107" s="272">
        <v>0.0</v>
      </c>
      <c r="AB107" s="272">
        <v>0.0</v>
      </c>
      <c r="AC107" s="272">
        <v>0.0</v>
      </c>
      <c r="AD107" s="272">
        <v>0.0</v>
      </c>
    </row>
    <row r="108">
      <c r="B108" s="277" t="s">
        <v>93</v>
      </c>
      <c r="C108" s="278">
        <v>2.421279035</v>
      </c>
      <c r="D108" s="278">
        <v>0.0</v>
      </c>
      <c r="E108" s="278">
        <v>3.701117155</v>
      </c>
      <c r="F108" s="278">
        <v>0.0</v>
      </c>
      <c r="G108" s="278">
        <v>0.0</v>
      </c>
      <c r="H108" s="278">
        <v>0.0</v>
      </c>
      <c r="I108" s="278">
        <v>13.96006431</v>
      </c>
      <c r="J108" s="278">
        <v>0.0</v>
      </c>
      <c r="K108" s="278">
        <v>0.0</v>
      </c>
      <c r="L108" s="278">
        <v>0.0</v>
      </c>
      <c r="M108" s="278">
        <v>0.0</v>
      </c>
      <c r="N108" s="278">
        <v>0.0</v>
      </c>
      <c r="O108" s="278">
        <v>0.0</v>
      </c>
      <c r="P108" s="278">
        <v>0.0</v>
      </c>
      <c r="Q108" s="278">
        <v>2.61865566</v>
      </c>
      <c r="R108" s="278">
        <v>0.0</v>
      </c>
      <c r="S108" s="278">
        <v>6.632374748</v>
      </c>
      <c r="T108" s="278">
        <v>0.0</v>
      </c>
      <c r="U108" s="278">
        <v>0.0</v>
      </c>
      <c r="V108" s="278">
        <v>0.0</v>
      </c>
      <c r="W108" s="278">
        <v>15.95361471</v>
      </c>
      <c r="X108" s="278">
        <v>0.0</v>
      </c>
      <c r="Y108" s="278">
        <v>0.0</v>
      </c>
      <c r="Z108" s="278">
        <v>0.0</v>
      </c>
      <c r="AA108" s="278">
        <v>0.0</v>
      </c>
      <c r="AB108" s="278">
        <v>0.0</v>
      </c>
      <c r="AC108" s="278">
        <v>0.0</v>
      </c>
      <c r="AD108" s="278">
        <v>0.0</v>
      </c>
    </row>
    <row r="121">
      <c r="B121" s="13" t="s">
        <v>99</v>
      </c>
      <c r="AF121" s="13" t="s">
        <v>100</v>
      </c>
      <c r="BL121" s="13" t="s">
        <v>101</v>
      </c>
      <c r="CR121" s="13" t="s">
        <v>102</v>
      </c>
    </row>
    <row r="123">
      <c r="B123" s="398" t="s">
        <v>103</v>
      </c>
      <c r="C123" s="399"/>
      <c r="D123" s="399"/>
      <c r="E123" s="399"/>
      <c r="F123" s="399"/>
      <c r="G123" s="399"/>
      <c r="H123" s="399"/>
      <c r="I123" s="399"/>
      <c r="J123" s="399"/>
      <c r="K123" s="399"/>
      <c r="L123" s="399"/>
      <c r="M123" s="399"/>
      <c r="N123" s="399"/>
      <c r="O123" s="399"/>
      <c r="P123" s="399"/>
      <c r="Q123" s="399"/>
      <c r="R123" s="399"/>
      <c r="S123" s="399"/>
      <c r="T123" s="399"/>
      <c r="U123" s="399"/>
      <c r="V123" s="399"/>
      <c r="W123" s="399"/>
      <c r="X123" s="399"/>
      <c r="Y123" s="399"/>
      <c r="Z123" s="399"/>
      <c r="AA123" s="399"/>
      <c r="AB123" s="399"/>
      <c r="AC123" s="399"/>
      <c r="AD123" s="399"/>
      <c r="AF123" s="400" t="s">
        <v>104</v>
      </c>
      <c r="AG123" s="401"/>
      <c r="AH123" s="401"/>
      <c r="AI123" s="401"/>
      <c r="AJ123" s="401"/>
      <c r="AK123" s="401"/>
      <c r="AL123" s="401"/>
      <c r="AM123" s="401"/>
      <c r="AN123" s="401"/>
      <c r="AO123" s="401"/>
      <c r="AP123" s="401"/>
      <c r="AQ123" s="401"/>
      <c r="AR123" s="401"/>
      <c r="AS123" s="401"/>
      <c r="AT123" s="401"/>
      <c r="AU123" s="401"/>
      <c r="AV123" s="401"/>
      <c r="AW123" s="401"/>
      <c r="AX123" s="401"/>
      <c r="AY123" s="401"/>
      <c r="AZ123" s="401"/>
      <c r="BA123" s="401"/>
      <c r="BB123" s="401"/>
      <c r="BC123" s="401"/>
      <c r="BD123" s="401"/>
      <c r="BE123" s="401"/>
      <c r="BF123" s="401"/>
      <c r="BG123" s="401"/>
      <c r="BH123" s="401"/>
      <c r="BJ123" s="24"/>
      <c r="BK123" s="24"/>
      <c r="BL123" s="400" t="s">
        <v>105</v>
      </c>
      <c r="BM123" s="401"/>
      <c r="BN123" s="401"/>
      <c r="BO123" s="401"/>
      <c r="BP123" s="401"/>
      <c r="BQ123" s="401"/>
      <c r="BR123" s="401"/>
      <c r="BS123" s="401"/>
      <c r="BT123" s="401"/>
      <c r="BU123" s="401"/>
      <c r="BV123" s="401"/>
      <c r="BW123" s="401"/>
      <c r="BX123" s="401"/>
      <c r="BY123" s="401"/>
      <c r="BZ123" s="401"/>
      <c r="CA123" s="401"/>
      <c r="CB123" s="401"/>
      <c r="CC123" s="401"/>
      <c r="CD123" s="401"/>
      <c r="CE123" s="401"/>
      <c r="CF123" s="401"/>
      <c r="CG123" s="401"/>
      <c r="CH123" s="401"/>
      <c r="CI123" s="401"/>
      <c r="CJ123" s="401"/>
      <c r="CK123" s="401"/>
      <c r="CL123" s="401"/>
      <c r="CM123" s="401"/>
      <c r="CN123" s="401"/>
      <c r="CO123" s="402"/>
      <c r="CP123" s="402"/>
      <c r="CQ123" s="402"/>
      <c r="CR123" s="400" t="s">
        <v>106</v>
      </c>
      <c r="CS123" s="401"/>
      <c r="CT123" s="401"/>
      <c r="CU123" s="401"/>
      <c r="CV123" s="401"/>
      <c r="CW123" s="401"/>
      <c r="CX123" s="401"/>
      <c r="CY123" s="401"/>
      <c r="CZ123" s="401"/>
      <c r="DA123" s="401"/>
      <c r="DB123" s="401"/>
      <c r="DC123" s="401"/>
      <c r="DD123" s="401"/>
      <c r="DE123" s="401"/>
      <c r="DF123" s="401"/>
      <c r="DG123" s="401"/>
      <c r="DH123" s="401"/>
      <c r="DI123" s="401"/>
      <c r="DJ123" s="401"/>
      <c r="DK123" s="401"/>
      <c r="DL123" s="401"/>
      <c r="DM123" s="401"/>
      <c r="DN123" s="401"/>
      <c r="DO123" s="401"/>
      <c r="DP123" s="401"/>
      <c r="DQ123" s="401"/>
      <c r="DR123" s="401"/>
      <c r="DS123" s="401"/>
      <c r="DT123" s="401"/>
      <c r="DU123" s="403"/>
    </row>
    <row r="124">
      <c r="B124" s="404"/>
      <c r="C124" s="405">
        <v>1.0</v>
      </c>
      <c r="D124" s="405">
        <v>2.0</v>
      </c>
      <c r="E124" s="405">
        <v>3.0</v>
      </c>
      <c r="F124" s="405">
        <v>4.0</v>
      </c>
      <c r="G124" s="405">
        <v>5.0</v>
      </c>
      <c r="H124" s="405">
        <v>6.0</v>
      </c>
      <c r="I124" s="405">
        <v>7.0</v>
      </c>
      <c r="J124" s="405">
        <v>8.0</v>
      </c>
      <c r="K124" s="405">
        <v>9.0</v>
      </c>
      <c r="L124" s="405">
        <v>10.0</v>
      </c>
      <c r="M124" s="405">
        <v>11.0</v>
      </c>
      <c r="N124" s="405">
        <v>12.0</v>
      </c>
      <c r="O124" s="405">
        <v>13.0</v>
      </c>
      <c r="P124" s="405">
        <v>14.0</v>
      </c>
      <c r="Q124" s="405">
        <v>15.0</v>
      </c>
      <c r="R124" s="405">
        <v>16.0</v>
      </c>
      <c r="S124" s="405">
        <v>17.0</v>
      </c>
      <c r="T124" s="405">
        <v>18.0</v>
      </c>
      <c r="U124" s="405">
        <v>19.0</v>
      </c>
      <c r="V124" s="405">
        <v>20.0</v>
      </c>
      <c r="W124" s="405">
        <v>21.0</v>
      </c>
      <c r="X124" s="405">
        <v>22.0</v>
      </c>
      <c r="Y124" s="405">
        <v>23.0</v>
      </c>
      <c r="Z124" s="405">
        <v>24.0</v>
      </c>
      <c r="AA124" s="405">
        <v>25.0</v>
      </c>
      <c r="AB124" s="405">
        <v>26.0</v>
      </c>
      <c r="AC124" s="405">
        <v>27.0</v>
      </c>
      <c r="AD124" s="405">
        <v>28.0</v>
      </c>
      <c r="AF124" s="404"/>
      <c r="AG124" s="405">
        <v>1.0</v>
      </c>
      <c r="AH124" s="405">
        <v>2.0</v>
      </c>
      <c r="AI124" s="405">
        <v>3.0</v>
      </c>
      <c r="AJ124" s="405">
        <v>4.0</v>
      </c>
      <c r="AK124" s="405">
        <v>5.0</v>
      </c>
      <c r="AL124" s="405">
        <v>6.0</v>
      </c>
      <c r="AM124" s="405">
        <v>7.0</v>
      </c>
      <c r="AN124" s="405">
        <v>8.0</v>
      </c>
      <c r="AO124" s="405">
        <v>9.0</v>
      </c>
      <c r="AP124" s="405">
        <v>10.0</v>
      </c>
      <c r="AQ124" s="405">
        <v>11.0</v>
      </c>
      <c r="AR124" s="405">
        <v>12.0</v>
      </c>
      <c r="AS124" s="405">
        <v>13.0</v>
      </c>
      <c r="AT124" s="405">
        <v>14.0</v>
      </c>
      <c r="AU124" s="405">
        <v>15.0</v>
      </c>
      <c r="AV124" s="405">
        <v>16.0</v>
      </c>
      <c r="AW124" s="405">
        <v>17.0</v>
      </c>
      <c r="AX124" s="405">
        <v>18.0</v>
      </c>
      <c r="AY124" s="405">
        <v>19.0</v>
      </c>
      <c r="AZ124" s="405">
        <v>20.0</v>
      </c>
      <c r="BA124" s="405">
        <v>21.0</v>
      </c>
      <c r="BB124" s="405">
        <v>22.0</v>
      </c>
      <c r="BC124" s="405">
        <v>23.0</v>
      </c>
      <c r="BD124" s="405">
        <v>24.0</v>
      </c>
      <c r="BE124" s="405">
        <v>25.0</v>
      </c>
      <c r="BF124" s="405">
        <v>26.0</v>
      </c>
      <c r="BG124" s="405">
        <v>27.0</v>
      </c>
      <c r="BH124" s="405">
        <v>28.0</v>
      </c>
      <c r="BJ124" s="24"/>
      <c r="BK124" s="24"/>
      <c r="BL124" s="404"/>
      <c r="BM124" s="405">
        <v>1.0</v>
      </c>
      <c r="BN124" s="405">
        <v>2.0</v>
      </c>
      <c r="BO124" s="405">
        <v>3.0</v>
      </c>
      <c r="BP124" s="405">
        <v>4.0</v>
      </c>
      <c r="BQ124" s="405">
        <v>5.0</v>
      </c>
      <c r="BR124" s="405">
        <v>6.0</v>
      </c>
      <c r="BS124" s="405">
        <v>7.0</v>
      </c>
      <c r="BT124" s="405">
        <v>8.0</v>
      </c>
      <c r="BU124" s="405">
        <v>9.0</v>
      </c>
      <c r="BV124" s="405">
        <v>10.0</v>
      </c>
      <c r="BW124" s="405">
        <v>11.0</v>
      </c>
      <c r="BX124" s="405">
        <v>12.0</v>
      </c>
      <c r="BY124" s="405">
        <v>13.0</v>
      </c>
      <c r="BZ124" s="405">
        <v>14.0</v>
      </c>
      <c r="CA124" s="405">
        <v>15.0</v>
      </c>
      <c r="CB124" s="405">
        <v>16.0</v>
      </c>
      <c r="CC124" s="405">
        <v>17.0</v>
      </c>
      <c r="CD124" s="405">
        <v>18.0</v>
      </c>
      <c r="CE124" s="405">
        <v>19.0</v>
      </c>
      <c r="CF124" s="405">
        <v>20.0</v>
      </c>
      <c r="CG124" s="405">
        <v>21.0</v>
      </c>
      <c r="CH124" s="405">
        <v>22.0</v>
      </c>
      <c r="CI124" s="405">
        <v>23.0</v>
      </c>
      <c r="CJ124" s="405">
        <v>24.0</v>
      </c>
      <c r="CK124" s="405">
        <v>25.0</v>
      </c>
      <c r="CL124" s="405">
        <v>26.0</v>
      </c>
      <c r="CM124" s="405">
        <v>27.0</v>
      </c>
      <c r="CN124" s="405">
        <v>28.0</v>
      </c>
      <c r="CO124" s="34"/>
      <c r="CP124" s="34"/>
      <c r="CQ124" s="34"/>
      <c r="CR124" s="404"/>
      <c r="CS124" s="405">
        <v>1.0</v>
      </c>
      <c r="CT124" s="405">
        <v>2.0</v>
      </c>
      <c r="CU124" s="405">
        <v>3.0</v>
      </c>
      <c r="CV124" s="405">
        <v>4.0</v>
      </c>
      <c r="CW124" s="405">
        <v>5.0</v>
      </c>
      <c r="CX124" s="405">
        <v>6.0</v>
      </c>
      <c r="CY124" s="405">
        <v>7.0</v>
      </c>
      <c r="CZ124" s="405">
        <v>8.0</v>
      </c>
      <c r="DA124" s="405">
        <v>9.0</v>
      </c>
      <c r="DB124" s="405">
        <v>10.0</v>
      </c>
      <c r="DC124" s="405">
        <v>11.0</v>
      </c>
      <c r="DD124" s="405">
        <v>12.0</v>
      </c>
      <c r="DE124" s="405">
        <v>13.0</v>
      </c>
      <c r="DF124" s="405">
        <v>14.0</v>
      </c>
      <c r="DG124" s="405">
        <v>15.0</v>
      </c>
      <c r="DH124" s="405">
        <v>16.0</v>
      </c>
      <c r="DI124" s="405">
        <v>17.0</v>
      </c>
      <c r="DJ124" s="405">
        <v>18.0</v>
      </c>
      <c r="DK124" s="405">
        <v>19.0</v>
      </c>
      <c r="DL124" s="405">
        <v>20.0</v>
      </c>
      <c r="DM124" s="405">
        <v>21.0</v>
      </c>
      <c r="DN124" s="405">
        <v>22.0</v>
      </c>
      <c r="DO124" s="405">
        <v>23.0</v>
      </c>
      <c r="DP124" s="405">
        <v>24.0</v>
      </c>
      <c r="DQ124" s="405">
        <v>25.0</v>
      </c>
      <c r="DR124" s="405">
        <v>26.0</v>
      </c>
      <c r="DS124" s="405">
        <v>27.0</v>
      </c>
      <c r="DT124" s="405">
        <v>28.0</v>
      </c>
      <c r="DU124" s="406"/>
    </row>
    <row r="125">
      <c r="B125" s="405">
        <v>1.0</v>
      </c>
      <c r="C125" s="407">
        <f>1/$AV61</f>
        <v>0.0002450779356</v>
      </c>
      <c r="D125" s="407">
        <v>0.0</v>
      </c>
      <c r="E125" s="407">
        <v>0.0</v>
      </c>
      <c r="F125" s="407">
        <v>0.0</v>
      </c>
      <c r="G125" s="407">
        <v>0.0</v>
      </c>
      <c r="H125" s="407">
        <v>0.0</v>
      </c>
      <c r="I125" s="407">
        <v>0.0</v>
      </c>
      <c r="J125" s="407">
        <v>0.0</v>
      </c>
      <c r="K125" s="407">
        <v>0.0</v>
      </c>
      <c r="L125" s="407">
        <v>0.0</v>
      </c>
      <c r="M125" s="407">
        <v>0.0</v>
      </c>
      <c r="N125" s="407">
        <v>0.0</v>
      </c>
      <c r="O125" s="407">
        <v>0.0</v>
      </c>
      <c r="P125" s="407">
        <v>0.0</v>
      </c>
      <c r="Q125" s="407">
        <v>0.0</v>
      </c>
      <c r="R125" s="407">
        <v>0.0</v>
      </c>
      <c r="S125" s="407">
        <v>0.0</v>
      </c>
      <c r="T125" s="407">
        <v>0.0</v>
      </c>
      <c r="U125" s="407">
        <v>0.0</v>
      </c>
      <c r="V125" s="407">
        <v>0.0</v>
      </c>
      <c r="W125" s="407">
        <v>0.0</v>
      </c>
      <c r="X125" s="407">
        <v>0.0</v>
      </c>
      <c r="Y125" s="407">
        <v>0.0</v>
      </c>
      <c r="Z125" s="407">
        <v>0.0</v>
      </c>
      <c r="AA125" s="407">
        <v>0.0</v>
      </c>
      <c r="AB125" s="407">
        <v>0.0</v>
      </c>
      <c r="AC125" s="407">
        <v>0.0</v>
      </c>
      <c r="AD125" s="407">
        <v>0.0</v>
      </c>
      <c r="AF125" s="405">
        <v>1.0</v>
      </c>
      <c r="AG125" s="408">
        <f>C$98</f>
        <v>411719.8992</v>
      </c>
      <c r="AH125" s="408">
        <v>0.0</v>
      </c>
      <c r="AI125" s="408">
        <v>0.0</v>
      </c>
      <c r="AJ125" s="408">
        <v>0.0</v>
      </c>
      <c r="AK125" s="408">
        <v>0.0</v>
      </c>
      <c r="AL125" s="408">
        <v>0.0</v>
      </c>
      <c r="AM125" s="408">
        <v>0.0</v>
      </c>
      <c r="AN125" s="408">
        <v>0.0</v>
      </c>
      <c r="AO125" s="408">
        <v>0.0</v>
      </c>
      <c r="AP125" s="408">
        <v>0.0</v>
      </c>
      <c r="AQ125" s="408">
        <v>0.0</v>
      </c>
      <c r="AR125" s="408">
        <v>0.0</v>
      </c>
      <c r="AS125" s="408">
        <v>0.0</v>
      </c>
      <c r="AT125" s="408">
        <v>0.0</v>
      </c>
      <c r="AU125" s="408">
        <v>0.0</v>
      </c>
      <c r="AV125" s="408">
        <v>0.0</v>
      </c>
      <c r="AW125" s="408">
        <v>0.0</v>
      </c>
      <c r="AX125" s="408">
        <v>0.0</v>
      </c>
      <c r="AY125" s="408">
        <v>0.0</v>
      </c>
      <c r="AZ125" s="408">
        <v>0.0</v>
      </c>
      <c r="BA125" s="408">
        <v>0.0</v>
      </c>
      <c r="BB125" s="408">
        <v>0.0</v>
      </c>
      <c r="BC125" s="408">
        <v>0.0</v>
      </c>
      <c r="BD125" s="408">
        <v>0.0</v>
      </c>
      <c r="BE125" s="408">
        <v>0.0</v>
      </c>
      <c r="BF125" s="408">
        <v>0.0</v>
      </c>
      <c r="BG125" s="408">
        <v>0.0</v>
      </c>
      <c r="BH125" s="408">
        <v>0.0</v>
      </c>
      <c r="BJ125" s="24"/>
      <c r="BK125" s="24"/>
      <c r="BL125" s="405">
        <v>1.0</v>
      </c>
      <c r="BM125" s="408">
        <f>C$101</f>
        <v>2.421279035</v>
      </c>
      <c r="BN125" s="408">
        <v>0.0</v>
      </c>
      <c r="BO125" s="408">
        <v>0.0</v>
      </c>
      <c r="BP125" s="408">
        <v>0.0</v>
      </c>
      <c r="BQ125" s="408">
        <v>0.0</v>
      </c>
      <c r="BR125" s="408">
        <v>0.0</v>
      </c>
      <c r="BS125" s="408">
        <v>0.0</v>
      </c>
      <c r="BT125" s="408">
        <v>0.0</v>
      </c>
      <c r="BU125" s="408">
        <v>0.0</v>
      </c>
      <c r="BV125" s="408">
        <v>0.0</v>
      </c>
      <c r="BW125" s="408">
        <v>0.0</v>
      </c>
      <c r="BX125" s="408">
        <v>0.0</v>
      </c>
      <c r="BY125" s="408">
        <v>0.0</v>
      </c>
      <c r="BZ125" s="408">
        <v>0.0</v>
      </c>
      <c r="CA125" s="408">
        <v>0.0</v>
      </c>
      <c r="CB125" s="408">
        <v>0.0</v>
      </c>
      <c r="CC125" s="408">
        <v>0.0</v>
      </c>
      <c r="CD125" s="408">
        <v>0.0</v>
      </c>
      <c r="CE125" s="408">
        <v>0.0</v>
      </c>
      <c r="CF125" s="408">
        <v>0.0</v>
      </c>
      <c r="CG125" s="408">
        <v>0.0</v>
      </c>
      <c r="CH125" s="408">
        <v>0.0</v>
      </c>
      <c r="CI125" s="408">
        <v>0.0</v>
      </c>
      <c r="CJ125" s="408">
        <v>0.0</v>
      </c>
      <c r="CK125" s="408">
        <v>0.0</v>
      </c>
      <c r="CL125" s="408">
        <v>0.0</v>
      </c>
      <c r="CM125" s="408">
        <v>0.0</v>
      </c>
      <c r="CN125" s="408">
        <v>0.0</v>
      </c>
      <c r="CO125" s="34"/>
      <c r="CP125" s="34"/>
      <c r="CQ125" s="34"/>
      <c r="CR125" s="405">
        <v>1.0</v>
      </c>
      <c r="CS125" s="408">
        <f>C$102</f>
        <v>0</v>
      </c>
      <c r="CT125" s="408">
        <v>0.0</v>
      </c>
      <c r="CU125" s="408">
        <v>0.0</v>
      </c>
      <c r="CV125" s="408">
        <v>0.0</v>
      </c>
      <c r="CW125" s="408">
        <v>0.0</v>
      </c>
      <c r="CX125" s="408">
        <v>0.0</v>
      </c>
      <c r="CY125" s="408">
        <v>0.0</v>
      </c>
      <c r="CZ125" s="408">
        <v>0.0</v>
      </c>
      <c r="DA125" s="408">
        <v>0.0</v>
      </c>
      <c r="DB125" s="408">
        <v>0.0</v>
      </c>
      <c r="DC125" s="408">
        <v>0.0</v>
      </c>
      <c r="DD125" s="408">
        <v>0.0</v>
      </c>
      <c r="DE125" s="408">
        <v>0.0</v>
      </c>
      <c r="DF125" s="408">
        <v>0.0</v>
      </c>
      <c r="DG125" s="408">
        <v>0.0</v>
      </c>
      <c r="DH125" s="408">
        <v>0.0</v>
      </c>
      <c r="DI125" s="408">
        <v>0.0</v>
      </c>
      <c r="DJ125" s="408">
        <v>0.0</v>
      </c>
      <c r="DK125" s="408">
        <v>0.0</v>
      </c>
      <c r="DL125" s="408">
        <v>0.0</v>
      </c>
      <c r="DM125" s="408">
        <v>0.0</v>
      </c>
      <c r="DN125" s="408">
        <v>0.0</v>
      </c>
      <c r="DO125" s="408">
        <v>0.0</v>
      </c>
      <c r="DP125" s="408">
        <v>0.0</v>
      </c>
      <c r="DQ125" s="408">
        <v>0.0</v>
      </c>
      <c r="DR125" s="408">
        <v>0.0</v>
      </c>
      <c r="DS125" s="408">
        <v>0.0</v>
      </c>
      <c r="DT125" s="408">
        <v>0.0</v>
      </c>
      <c r="DU125" s="409"/>
    </row>
    <row r="126">
      <c r="B126" s="405">
        <v>2.0</v>
      </c>
      <c r="C126" s="407">
        <v>0.0</v>
      </c>
      <c r="D126" s="407">
        <f>1/$AV62</f>
        <v>0.0001737838788</v>
      </c>
      <c r="E126" s="407">
        <v>0.0</v>
      </c>
      <c r="F126" s="407">
        <v>0.0</v>
      </c>
      <c r="G126" s="407">
        <v>0.0</v>
      </c>
      <c r="H126" s="407">
        <v>0.0</v>
      </c>
      <c r="I126" s="407">
        <v>0.0</v>
      </c>
      <c r="J126" s="407">
        <v>0.0</v>
      </c>
      <c r="K126" s="407">
        <v>0.0</v>
      </c>
      <c r="L126" s="407">
        <v>0.0</v>
      </c>
      <c r="M126" s="407">
        <v>0.0</v>
      </c>
      <c r="N126" s="407">
        <v>0.0</v>
      </c>
      <c r="O126" s="407">
        <v>0.0</v>
      </c>
      <c r="P126" s="407">
        <v>0.0</v>
      </c>
      <c r="Q126" s="407">
        <v>0.0</v>
      </c>
      <c r="R126" s="407">
        <v>0.0</v>
      </c>
      <c r="S126" s="407">
        <v>0.0</v>
      </c>
      <c r="T126" s="407">
        <v>0.0</v>
      </c>
      <c r="U126" s="407">
        <v>0.0</v>
      </c>
      <c r="V126" s="407">
        <v>0.0</v>
      </c>
      <c r="W126" s="407">
        <v>0.0</v>
      </c>
      <c r="X126" s="407">
        <v>0.0</v>
      </c>
      <c r="Y126" s="407">
        <v>0.0</v>
      </c>
      <c r="Z126" s="407">
        <v>0.0</v>
      </c>
      <c r="AA126" s="407">
        <v>0.0</v>
      </c>
      <c r="AB126" s="407">
        <v>0.0</v>
      </c>
      <c r="AC126" s="407">
        <v>0.0</v>
      </c>
      <c r="AD126" s="407">
        <v>0.0</v>
      </c>
      <c r="AF126" s="405">
        <v>2.0</v>
      </c>
      <c r="AG126" s="408">
        <v>0.0</v>
      </c>
      <c r="AH126" s="408">
        <f>D$98</f>
        <v>65232.51944</v>
      </c>
      <c r="AI126" s="408">
        <v>0.0</v>
      </c>
      <c r="AJ126" s="408">
        <v>0.0</v>
      </c>
      <c r="AK126" s="408">
        <v>0.0</v>
      </c>
      <c r="AL126" s="408">
        <v>0.0</v>
      </c>
      <c r="AM126" s="408">
        <v>0.0</v>
      </c>
      <c r="AN126" s="408">
        <v>0.0</v>
      </c>
      <c r="AO126" s="408">
        <v>0.0</v>
      </c>
      <c r="AP126" s="408">
        <v>0.0</v>
      </c>
      <c r="AQ126" s="408">
        <v>0.0</v>
      </c>
      <c r="AR126" s="408">
        <v>0.0</v>
      </c>
      <c r="AS126" s="408">
        <v>0.0</v>
      </c>
      <c r="AT126" s="408">
        <v>0.0</v>
      </c>
      <c r="AU126" s="408">
        <v>0.0</v>
      </c>
      <c r="AV126" s="408">
        <v>0.0</v>
      </c>
      <c r="AW126" s="408">
        <v>0.0</v>
      </c>
      <c r="AX126" s="408">
        <v>0.0</v>
      </c>
      <c r="AY126" s="408">
        <v>0.0</v>
      </c>
      <c r="AZ126" s="408">
        <v>0.0</v>
      </c>
      <c r="BA126" s="408">
        <v>0.0</v>
      </c>
      <c r="BB126" s="408">
        <v>0.0</v>
      </c>
      <c r="BC126" s="408">
        <v>0.0</v>
      </c>
      <c r="BD126" s="408">
        <v>0.0</v>
      </c>
      <c r="BE126" s="408">
        <v>0.0</v>
      </c>
      <c r="BF126" s="408">
        <v>0.0</v>
      </c>
      <c r="BG126" s="408">
        <v>0.0</v>
      </c>
      <c r="BH126" s="408">
        <v>0.0</v>
      </c>
      <c r="BJ126" s="24"/>
      <c r="BK126" s="24"/>
      <c r="BL126" s="405">
        <v>2.0</v>
      </c>
      <c r="BM126" s="408">
        <v>0.0</v>
      </c>
      <c r="BN126" s="408">
        <f>D$101</f>
        <v>0</v>
      </c>
      <c r="BO126" s="408">
        <v>0.0</v>
      </c>
      <c r="BP126" s="408">
        <v>0.0</v>
      </c>
      <c r="BQ126" s="408">
        <v>0.0</v>
      </c>
      <c r="BR126" s="408">
        <v>0.0</v>
      </c>
      <c r="BS126" s="408">
        <v>0.0</v>
      </c>
      <c r="BT126" s="408">
        <v>0.0</v>
      </c>
      <c r="BU126" s="408">
        <v>0.0</v>
      </c>
      <c r="BV126" s="408">
        <v>0.0</v>
      </c>
      <c r="BW126" s="408">
        <v>0.0</v>
      </c>
      <c r="BX126" s="408">
        <v>0.0</v>
      </c>
      <c r="BY126" s="408">
        <v>0.0</v>
      </c>
      <c r="BZ126" s="408">
        <v>0.0</v>
      </c>
      <c r="CA126" s="408">
        <v>0.0</v>
      </c>
      <c r="CB126" s="408">
        <v>0.0</v>
      </c>
      <c r="CC126" s="408">
        <v>0.0</v>
      </c>
      <c r="CD126" s="408">
        <v>0.0</v>
      </c>
      <c r="CE126" s="408">
        <v>0.0</v>
      </c>
      <c r="CF126" s="408">
        <v>0.0</v>
      </c>
      <c r="CG126" s="408">
        <v>0.0</v>
      </c>
      <c r="CH126" s="408">
        <v>0.0</v>
      </c>
      <c r="CI126" s="408">
        <v>0.0</v>
      </c>
      <c r="CJ126" s="408">
        <v>0.0</v>
      </c>
      <c r="CK126" s="408">
        <v>0.0</v>
      </c>
      <c r="CL126" s="408">
        <v>0.0</v>
      </c>
      <c r="CM126" s="408">
        <v>0.0</v>
      </c>
      <c r="CN126" s="408">
        <v>0.0</v>
      </c>
      <c r="CO126" s="34"/>
      <c r="CP126" s="34"/>
      <c r="CQ126" s="34"/>
      <c r="CR126" s="405">
        <v>2.0</v>
      </c>
      <c r="CS126" s="408">
        <v>0.0</v>
      </c>
      <c r="CT126" s="408">
        <f>D$102</f>
        <v>0</v>
      </c>
      <c r="CU126" s="408">
        <v>0.0</v>
      </c>
      <c r="CV126" s="408">
        <v>0.0</v>
      </c>
      <c r="CW126" s="408">
        <v>0.0</v>
      </c>
      <c r="CX126" s="408">
        <v>0.0</v>
      </c>
      <c r="CY126" s="408">
        <v>0.0</v>
      </c>
      <c r="CZ126" s="408">
        <v>0.0</v>
      </c>
      <c r="DA126" s="408">
        <v>0.0</v>
      </c>
      <c r="DB126" s="408">
        <v>0.0</v>
      </c>
      <c r="DC126" s="408">
        <v>0.0</v>
      </c>
      <c r="DD126" s="408">
        <v>0.0</v>
      </c>
      <c r="DE126" s="408">
        <v>0.0</v>
      </c>
      <c r="DF126" s="408">
        <v>0.0</v>
      </c>
      <c r="DG126" s="408">
        <v>0.0</v>
      </c>
      <c r="DH126" s="408">
        <v>0.0</v>
      </c>
      <c r="DI126" s="408">
        <v>0.0</v>
      </c>
      <c r="DJ126" s="408">
        <v>0.0</v>
      </c>
      <c r="DK126" s="408">
        <v>0.0</v>
      </c>
      <c r="DL126" s="408">
        <v>0.0</v>
      </c>
      <c r="DM126" s="408">
        <v>0.0</v>
      </c>
      <c r="DN126" s="408">
        <v>0.0</v>
      </c>
      <c r="DO126" s="408">
        <v>0.0</v>
      </c>
      <c r="DP126" s="408">
        <v>0.0</v>
      </c>
      <c r="DQ126" s="408">
        <v>0.0</v>
      </c>
      <c r="DR126" s="408">
        <v>0.0</v>
      </c>
      <c r="DS126" s="408">
        <v>0.0</v>
      </c>
      <c r="DT126" s="408">
        <v>0.0</v>
      </c>
      <c r="DU126" s="409"/>
    </row>
    <row r="127">
      <c r="B127" s="405">
        <v>3.0</v>
      </c>
      <c r="C127" s="407">
        <v>0.0</v>
      </c>
      <c r="D127" s="407">
        <v>0.0</v>
      </c>
      <c r="E127" s="407">
        <f>1/$AV63</f>
        <v>0.0002417711324</v>
      </c>
      <c r="F127" s="407">
        <v>0.0</v>
      </c>
      <c r="G127" s="407">
        <v>0.0</v>
      </c>
      <c r="H127" s="407">
        <v>0.0</v>
      </c>
      <c r="I127" s="407">
        <v>0.0</v>
      </c>
      <c r="J127" s="407">
        <v>0.0</v>
      </c>
      <c r="K127" s="407">
        <v>0.0</v>
      </c>
      <c r="L127" s="407">
        <v>0.0</v>
      </c>
      <c r="M127" s="407">
        <v>0.0</v>
      </c>
      <c r="N127" s="407">
        <v>0.0</v>
      </c>
      <c r="O127" s="407">
        <v>0.0</v>
      </c>
      <c r="P127" s="407">
        <v>0.0</v>
      </c>
      <c r="Q127" s="407">
        <v>0.0</v>
      </c>
      <c r="R127" s="407">
        <v>0.0</v>
      </c>
      <c r="S127" s="407">
        <v>0.0</v>
      </c>
      <c r="T127" s="407">
        <v>0.0</v>
      </c>
      <c r="U127" s="407">
        <v>0.0</v>
      </c>
      <c r="V127" s="407">
        <v>0.0</v>
      </c>
      <c r="W127" s="407">
        <v>0.0</v>
      </c>
      <c r="X127" s="407">
        <v>0.0</v>
      </c>
      <c r="Y127" s="407">
        <v>0.0</v>
      </c>
      <c r="Z127" s="407">
        <v>0.0</v>
      </c>
      <c r="AA127" s="407">
        <v>0.0</v>
      </c>
      <c r="AB127" s="407">
        <v>0.0</v>
      </c>
      <c r="AC127" s="407">
        <v>0.0</v>
      </c>
      <c r="AD127" s="407">
        <v>0.0</v>
      </c>
      <c r="AF127" s="405">
        <v>3.0</v>
      </c>
      <c r="AG127" s="408">
        <v>0.0</v>
      </c>
      <c r="AH127" s="408">
        <v>0.0</v>
      </c>
      <c r="AI127" s="408">
        <f>E$98</f>
        <v>1408995.646</v>
      </c>
      <c r="AJ127" s="408">
        <v>0.0</v>
      </c>
      <c r="AK127" s="408">
        <v>0.0</v>
      </c>
      <c r="AL127" s="408">
        <v>0.0</v>
      </c>
      <c r="AM127" s="408">
        <v>0.0</v>
      </c>
      <c r="AN127" s="408">
        <v>0.0</v>
      </c>
      <c r="AO127" s="408">
        <v>0.0</v>
      </c>
      <c r="AP127" s="408">
        <v>0.0</v>
      </c>
      <c r="AQ127" s="408">
        <v>0.0</v>
      </c>
      <c r="AR127" s="408">
        <v>0.0</v>
      </c>
      <c r="AS127" s="408">
        <v>0.0</v>
      </c>
      <c r="AT127" s="408">
        <v>0.0</v>
      </c>
      <c r="AU127" s="408">
        <v>0.0</v>
      </c>
      <c r="AV127" s="408">
        <v>0.0</v>
      </c>
      <c r="AW127" s="408">
        <v>0.0</v>
      </c>
      <c r="AX127" s="408">
        <v>0.0</v>
      </c>
      <c r="AY127" s="408">
        <v>0.0</v>
      </c>
      <c r="AZ127" s="408">
        <v>0.0</v>
      </c>
      <c r="BA127" s="408">
        <v>0.0</v>
      </c>
      <c r="BB127" s="408">
        <v>0.0</v>
      </c>
      <c r="BC127" s="408">
        <v>0.0</v>
      </c>
      <c r="BD127" s="408">
        <v>0.0</v>
      </c>
      <c r="BE127" s="408">
        <v>0.0</v>
      </c>
      <c r="BF127" s="408">
        <v>0.0</v>
      </c>
      <c r="BG127" s="408">
        <v>0.0</v>
      </c>
      <c r="BH127" s="408">
        <v>0.0</v>
      </c>
      <c r="BJ127" s="24"/>
      <c r="BK127" s="24"/>
      <c r="BL127" s="405">
        <v>3.0</v>
      </c>
      <c r="BM127" s="408">
        <v>0.0</v>
      </c>
      <c r="BN127" s="408">
        <v>0.0</v>
      </c>
      <c r="BO127" s="408">
        <f>E$101</f>
        <v>0</v>
      </c>
      <c r="BP127" s="408">
        <v>0.0</v>
      </c>
      <c r="BQ127" s="408">
        <v>0.0</v>
      </c>
      <c r="BR127" s="408">
        <v>0.0</v>
      </c>
      <c r="BS127" s="408">
        <v>0.0</v>
      </c>
      <c r="BT127" s="408">
        <v>0.0</v>
      </c>
      <c r="BU127" s="408">
        <v>0.0</v>
      </c>
      <c r="BV127" s="408">
        <v>0.0</v>
      </c>
      <c r="BW127" s="408">
        <v>0.0</v>
      </c>
      <c r="BX127" s="408">
        <v>0.0</v>
      </c>
      <c r="BY127" s="408">
        <v>0.0</v>
      </c>
      <c r="BZ127" s="408">
        <v>0.0</v>
      </c>
      <c r="CA127" s="408">
        <v>0.0</v>
      </c>
      <c r="CB127" s="408">
        <v>0.0</v>
      </c>
      <c r="CC127" s="408">
        <v>0.0</v>
      </c>
      <c r="CD127" s="408">
        <v>0.0</v>
      </c>
      <c r="CE127" s="408">
        <v>0.0</v>
      </c>
      <c r="CF127" s="408">
        <v>0.0</v>
      </c>
      <c r="CG127" s="408">
        <v>0.0</v>
      </c>
      <c r="CH127" s="408">
        <v>0.0</v>
      </c>
      <c r="CI127" s="408">
        <v>0.0</v>
      </c>
      <c r="CJ127" s="408">
        <v>0.0</v>
      </c>
      <c r="CK127" s="408">
        <v>0.0</v>
      </c>
      <c r="CL127" s="408">
        <v>0.0</v>
      </c>
      <c r="CM127" s="408">
        <v>0.0</v>
      </c>
      <c r="CN127" s="408">
        <v>0.0</v>
      </c>
      <c r="CO127" s="34"/>
      <c r="CP127" s="34"/>
      <c r="CQ127" s="34"/>
      <c r="CR127" s="405">
        <v>3.0</v>
      </c>
      <c r="CS127" s="408">
        <v>0.0</v>
      </c>
      <c r="CT127" s="408">
        <v>0.0</v>
      </c>
      <c r="CU127" s="408">
        <f>E$102</f>
        <v>3.701035907</v>
      </c>
      <c r="CV127" s="408">
        <v>0.0</v>
      </c>
      <c r="CW127" s="408">
        <v>0.0</v>
      </c>
      <c r="CX127" s="408">
        <v>0.0</v>
      </c>
      <c r="CY127" s="408">
        <v>0.0</v>
      </c>
      <c r="CZ127" s="408">
        <v>0.0</v>
      </c>
      <c r="DA127" s="408">
        <v>0.0</v>
      </c>
      <c r="DB127" s="408">
        <v>0.0</v>
      </c>
      <c r="DC127" s="408">
        <v>0.0</v>
      </c>
      <c r="DD127" s="408">
        <v>0.0</v>
      </c>
      <c r="DE127" s="408">
        <v>0.0</v>
      </c>
      <c r="DF127" s="408">
        <v>0.0</v>
      </c>
      <c r="DG127" s="408">
        <v>0.0</v>
      </c>
      <c r="DH127" s="408">
        <v>0.0</v>
      </c>
      <c r="DI127" s="408">
        <v>0.0</v>
      </c>
      <c r="DJ127" s="408">
        <v>0.0</v>
      </c>
      <c r="DK127" s="408">
        <v>0.0</v>
      </c>
      <c r="DL127" s="408">
        <v>0.0</v>
      </c>
      <c r="DM127" s="408">
        <v>0.0</v>
      </c>
      <c r="DN127" s="408">
        <v>0.0</v>
      </c>
      <c r="DO127" s="408">
        <v>0.0</v>
      </c>
      <c r="DP127" s="408">
        <v>0.0</v>
      </c>
      <c r="DQ127" s="408">
        <v>0.0</v>
      </c>
      <c r="DR127" s="408">
        <v>0.0</v>
      </c>
      <c r="DS127" s="408">
        <v>0.0</v>
      </c>
      <c r="DT127" s="408">
        <v>0.0</v>
      </c>
      <c r="DU127" s="409"/>
    </row>
    <row r="128">
      <c r="B128" s="405">
        <v>4.0</v>
      </c>
      <c r="C128" s="407">
        <v>0.0</v>
      </c>
      <c r="D128" s="407">
        <v>0.0</v>
      </c>
      <c r="E128" s="407">
        <v>0.0</v>
      </c>
      <c r="F128" s="407">
        <f>1/$AV64</f>
        <v>0.0001270073445</v>
      </c>
      <c r="G128" s="407">
        <v>0.0</v>
      </c>
      <c r="H128" s="407">
        <v>0.0</v>
      </c>
      <c r="I128" s="407">
        <v>0.0</v>
      </c>
      <c r="J128" s="407">
        <v>0.0</v>
      </c>
      <c r="K128" s="407">
        <v>0.0</v>
      </c>
      <c r="L128" s="407">
        <v>0.0</v>
      </c>
      <c r="M128" s="407">
        <v>0.0</v>
      </c>
      <c r="N128" s="407">
        <v>0.0</v>
      </c>
      <c r="O128" s="407">
        <v>0.0</v>
      </c>
      <c r="P128" s="407">
        <v>0.0</v>
      </c>
      <c r="Q128" s="407">
        <v>0.0</v>
      </c>
      <c r="R128" s="407">
        <v>0.0</v>
      </c>
      <c r="S128" s="407">
        <v>0.0</v>
      </c>
      <c r="T128" s="407">
        <v>0.0</v>
      </c>
      <c r="U128" s="407">
        <v>0.0</v>
      </c>
      <c r="V128" s="407">
        <v>0.0</v>
      </c>
      <c r="W128" s="407">
        <v>0.0</v>
      </c>
      <c r="X128" s="407">
        <v>0.0</v>
      </c>
      <c r="Y128" s="407">
        <v>0.0</v>
      </c>
      <c r="Z128" s="407">
        <v>0.0</v>
      </c>
      <c r="AA128" s="407">
        <v>0.0</v>
      </c>
      <c r="AB128" s="407">
        <v>0.0</v>
      </c>
      <c r="AC128" s="407">
        <v>0.0</v>
      </c>
      <c r="AD128" s="407">
        <v>0.0</v>
      </c>
      <c r="AF128" s="405">
        <v>4.0</v>
      </c>
      <c r="AG128" s="408">
        <v>0.0</v>
      </c>
      <c r="AH128" s="408">
        <v>0.0</v>
      </c>
      <c r="AI128" s="408">
        <v>0.0</v>
      </c>
      <c r="AJ128" s="408">
        <f>F$98</f>
        <v>57922.88528</v>
      </c>
      <c r="AK128" s="408">
        <v>0.0</v>
      </c>
      <c r="AL128" s="408">
        <v>0.0</v>
      </c>
      <c r="AM128" s="408">
        <v>0.0</v>
      </c>
      <c r="AN128" s="408">
        <v>0.0</v>
      </c>
      <c r="AO128" s="408">
        <v>0.0</v>
      </c>
      <c r="AP128" s="408">
        <v>0.0</v>
      </c>
      <c r="AQ128" s="408">
        <v>0.0</v>
      </c>
      <c r="AR128" s="408">
        <v>0.0</v>
      </c>
      <c r="AS128" s="408">
        <v>0.0</v>
      </c>
      <c r="AT128" s="408">
        <v>0.0</v>
      </c>
      <c r="AU128" s="408">
        <v>0.0</v>
      </c>
      <c r="AV128" s="408">
        <v>0.0</v>
      </c>
      <c r="AW128" s="408">
        <v>0.0</v>
      </c>
      <c r="AX128" s="408">
        <v>0.0</v>
      </c>
      <c r="AY128" s="408">
        <v>0.0</v>
      </c>
      <c r="AZ128" s="408">
        <v>0.0</v>
      </c>
      <c r="BA128" s="408">
        <v>0.0</v>
      </c>
      <c r="BB128" s="408">
        <v>0.0</v>
      </c>
      <c r="BC128" s="408">
        <v>0.0</v>
      </c>
      <c r="BD128" s="408">
        <v>0.0</v>
      </c>
      <c r="BE128" s="408">
        <v>0.0</v>
      </c>
      <c r="BF128" s="408">
        <v>0.0</v>
      </c>
      <c r="BG128" s="408">
        <v>0.0</v>
      </c>
      <c r="BH128" s="408">
        <v>0.0</v>
      </c>
      <c r="BJ128" s="24"/>
      <c r="BK128" s="24"/>
      <c r="BL128" s="405">
        <v>4.0</v>
      </c>
      <c r="BM128" s="408">
        <v>0.0</v>
      </c>
      <c r="BN128" s="408">
        <v>0.0</v>
      </c>
      <c r="BO128" s="408">
        <v>0.0</v>
      </c>
      <c r="BP128" s="408">
        <f>F$101</f>
        <v>0</v>
      </c>
      <c r="BQ128" s="408">
        <v>0.0</v>
      </c>
      <c r="BR128" s="408">
        <v>0.0</v>
      </c>
      <c r="BS128" s="408">
        <v>0.0</v>
      </c>
      <c r="BT128" s="408">
        <v>0.0</v>
      </c>
      <c r="BU128" s="408">
        <v>0.0</v>
      </c>
      <c r="BV128" s="408">
        <v>0.0</v>
      </c>
      <c r="BW128" s="408">
        <v>0.0</v>
      </c>
      <c r="BX128" s="408">
        <v>0.0</v>
      </c>
      <c r="BY128" s="408">
        <v>0.0</v>
      </c>
      <c r="BZ128" s="408">
        <v>0.0</v>
      </c>
      <c r="CA128" s="408">
        <v>0.0</v>
      </c>
      <c r="CB128" s="408">
        <v>0.0</v>
      </c>
      <c r="CC128" s="408">
        <v>0.0</v>
      </c>
      <c r="CD128" s="408">
        <v>0.0</v>
      </c>
      <c r="CE128" s="408">
        <v>0.0</v>
      </c>
      <c r="CF128" s="408">
        <v>0.0</v>
      </c>
      <c r="CG128" s="408">
        <v>0.0</v>
      </c>
      <c r="CH128" s="408">
        <v>0.0</v>
      </c>
      <c r="CI128" s="408">
        <v>0.0</v>
      </c>
      <c r="CJ128" s="408">
        <v>0.0</v>
      </c>
      <c r="CK128" s="408">
        <v>0.0</v>
      </c>
      <c r="CL128" s="408">
        <v>0.0</v>
      </c>
      <c r="CM128" s="408">
        <v>0.0</v>
      </c>
      <c r="CN128" s="408">
        <v>0.0</v>
      </c>
      <c r="CO128" s="34"/>
      <c r="CP128" s="34"/>
      <c r="CQ128" s="34"/>
      <c r="CR128" s="405">
        <v>4.0</v>
      </c>
      <c r="CS128" s="408">
        <v>0.0</v>
      </c>
      <c r="CT128" s="408">
        <v>0.0</v>
      </c>
      <c r="CU128" s="408">
        <v>0.0</v>
      </c>
      <c r="CV128" s="408">
        <f>F$102</f>
        <v>0</v>
      </c>
      <c r="CW128" s="408">
        <v>0.0</v>
      </c>
      <c r="CX128" s="408">
        <v>0.0</v>
      </c>
      <c r="CY128" s="408">
        <v>0.0</v>
      </c>
      <c r="CZ128" s="408">
        <v>0.0</v>
      </c>
      <c r="DA128" s="408">
        <v>0.0</v>
      </c>
      <c r="DB128" s="408">
        <v>0.0</v>
      </c>
      <c r="DC128" s="408">
        <v>0.0</v>
      </c>
      <c r="DD128" s="408">
        <v>0.0</v>
      </c>
      <c r="DE128" s="408">
        <v>0.0</v>
      </c>
      <c r="DF128" s="408">
        <v>0.0</v>
      </c>
      <c r="DG128" s="408">
        <v>0.0</v>
      </c>
      <c r="DH128" s="408">
        <v>0.0</v>
      </c>
      <c r="DI128" s="408">
        <v>0.0</v>
      </c>
      <c r="DJ128" s="408">
        <v>0.0</v>
      </c>
      <c r="DK128" s="408">
        <v>0.0</v>
      </c>
      <c r="DL128" s="408">
        <v>0.0</v>
      </c>
      <c r="DM128" s="408">
        <v>0.0</v>
      </c>
      <c r="DN128" s="408">
        <v>0.0</v>
      </c>
      <c r="DO128" s="408">
        <v>0.0</v>
      </c>
      <c r="DP128" s="408">
        <v>0.0</v>
      </c>
      <c r="DQ128" s="408">
        <v>0.0</v>
      </c>
      <c r="DR128" s="408">
        <v>0.0</v>
      </c>
      <c r="DS128" s="408">
        <v>0.0</v>
      </c>
      <c r="DT128" s="408">
        <v>0.0</v>
      </c>
      <c r="DU128" s="409"/>
    </row>
    <row r="129">
      <c r="B129" s="405">
        <v>5.0</v>
      </c>
      <c r="C129" s="407">
        <v>0.0</v>
      </c>
      <c r="D129" s="407">
        <v>0.0</v>
      </c>
      <c r="E129" s="407">
        <v>0.0</v>
      </c>
      <c r="F129" s="407">
        <v>0.0</v>
      </c>
      <c r="G129" s="407">
        <f>1/$AV65</f>
        <v>0.00005275095282</v>
      </c>
      <c r="H129" s="407">
        <v>0.0</v>
      </c>
      <c r="I129" s="407">
        <v>0.0</v>
      </c>
      <c r="J129" s="407">
        <v>0.0</v>
      </c>
      <c r="K129" s="407">
        <v>0.0</v>
      </c>
      <c r="L129" s="407">
        <v>0.0</v>
      </c>
      <c r="M129" s="407">
        <v>0.0</v>
      </c>
      <c r="N129" s="407">
        <v>0.0</v>
      </c>
      <c r="O129" s="407">
        <v>0.0</v>
      </c>
      <c r="P129" s="407">
        <v>0.0</v>
      </c>
      <c r="Q129" s="407">
        <v>0.0</v>
      </c>
      <c r="R129" s="407">
        <v>0.0</v>
      </c>
      <c r="S129" s="407">
        <v>0.0</v>
      </c>
      <c r="T129" s="407">
        <v>0.0</v>
      </c>
      <c r="U129" s="407">
        <v>0.0</v>
      </c>
      <c r="V129" s="407">
        <v>0.0</v>
      </c>
      <c r="W129" s="407">
        <v>0.0</v>
      </c>
      <c r="X129" s="407">
        <v>0.0</v>
      </c>
      <c r="Y129" s="407">
        <v>0.0</v>
      </c>
      <c r="Z129" s="407">
        <v>0.0</v>
      </c>
      <c r="AA129" s="407">
        <v>0.0</v>
      </c>
      <c r="AB129" s="407">
        <v>0.0</v>
      </c>
      <c r="AC129" s="407">
        <v>0.0</v>
      </c>
      <c r="AD129" s="407">
        <v>0.0</v>
      </c>
      <c r="AF129" s="405">
        <v>5.0</v>
      </c>
      <c r="AG129" s="408">
        <v>0.0</v>
      </c>
      <c r="AH129" s="408">
        <v>0.0</v>
      </c>
      <c r="AI129" s="408">
        <v>0.0</v>
      </c>
      <c r="AJ129" s="408">
        <v>0.0</v>
      </c>
      <c r="AK129" s="408">
        <f>G$98</f>
        <v>28643.88737</v>
      </c>
      <c r="AL129" s="408">
        <v>0.0</v>
      </c>
      <c r="AM129" s="408">
        <v>0.0</v>
      </c>
      <c r="AN129" s="408">
        <v>0.0</v>
      </c>
      <c r="AO129" s="408">
        <v>0.0</v>
      </c>
      <c r="AP129" s="408">
        <v>0.0</v>
      </c>
      <c r="AQ129" s="408">
        <v>0.0</v>
      </c>
      <c r="AR129" s="408">
        <v>0.0</v>
      </c>
      <c r="AS129" s="408">
        <v>0.0</v>
      </c>
      <c r="AT129" s="408">
        <v>0.0</v>
      </c>
      <c r="AU129" s="408">
        <v>0.0</v>
      </c>
      <c r="AV129" s="408">
        <v>0.0</v>
      </c>
      <c r="AW129" s="408">
        <v>0.0</v>
      </c>
      <c r="AX129" s="408">
        <v>0.0</v>
      </c>
      <c r="AY129" s="408">
        <v>0.0</v>
      </c>
      <c r="AZ129" s="408">
        <v>0.0</v>
      </c>
      <c r="BA129" s="408">
        <v>0.0</v>
      </c>
      <c r="BB129" s="408">
        <v>0.0</v>
      </c>
      <c r="BC129" s="408">
        <v>0.0</v>
      </c>
      <c r="BD129" s="408">
        <v>0.0</v>
      </c>
      <c r="BE129" s="408">
        <v>0.0</v>
      </c>
      <c r="BF129" s="408">
        <v>0.0</v>
      </c>
      <c r="BG129" s="408">
        <v>0.0</v>
      </c>
      <c r="BH129" s="408">
        <v>0.0</v>
      </c>
      <c r="BJ129" s="24"/>
      <c r="BK129" s="24"/>
      <c r="BL129" s="405">
        <v>5.0</v>
      </c>
      <c r="BM129" s="408">
        <v>0.0</v>
      </c>
      <c r="BN129" s="408">
        <v>0.0</v>
      </c>
      <c r="BO129" s="408">
        <v>0.0</v>
      </c>
      <c r="BP129" s="408">
        <v>0.0</v>
      </c>
      <c r="BQ129" s="408">
        <f>G$101</f>
        <v>0</v>
      </c>
      <c r="BR129" s="408">
        <v>0.0</v>
      </c>
      <c r="BS129" s="408">
        <v>0.0</v>
      </c>
      <c r="BT129" s="408">
        <v>0.0</v>
      </c>
      <c r="BU129" s="408">
        <v>0.0</v>
      </c>
      <c r="BV129" s="408">
        <v>0.0</v>
      </c>
      <c r="BW129" s="408">
        <v>0.0</v>
      </c>
      <c r="BX129" s="408">
        <v>0.0</v>
      </c>
      <c r="BY129" s="408">
        <v>0.0</v>
      </c>
      <c r="BZ129" s="408">
        <v>0.0</v>
      </c>
      <c r="CA129" s="408">
        <v>0.0</v>
      </c>
      <c r="CB129" s="408">
        <v>0.0</v>
      </c>
      <c r="CC129" s="408">
        <v>0.0</v>
      </c>
      <c r="CD129" s="408">
        <v>0.0</v>
      </c>
      <c r="CE129" s="408">
        <v>0.0</v>
      </c>
      <c r="CF129" s="408">
        <v>0.0</v>
      </c>
      <c r="CG129" s="408">
        <v>0.0</v>
      </c>
      <c r="CH129" s="408">
        <v>0.0</v>
      </c>
      <c r="CI129" s="408">
        <v>0.0</v>
      </c>
      <c r="CJ129" s="408">
        <v>0.0</v>
      </c>
      <c r="CK129" s="408">
        <v>0.0</v>
      </c>
      <c r="CL129" s="408">
        <v>0.0</v>
      </c>
      <c r="CM129" s="408">
        <v>0.0</v>
      </c>
      <c r="CN129" s="408">
        <v>0.0</v>
      </c>
      <c r="CO129" s="34"/>
      <c r="CP129" s="34"/>
      <c r="CQ129" s="34"/>
      <c r="CR129" s="405">
        <v>5.0</v>
      </c>
      <c r="CS129" s="408">
        <v>0.0</v>
      </c>
      <c r="CT129" s="408">
        <v>0.0</v>
      </c>
      <c r="CU129" s="408">
        <v>0.0</v>
      </c>
      <c r="CV129" s="408">
        <v>0.0</v>
      </c>
      <c r="CW129" s="408">
        <f>G$102</f>
        <v>0</v>
      </c>
      <c r="CX129" s="408">
        <v>0.0</v>
      </c>
      <c r="CY129" s="408">
        <v>0.0</v>
      </c>
      <c r="CZ129" s="408">
        <v>0.0</v>
      </c>
      <c r="DA129" s="408">
        <v>0.0</v>
      </c>
      <c r="DB129" s="408">
        <v>0.0</v>
      </c>
      <c r="DC129" s="408">
        <v>0.0</v>
      </c>
      <c r="DD129" s="408">
        <v>0.0</v>
      </c>
      <c r="DE129" s="408">
        <v>0.0</v>
      </c>
      <c r="DF129" s="408">
        <v>0.0</v>
      </c>
      <c r="DG129" s="408">
        <v>0.0</v>
      </c>
      <c r="DH129" s="408">
        <v>0.0</v>
      </c>
      <c r="DI129" s="408">
        <v>0.0</v>
      </c>
      <c r="DJ129" s="408">
        <v>0.0</v>
      </c>
      <c r="DK129" s="408">
        <v>0.0</v>
      </c>
      <c r="DL129" s="408">
        <v>0.0</v>
      </c>
      <c r="DM129" s="408">
        <v>0.0</v>
      </c>
      <c r="DN129" s="408">
        <v>0.0</v>
      </c>
      <c r="DO129" s="408">
        <v>0.0</v>
      </c>
      <c r="DP129" s="408">
        <v>0.0</v>
      </c>
      <c r="DQ129" s="408">
        <v>0.0</v>
      </c>
      <c r="DR129" s="408">
        <v>0.0</v>
      </c>
      <c r="DS129" s="408">
        <v>0.0</v>
      </c>
      <c r="DT129" s="408">
        <v>0.0</v>
      </c>
      <c r="DU129" s="409"/>
    </row>
    <row r="130">
      <c r="B130" s="405">
        <v>6.0</v>
      </c>
      <c r="C130" s="407">
        <v>0.0</v>
      </c>
      <c r="D130" s="407">
        <v>0.0</v>
      </c>
      <c r="E130" s="407">
        <v>0.0</v>
      </c>
      <c r="F130" s="407">
        <v>0.0</v>
      </c>
      <c r="G130" s="407">
        <v>0.0</v>
      </c>
      <c r="H130" s="407">
        <f>1/$AV66</f>
        <v>0.0004162839279</v>
      </c>
      <c r="I130" s="407">
        <v>0.0</v>
      </c>
      <c r="J130" s="407">
        <v>0.0</v>
      </c>
      <c r="K130" s="407">
        <v>0.0</v>
      </c>
      <c r="L130" s="407">
        <v>0.0</v>
      </c>
      <c r="M130" s="407">
        <v>0.0</v>
      </c>
      <c r="N130" s="407">
        <v>0.0</v>
      </c>
      <c r="O130" s="407">
        <v>0.0</v>
      </c>
      <c r="P130" s="407">
        <v>0.0</v>
      </c>
      <c r="Q130" s="407">
        <v>0.0</v>
      </c>
      <c r="R130" s="407">
        <v>0.0</v>
      </c>
      <c r="S130" s="407">
        <v>0.0</v>
      </c>
      <c r="T130" s="407">
        <v>0.0</v>
      </c>
      <c r="U130" s="407">
        <v>0.0</v>
      </c>
      <c r="V130" s="407">
        <v>0.0</v>
      </c>
      <c r="W130" s="407">
        <v>0.0</v>
      </c>
      <c r="X130" s="407">
        <v>0.0</v>
      </c>
      <c r="Y130" s="407">
        <v>0.0</v>
      </c>
      <c r="Z130" s="407">
        <v>0.0</v>
      </c>
      <c r="AA130" s="407">
        <v>0.0</v>
      </c>
      <c r="AB130" s="407">
        <v>0.0</v>
      </c>
      <c r="AC130" s="407">
        <v>0.0</v>
      </c>
      <c r="AD130" s="407">
        <v>0.0</v>
      </c>
      <c r="AF130" s="405">
        <v>6.0</v>
      </c>
      <c r="AG130" s="408">
        <v>0.0</v>
      </c>
      <c r="AH130" s="408">
        <v>0.0</v>
      </c>
      <c r="AI130" s="408">
        <v>0.0</v>
      </c>
      <c r="AJ130" s="408">
        <v>0.0</v>
      </c>
      <c r="AK130" s="408">
        <v>0.0</v>
      </c>
      <c r="AL130" s="408">
        <f>H$98</f>
        <v>581169.8771</v>
      </c>
      <c r="AM130" s="408">
        <v>0.0</v>
      </c>
      <c r="AN130" s="408">
        <v>0.0</v>
      </c>
      <c r="AO130" s="408">
        <v>0.0</v>
      </c>
      <c r="AP130" s="408">
        <v>0.0</v>
      </c>
      <c r="AQ130" s="408">
        <v>0.0</v>
      </c>
      <c r="AR130" s="408">
        <v>0.0</v>
      </c>
      <c r="AS130" s="408">
        <v>0.0</v>
      </c>
      <c r="AT130" s="408">
        <v>0.0</v>
      </c>
      <c r="AU130" s="408">
        <v>0.0</v>
      </c>
      <c r="AV130" s="408">
        <v>0.0</v>
      </c>
      <c r="AW130" s="408">
        <v>0.0</v>
      </c>
      <c r="AX130" s="408">
        <v>0.0</v>
      </c>
      <c r="AY130" s="408">
        <v>0.0</v>
      </c>
      <c r="AZ130" s="408">
        <v>0.0</v>
      </c>
      <c r="BA130" s="408">
        <v>0.0</v>
      </c>
      <c r="BB130" s="408">
        <v>0.0</v>
      </c>
      <c r="BC130" s="408">
        <v>0.0</v>
      </c>
      <c r="BD130" s="408">
        <v>0.0</v>
      </c>
      <c r="BE130" s="408">
        <v>0.0</v>
      </c>
      <c r="BF130" s="408">
        <v>0.0</v>
      </c>
      <c r="BG130" s="408">
        <v>0.0</v>
      </c>
      <c r="BH130" s="408">
        <v>0.0</v>
      </c>
      <c r="BJ130" s="24"/>
      <c r="BK130" s="24"/>
      <c r="BL130" s="405">
        <v>6.0</v>
      </c>
      <c r="BM130" s="408">
        <v>0.0</v>
      </c>
      <c r="BN130" s="408">
        <v>0.0</v>
      </c>
      <c r="BO130" s="408">
        <v>0.0</v>
      </c>
      <c r="BP130" s="408">
        <v>0.0</v>
      </c>
      <c r="BQ130" s="408">
        <v>0.0</v>
      </c>
      <c r="BR130" s="408">
        <f>H$101</f>
        <v>0</v>
      </c>
      <c r="BS130" s="408">
        <v>0.0</v>
      </c>
      <c r="BT130" s="408">
        <v>0.0</v>
      </c>
      <c r="BU130" s="408">
        <v>0.0</v>
      </c>
      <c r="BV130" s="408">
        <v>0.0</v>
      </c>
      <c r="BW130" s="408">
        <v>0.0</v>
      </c>
      <c r="BX130" s="408">
        <v>0.0</v>
      </c>
      <c r="BY130" s="408">
        <v>0.0</v>
      </c>
      <c r="BZ130" s="408">
        <v>0.0</v>
      </c>
      <c r="CA130" s="408">
        <v>0.0</v>
      </c>
      <c r="CB130" s="408">
        <v>0.0</v>
      </c>
      <c r="CC130" s="408">
        <v>0.0</v>
      </c>
      <c r="CD130" s="408">
        <v>0.0</v>
      </c>
      <c r="CE130" s="408">
        <v>0.0</v>
      </c>
      <c r="CF130" s="408">
        <v>0.0</v>
      </c>
      <c r="CG130" s="408">
        <v>0.0</v>
      </c>
      <c r="CH130" s="408">
        <v>0.0</v>
      </c>
      <c r="CI130" s="408">
        <v>0.0</v>
      </c>
      <c r="CJ130" s="408">
        <v>0.0</v>
      </c>
      <c r="CK130" s="408">
        <v>0.0</v>
      </c>
      <c r="CL130" s="408">
        <v>0.0</v>
      </c>
      <c r="CM130" s="408">
        <v>0.0</v>
      </c>
      <c r="CN130" s="408">
        <v>0.0</v>
      </c>
      <c r="CO130" s="34"/>
      <c r="CP130" s="34"/>
      <c r="CQ130" s="34"/>
      <c r="CR130" s="405">
        <v>6.0</v>
      </c>
      <c r="CS130" s="408">
        <v>0.0</v>
      </c>
      <c r="CT130" s="408">
        <v>0.0</v>
      </c>
      <c r="CU130" s="408">
        <v>0.0</v>
      </c>
      <c r="CV130" s="408">
        <v>0.0</v>
      </c>
      <c r="CW130" s="408">
        <v>0.0</v>
      </c>
      <c r="CX130" s="408">
        <f>H$102</f>
        <v>0</v>
      </c>
      <c r="CY130" s="408">
        <v>0.0</v>
      </c>
      <c r="CZ130" s="408">
        <v>0.0</v>
      </c>
      <c r="DA130" s="408">
        <v>0.0</v>
      </c>
      <c r="DB130" s="408">
        <v>0.0</v>
      </c>
      <c r="DC130" s="408">
        <v>0.0</v>
      </c>
      <c r="DD130" s="408">
        <v>0.0</v>
      </c>
      <c r="DE130" s="408">
        <v>0.0</v>
      </c>
      <c r="DF130" s="408">
        <v>0.0</v>
      </c>
      <c r="DG130" s="408">
        <v>0.0</v>
      </c>
      <c r="DH130" s="408">
        <v>0.0</v>
      </c>
      <c r="DI130" s="408">
        <v>0.0</v>
      </c>
      <c r="DJ130" s="408">
        <v>0.0</v>
      </c>
      <c r="DK130" s="408">
        <v>0.0</v>
      </c>
      <c r="DL130" s="408">
        <v>0.0</v>
      </c>
      <c r="DM130" s="408">
        <v>0.0</v>
      </c>
      <c r="DN130" s="408">
        <v>0.0</v>
      </c>
      <c r="DO130" s="408">
        <v>0.0</v>
      </c>
      <c r="DP130" s="408">
        <v>0.0</v>
      </c>
      <c r="DQ130" s="408">
        <v>0.0</v>
      </c>
      <c r="DR130" s="408">
        <v>0.0</v>
      </c>
      <c r="DS130" s="408">
        <v>0.0</v>
      </c>
      <c r="DT130" s="408">
        <v>0.0</v>
      </c>
      <c r="DU130" s="409"/>
    </row>
    <row r="131">
      <c r="B131" s="405">
        <v>7.0</v>
      </c>
      <c r="C131" s="407">
        <v>0.0</v>
      </c>
      <c r="D131" s="407">
        <v>0.0</v>
      </c>
      <c r="E131" s="407">
        <v>0.0</v>
      </c>
      <c r="F131" s="407">
        <v>0.0</v>
      </c>
      <c r="G131" s="407">
        <v>0.0</v>
      </c>
      <c r="H131" s="407">
        <v>0.0</v>
      </c>
      <c r="I131" s="407">
        <f>1/$AV67</f>
        <v>0.0001435725179</v>
      </c>
      <c r="J131" s="407">
        <v>0.0</v>
      </c>
      <c r="K131" s="407">
        <v>0.0</v>
      </c>
      <c r="L131" s="407">
        <v>0.0</v>
      </c>
      <c r="M131" s="407">
        <v>0.0</v>
      </c>
      <c r="N131" s="407">
        <v>0.0</v>
      </c>
      <c r="O131" s="407">
        <v>0.0</v>
      </c>
      <c r="P131" s="407">
        <v>0.0</v>
      </c>
      <c r="Q131" s="407">
        <v>0.0</v>
      </c>
      <c r="R131" s="407">
        <v>0.0</v>
      </c>
      <c r="S131" s="407">
        <v>0.0</v>
      </c>
      <c r="T131" s="407">
        <v>0.0</v>
      </c>
      <c r="U131" s="407">
        <v>0.0</v>
      </c>
      <c r="V131" s="407">
        <v>0.0</v>
      </c>
      <c r="W131" s="407">
        <v>0.0</v>
      </c>
      <c r="X131" s="407">
        <v>0.0</v>
      </c>
      <c r="Y131" s="407">
        <v>0.0</v>
      </c>
      <c r="Z131" s="407">
        <v>0.0</v>
      </c>
      <c r="AA131" s="407">
        <v>0.0</v>
      </c>
      <c r="AB131" s="407">
        <v>0.0</v>
      </c>
      <c r="AC131" s="407">
        <v>0.0</v>
      </c>
      <c r="AD131" s="407">
        <v>0.0</v>
      </c>
      <c r="AF131" s="405">
        <v>7.0</v>
      </c>
      <c r="AG131" s="408">
        <v>0.0</v>
      </c>
      <c r="AH131" s="408">
        <v>0.0</v>
      </c>
      <c r="AI131" s="408">
        <v>0.0</v>
      </c>
      <c r="AJ131" s="408">
        <v>0.0</v>
      </c>
      <c r="AK131" s="408">
        <v>0.0</v>
      </c>
      <c r="AL131" s="408">
        <v>0.0</v>
      </c>
      <c r="AM131" s="408">
        <f>I$98</f>
        <v>216192.0733</v>
      </c>
      <c r="AN131" s="408">
        <v>0.0</v>
      </c>
      <c r="AO131" s="408">
        <v>0.0</v>
      </c>
      <c r="AP131" s="408">
        <v>0.0</v>
      </c>
      <c r="AQ131" s="408">
        <v>0.0</v>
      </c>
      <c r="AR131" s="408">
        <v>0.0</v>
      </c>
      <c r="AS131" s="408">
        <v>0.0</v>
      </c>
      <c r="AT131" s="408">
        <v>0.0</v>
      </c>
      <c r="AU131" s="408">
        <v>0.0</v>
      </c>
      <c r="AV131" s="408">
        <v>0.0</v>
      </c>
      <c r="AW131" s="408">
        <v>0.0</v>
      </c>
      <c r="AX131" s="408">
        <v>0.0</v>
      </c>
      <c r="AY131" s="408">
        <v>0.0</v>
      </c>
      <c r="AZ131" s="408">
        <v>0.0</v>
      </c>
      <c r="BA131" s="408">
        <v>0.0</v>
      </c>
      <c r="BB131" s="408">
        <v>0.0</v>
      </c>
      <c r="BC131" s="408">
        <v>0.0</v>
      </c>
      <c r="BD131" s="408">
        <v>0.0</v>
      </c>
      <c r="BE131" s="408">
        <v>0.0</v>
      </c>
      <c r="BF131" s="408">
        <v>0.0</v>
      </c>
      <c r="BG131" s="408">
        <v>0.0</v>
      </c>
      <c r="BH131" s="408">
        <v>0.0</v>
      </c>
      <c r="BI131" s="24"/>
      <c r="BJ131" s="24"/>
      <c r="BK131" s="24"/>
      <c r="BL131" s="405">
        <v>7.0</v>
      </c>
      <c r="BM131" s="408">
        <v>0.0</v>
      </c>
      <c r="BN131" s="408">
        <v>0.0</v>
      </c>
      <c r="BO131" s="408">
        <v>0.0</v>
      </c>
      <c r="BP131" s="408">
        <v>0.0</v>
      </c>
      <c r="BQ131" s="408">
        <v>0.0</v>
      </c>
      <c r="BR131" s="408">
        <v>0.0</v>
      </c>
      <c r="BS131" s="408">
        <f>I$101</f>
        <v>0</v>
      </c>
      <c r="BT131" s="408">
        <v>0.0</v>
      </c>
      <c r="BU131" s="408">
        <v>0.0</v>
      </c>
      <c r="BV131" s="408">
        <v>0.0</v>
      </c>
      <c r="BW131" s="408">
        <v>0.0</v>
      </c>
      <c r="BX131" s="408">
        <v>0.0</v>
      </c>
      <c r="BY131" s="408">
        <v>0.0</v>
      </c>
      <c r="BZ131" s="408">
        <v>0.0</v>
      </c>
      <c r="CA131" s="408">
        <v>0.0</v>
      </c>
      <c r="CB131" s="408">
        <v>0.0</v>
      </c>
      <c r="CC131" s="408">
        <v>0.0</v>
      </c>
      <c r="CD131" s="408">
        <v>0.0</v>
      </c>
      <c r="CE131" s="408">
        <v>0.0</v>
      </c>
      <c r="CF131" s="408">
        <v>0.0</v>
      </c>
      <c r="CG131" s="408">
        <v>0.0</v>
      </c>
      <c r="CH131" s="408">
        <v>0.0</v>
      </c>
      <c r="CI131" s="408">
        <v>0.0</v>
      </c>
      <c r="CJ131" s="408">
        <v>0.0</v>
      </c>
      <c r="CK131" s="408">
        <v>0.0</v>
      </c>
      <c r="CL131" s="408">
        <v>0.0</v>
      </c>
      <c r="CM131" s="408">
        <v>0.0</v>
      </c>
      <c r="CN131" s="408">
        <v>0.0</v>
      </c>
      <c r="CO131" s="34"/>
      <c r="CP131" s="34"/>
      <c r="CQ131" s="34"/>
      <c r="CR131" s="405">
        <v>7.0</v>
      </c>
      <c r="CS131" s="408">
        <v>0.0</v>
      </c>
      <c r="CT131" s="408">
        <v>0.0</v>
      </c>
      <c r="CU131" s="408">
        <v>0.0</v>
      </c>
      <c r="CV131" s="408">
        <v>0.0</v>
      </c>
      <c r="CW131" s="408">
        <v>0.0</v>
      </c>
      <c r="CX131" s="408">
        <v>0.0</v>
      </c>
      <c r="CY131" s="408">
        <f>I$102</f>
        <v>0</v>
      </c>
      <c r="CZ131" s="408">
        <v>0.0</v>
      </c>
      <c r="DA131" s="408">
        <v>0.0</v>
      </c>
      <c r="DB131" s="408">
        <v>0.0</v>
      </c>
      <c r="DC131" s="408">
        <v>0.0</v>
      </c>
      <c r="DD131" s="408">
        <v>0.0</v>
      </c>
      <c r="DE131" s="408">
        <v>0.0</v>
      </c>
      <c r="DF131" s="408">
        <v>0.0</v>
      </c>
      <c r="DG131" s="408">
        <v>0.0</v>
      </c>
      <c r="DH131" s="408">
        <v>0.0</v>
      </c>
      <c r="DI131" s="408">
        <v>0.0</v>
      </c>
      <c r="DJ131" s="408">
        <v>0.0</v>
      </c>
      <c r="DK131" s="408">
        <v>0.0</v>
      </c>
      <c r="DL131" s="408">
        <v>0.0</v>
      </c>
      <c r="DM131" s="408">
        <v>0.0</v>
      </c>
      <c r="DN131" s="408">
        <v>0.0</v>
      </c>
      <c r="DO131" s="408">
        <v>0.0</v>
      </c>
      <c r="DP131" s="408">
        <v>0.0</v>
      </c>
      <c r="DQ131" s="408">
        <v>0.0</v>
      </c>
      <c r="DR131" s="408">
        <v>0.0</v>
      </c>
      <c r="DS131" s="408">
        <v>0.0</v>
      </c>
      <c r="DT131" s="408">
        <v>0.0</v>
      </c>
      <c r="DU131" s="409"/>
    </row>
    <row r="132">
      <c r="B132" s="405">
        <v>8.0</v>
      </c>
      <c r="C132" s="407">
        <v>0.0</v>
      </c>
      <c r="D132" s="407">
        <v>0.0</v>
      </c>
      <c r="E132" s="407">
        <v>0.0</v>
      </c>
      <c r="F132" s="407">
        <v>0.0</v>
      </c>
      <c r="G132" s="407">
        <v>0.0</v>
      </c>
      <c r="H132" s="407">
        <v>0.0</v>
      </c>
      <c r="I132" s="407">
        <v>0.0</v>
      </c>
      <c r="J132" s="407">
        <f>1/$AV68</f>
        <v>0.0000042222126</v>
      </c>
      <c r="K132" s="407">
        <v>0.0</v>
      </c>
      <c r="L132" s="407">
        <v>0.0</v>
      </c>
      <c r="M132" s="407">
        <v>0.0</v>
      </c>
      <c r="N132" s="407">
        <v>0.0</v>
      </c>
      <c r="O132" s="407">
        <v>0.0</v>
      </c>
      <c r="P132" s="407">
        <v>0.0</v>
      </c>
      <c r="Q132" s="407">
        <v>0.0</v>
      </c>
      <c r="R132" s="407">
        <v>0.0</v>
      </c>
      <c r="S132" s="407">
        <v>0.0</v>
      </c>
      <c r="T132" s="407">
        <v>0.0</v>
      </c>
      <c r="U132" s="407">
        <v>0.0</v>
      </c>
      <c r="V132" s="407">
        <v>0.0</v>
      </c>
      <c r="W132" s="407">
        <v>0.0</v>
      </c>
      <c r="X132" s="407">
        <v>0.0</v>
      </c>
      <c r="Y132" s="407">
        <v>0.0</v>
      </c>
      <c r="Z132" s="407">
        <v>0.0</v>
      </c>
      <c r="AA132" s="407">
        <v>0.0</v>
      </c>
      <c r="AB132" s="407">
        <v>0.0</v>
      </c>
      <c r="AC132" s="407">
        <v>0.0</v>
      </c>
      <c r="AD132" s="407">
        <v>0.0</v>
      </c>
      <c r="AF132" s="405">
        <v>8.0</v>
      </c>
      <c r="AG132" s="408">
        <v>0.0</v>
      </c>
      <c r="AH132" s="408">
        <v>0.0</v>
      </c>
      <c r="AI132" s="408">
        <v>0.0</v>
      </c>
      <c r="AJ132" s="408">
        <v>0.0</v>
      </c>
      <c r="AK132" s="408">
        <v>0.0</v>
      </c>
      <c r="AL132" s="408">
        <v>0.0</v>
      </c>
      <c r="AM132" s="408">
        <v>0.0</v>
      </c>
      <c r="AN132" s="408">
        <f>J$98</f>
        <v>115113.5376</v>
      </c>
      <c r="AO132" s="408">
        <v>0.0</v>
      </c>
      <c r="AP132" s="408">
        <v>0.0</v>
      </c>
      <c r="AQ132" s="408">
        <v>0.0</v>
      </c>
      <c r="AR132" s="408">
        <v>0.0</v>
      </c>
      <c r="AS132" s="408">
        <v>0.0</v>
      </c>
      <c r="AT132" s="408">
        <v>0.0</v>
      </c>
      <c r="AU132" s="408">
        <v>0.0</v>
      </c>
      <c r="AV132" s="408">
        <v>0.0</v>
      </c>
      <c r="AW132" s="408">
        <v>0.0</v>
      </c>
      <c r="AX132" s="408">
        <v>0.0</v>
      </c>
      <c r="AY132" s="408">
        <v>0.0</v>
      </c>
      <c r="AZ132" s="408">
        <v>0.0</v>
      </c>
      <c r="BA132" s="408">
        <v>0.0</v>
      </c>
      <c r="BB132" s="408">
        <v>0.0</v>
      </c>
      <c r="BC132" s="408">
        <v>0.0</v>
      </c>
      <c r="BD132" s="408">
        <v>0.0</v>
      </c>
      <c r="BE132" s="408">
        <v>0.0</v>
      </c>
      <c r="BF132" s="408">
        <v>0.0</v>
      </c>
      <c r="BG132" s="408">
        <v>0.0</v>
      </c>
      <c r="BH132" s="408">
        <v>0.0</v>
      </c>
      <c r="BI132" s="24"/>
      <c r="BJ132" s="24"/>
      <c r="BK132" s="24"/>
      <c r="BL132" s="405">
        <v>8.0</v>
      </c>
      <c r="BM132" s="408">
        <v>0.0</v>
      </c>
      <c r="BN132" s="408">
        <v>0.0</v>
      </c>
      <c r="BO132" s="408">
        <v>0.0</v>
      </c>
      <c r="BP132" s="408">
        <v>0.0</v>
      </c>
      <c r="BQ132" s="408">
        <v>0.0</v>
      </c>
      <c r="BR132" s="408">
        <v>0.0</v>
      </c>
      <c r="BS132" s="408">
        <v>0.0</v>
      </c>
      <c r="BT132" s="408">
        <f>J$101</f>
        <v>0</v>
      </c>
      <c r="BU132" s="408">
        <v>0.0</v>
      </c>
      <c r="BV132" s="408">
        <v>0.0</v>
      </c>
      <c r="BW132" s="408">
        <v>0.0</v>
      </c>
      <c r="BX132" s="408">
        <v>0.0</v>
      </c>
      <c r="BY132" s="408">
        <v>0.0</v>
      </c>
      <c r="BZ132" s="408">
        <v>0.0</v>
      </c>
      <c r="CA132" s="408">
        <v>0.0</v>
      </c>
      <c r="CB132" s="408">
        <v>0.0</v>
      </c>
      <c r="CC132" s="408">
        <v>0.0</v>
      </c>
      <c r="CD132" s="408">
        <v>0.0</v>
      </c>
      <c r="CE132" s="408">
        <v>0.0</v>
      </c>
      <c r="CF132" s="408">
        <v>0.0</v>
      </c>
      <c r="CG132" s="408">
        <v>0.0</v>
      </c>
      <c r="CH132" s="408">
        <v>0.0</v>
      </c>
      <c r="CI132" s="408">
        <v>0.0</v>
      </c>
      <c r="CJ132" s="408">
        <v>0.0</v>
      </c>
      <c r="CK132" s="408">
        <v>0.0</v>
      </c>
      <c r="CL132" s="408">
        <v>0.0</v>
      </c>
      <c r="CM132" s="408">
        <v>0.0</v>
      </c>
      <c r="CN132" s="408">
        <v>0.0</v>
      </c>
      <c r="CO132" s="34"/>
      <c r="CP132" s="34"/>
      <c r="CQ132" s="34"/>
      <c r="CR132" s="405">
        <v>8.0</v>
      </c>
      <c r="CS132" s="408">
        <v>0.0</v>
      </c>
      <c r="CT132" s="408">
        <v>0.0</v>
      </c>
      <c r="CU132" s="408">
        <v>0.0</v>
      </c>
      <c r="CV132" s="408">
        <v>0.0</v>
      </c>
      <c r="CW132" s="408">
        <v>0.0</v>
      </c>
      <c r="CX132" s="408">
        <v>0.0</v>
      </c>
      <c r="CY132" s="408">
        <v>0.0</v>
      </c>
      <c r="CZ132" s="408">
        <f>J$102</f>
        <v>0</v>
      </c>
      <c r="DA132" s="408">
        <v>0.0</v>
      </c>
      <c r="DB132" s="408">
        <v>0.0</v>
      </c>
      <c r="DC132" s="408">
        <v>0.0</v>
      </c>
      <c r="DD132" s="408">
        <v>0.0</v>
      </c>
      <c r="DE132" s="408">
        <v>0.0</v>
      </c>
      <c r="DF132" s="408">
        <v>0.0</v>
      </c>
      <c r="DG132" s="408">
        <v>0.0</v>
      </c>
      <c r="DH132" s="408">
        <v>0.0</v>
      </c>
      <c r="DI132" s="408">
        <v>0.0</v>
      </c>
      <c r="DJ132" s="408">
        <v>0.0</v>
      </c>
      <c r="DK132" s="408">
        <v>0.0</v>
      </c>
      <c r="DL132" s="408">
        <v>0.0</v>
      </c>
      <c r="DM132" s="408">
        <v>0.0</v>
      </c>
      <c r="DN132" s="408">
        <v>0.0</v>
      </c>
      <c r="DO132" s="408">
        <v>0.0</v>
      </c>
      <c r="DP132" s="408">
        <v>0.0</v>
      </c>
      <c r="DQ132" s="408">
        <v>0.0</v>
      </c>
      <c r="DR132" s="408">
        <v>0.0</v>
      </c>
      <c r="DS132" s="408">
        <v>0.0</v>
      </c>
      <c r="DT132" s="408">
        <v>0.0</v>
      </c>
      <c r="DU132" s="409"/>
    </row>
    <row r="133">
      <c r="B133" s="405">
        <v>9.0</v>
      </c>
      <c r="C133" s="407">
        <v>0.0</v>
      </c>
      <c r="D133" s="407">
        <v>0.0</v>
      </c>
      <c r="E133" s="407">
        <v>0.0</v>
      </c>
      <c r="F133" s="407">
        <v>0.0</v>
      </c>
      <c r="G133" s="407">
        <v>0.0</v>
      </c>
      <c r="H133" s="407">
        <v>0.0</v>
      </c>
      <c r="I133" s="407">
        <v>0.0</v>
      </c>
      <c r="J133" s="407">
        <v>0.0</v>
      </c>
      <c r="K133" s="407">
        <f>1/$AV69</f>
        <v>0.001879560652</v>
      </c>
      <c r="L133" s="407">
        <v>0.0</v>
      </c>
      <c r="M133" s="407">
        <v>0.0</v>
      </c>
      <c r="N133" s="407">
        <v>0.0</v>
      </c>
      <c r="O133" s="407">
        <v>0.0</v>
      </c>
      <c r="P133" s="407">
        <v>0.0</v>
      </c>
      <c r="Q133" s="407">
        <v>0.0</v>
      </c>
      <c r="R133" s="407">
        <v>0.0</v>
      </c>
      <c r="S133" s="407">
        <v>0.0</v>
      </c>
      <c r="T133" s="407">
        <v>0.0</v>
      </c>
      <c r="U133" s="407">
        <v>0.0</v>
      </c>
      <c r="V133" s="407">
        <v>0.0</v>
      </c>
      <c r="W133" s="407">
        <v>0.0</v>
      </c>
      <c r="X133" s="407">
        <v>0.0</v>
      </c>
      <c r="Y133" s="407">
        <v>0.0</v>
      </c>
      <c r="Z133" s="407">
        <v>0.0</v>
      </c>
      <c r="AA133" s="407">
        <v>0.0</v>
      </c>
      <c r="AB133" s="407">
        <v>0.0</v>
      </c>
      <c r="AC133" s="407">
        <v>0.0</v>
      </c>
      <c r="AD133" s="407">
        <v>0.0</v>
      </c>
      <c r="AF133" s="405">
        <v>9.0</v>
      </c>
      <c r="AG133" s="408">
        <v>0.0</v>
      </c>
      <c r="AH133" s="408">
        <v>0.0</v>
      </c>
      <c r="AI133" s="408">
        <v>0.0</v>
      </c>
      <c r="AJ133" s="408">
        <v>0.0</v>
      </c>
      <c r="AK133" s="408">
        <v>0.0</v>
      </c>
      <c r="AL133" s="408">
        <v>0.0</v>
      </c>
      <c r="AM133" s="408">
        <v>0.0</v>
      </c>
      <c r="AN133" s="408">
        <v>0.0</v>
      </c>
      <c r="AO133" s="408">
        <f>K$98</f>
        <v>50147.36755</v>
      </c>
      <c r="AP133" s="408">
        <v>0.0</v>
      </c>
      <c r="AQ133" s="408">
        <v>0.0</v>
      </c>
      <c r="AR133" s="408">
        <v>0.0</v>
      </c>
      <c r="AS133" s="408">
        <v>0.0</v>
      </c>
      <c r="AT133" s="408">
        <v>0.0</v>
      </c>
      <c r="AU133" s="408">
        <v>0.0</v>
      </c>
      <c r="AV133" s="408">
        <v>0.0</v>
      </c>
      <c r="AW133" s="408">
        <v>0.0</v>
      </c>
      <c r="AX133" s="408">
        <v>0.0</v>
      </c>
      <c r="AY133" s="408">
        <v>0.0</v>
      </c>
      <c r="AZ133" s="408">
        <v>0.0</v>
      </c>
      <c r="BA133" s="408">
        <v>0.0</v>
      </c>
      <c r="BB133" s="408">
        <v>0.0</v>
      </c>
      <c r="BC133" s="408">
        <v>0.0</v>
      </c>
      <c r="BD133" s="408">
        <v>0.0</v>
      </c>
      <c r="BE133" s="408">
        <v>0.0</v>
      </c>
      <c r="BF133" s="408">
        <v>0.0</v>
      </c>
      <c r="BG133" s="408">
        <v>0.0</v>
      </c>
      <c r="BH133" s="408">
        <v>0.0</v>
      </c>
      <c r="BI133" s="24"/>
      <c r="BJ133" s="24"/>
      <c r="BK133" s="24"/>
      <c r="BL133" s="405">
        <v>9.0</v>
      </c>
      <c r="BM133" s="408">
        <v>0.0</v>
      </c>
      <c r="BN133" s="408">
        <v>0.0</v>
      </c>
      <c r="BO133" s="408">
        <v>0.0</v>
      </c>
      <c r="BP133" s="408">
        <v>0.0</v>
      </c>
      <c r="BQ133" s="408">
        <v>0.0</v>
      </c>
      <c r="BR133" s="408">
        <v>0.0</v>
      </c>
      <c r="BS133" s="408">
        <v>0.0</v>
      </c>
      <c r="BT133" s="408">
        <v>0.0</v>
      </c>
      <c r="BU133" s="408">
        <f>K$101</f>
        <v>0</v>
      </c>
      <c r="BV133" s="408">
        <v>0.0</v>
      </c>
      <c r="BW133" s="408">
        <v>0.0</v>
      </c>
      <c r="BX133" s="408">
        <v>0.0</v>
      </c>
      <c r="BY133" s="408">
        <v>0.0</v>
      </c>
      <c r="BZ133" s="408">
        <v>0.0</v>
      </c>
      <c r="CA133" s="408">
        <v>0.0</v>
      </c>
      <c r="CB133" s="408">
        <v>0.0</v>
      </c>
      <c r="CC133" s="408">
        <v>0.0</v>
      </c>
      <c r="CD133" s="408">
        <v>0.0</v>
      </c>
      <c r="CE133" s="408">
        <v>0.0</v>
      </c>
      <c r="CF133" s="408">
        <v>0.0</v>
      </c>
      <c r="CG133" s="408">
        <v>0.0</v>
      </c>
      <c r="CH133" s="408">
        <v>0.0</v>
      </c>
      <c r="CI133" s="408">
        <v>0.0</v>
      </c>
      <c r="CJ133" s="408">
        <v>0.0</v>
      </c>
      <c r="CK133" s="408">
        <v>0.0</v>
      </c>
      <c r="CL133" s="408">
        <v>0.0</v>
      </c>
      <c r="CM133" s="408">
        <v>0.0</v>
      </c>
      <c r="CN133" s="408">
        <v>0.0</v>
      </c>
      <c r="CO133" s="34"/>
      <c r="CP133" s="34"/>
      <c r="CQ133" s="34"/>
      <c r="CR133" s="405">
        <v>9.0</v>
      </c>
      <c r="CS133" s="408">
        <v>0.0</v>
      </c>
      <c r="CT133" s="408">
        <v>0.0</v>
      </c>
      <c r="CU133" s="408">
        <v>0.0</v>
      </c>
      <c r="CV133" s="408">
        <v>0.0</v>
      </c>
      <c r="CW133" s="408">
        <v>0.0</v>
      </c>
      <c r="CX133" s="408">
        <v>0.0</v>
      </c>
      <c r="CY133" s="408">
        <v>0.0</v>
      </c>
      <c r="CZ133" s="408">
        <v>0.0</v>
      </c>
      <c r="DA133" s="408">
        <f>K$102</f>
        <v>0</v>
      </c>
      <c r="DB133" s="408">
        <v>0.0</v>
      </c>
      <c r="DC133" s="408">
        <v>0.0</v>
      </c>
      <c r="DD133" s="408">
        <v>0.0</v>
      </c>
      <c r="DE133" s="408">
        <v>0.0</v>
      </c>
      <c r="DF133" s="408">
        <v>0.0</v>
      </c>
      <c r="DG133" s="408">
        <v>0.0</v>
      </c>
      <c r="DH133" s="408">
        <v>0.0</v>
      </c>
      <c r="DI133" s="408">
        <v>0.0</v>
      </c>
      <c r="DJ133" s="408">
        <v>0.0</v>
      </c>
      <c r="DK133" s="408">
        <v>0.0</v>
      </c>
      <c r="DL133" s="408">
        <v>0.0</v>
      </c>
      <c r="DM133" s="408">
        <v>0.0</v>
      </c>
      <c r="DN133" s="408">
        <v>0.0</v>
      </c>
      <c r="DO133" s="408">
        <v>0.0</v>
      </c>
      <c r="DP133" s="408">
        <v>0.0</v>
      </c>
      <c r="DQ133" s="408">
        <v>0.0</v>
      </c>
      <c r="DR133" s="408">
        <v>0.0</v>
      </c>
      <c r="DS133" s="408">
        <v>0.0</v>
      </c>
      <c r="DT133" s="408">
        <v>0.0</v>
      </c>
      <c r="DU133" s="409"/>
    </row>
    <row r="134">
      <c r="B134" s="405">
        <v>10.0</v>
      </c>
      <c r="C134" s="407">
        <v>0.0</v>
      </c>
      <c r="D134" s="407">
        <v>0.0</v>
      </c>
      <c r="E134" s="407">
        <v>0.0</v>
      </c>
      <c r="F134" s="407">
        <v>0.0</v>
      </c>
      <c r="G134" s="407">
        <v>0.0</v>
      </c>
      <c r="H134" s="407">
        <v>0.0</v>
      </c>
      <c r="I134" s="407">
        <v>0.0</v>
      </c>
      <c r="J134" s="407">
        <v>0.0</v>
      </c>
      <c r="K134" s="407">
        <v>0.0</v>
      </c>
      <c r="L134" s="407">
        <f>1/$AV70</f>
        <v>0.000006844464935</v>
      </c>
      <c r="M134" s="407">
        <v>0.0</v>
      </c>
      <c r="N134" s="407">
        <v>0.0</v>
      </c>
      <c r="O134" s="407">
        <v>0.0</v>
      </c>
      <c r="P134" s="407">
        <v>0.0</v>
      </c>
      <c r="Q134" s="407">
        <v>0.0</v>
      </c>
      <c r="R134" s="407">
        <v>0.0</v>
      </c>
      <c r="S134" s="407">
        <v>0.0</v>
      </c>
      <c r="T134" s="407">
        <v>0.0</v>
      </c>
      <c r="U134" s="407">
        <v>0.0</v>
      </c>
      <c r="V134" s="407">
        <v>0.0</v>
      </c>
      <c r="W134" s="407">
        <v>0.0</v>
      </c>
      <c r="X134" s="407">
        <v>0.0</v>
      </c>
      <c r="Y134" s="407">
        <v>0.0</v>
      </c>
      <c r="Z134" s="407">
        <v>0.0</v>
      </c>
      <c r="AA134" s="407">
        <v>0.0</v>
      </c>
      <c r="AB134" s="407">
        <v>0.0</v>
      </c>
      <c r="AC134" s="407">
        <v>0.0</v>
      </c>
      <c r="AD134" s="407">
        <v>0.0</v>
      </c>
      <c r="AF134" s="405">
        <v>10.0</v>
      </c>
      <c r="AG134" s="408">
        <v>0.0</v>
      </c>
      <c r="AH134" s="408">
        <v>0.0</v>
      </c>
      <c r="AI134" s="408">
        <v>0.0</v>
      </c>
      <c r="AJ134" s="408">
        <v>0.0</v>
      </c>
      <c r="AK134" s="408">
        <v>0.0</v>
      </c>
      <c r="AL134" s="408">
        <v>0.0</v>
      </c>
      <c r="AM134" s="408">
        <v>0.0</v>
      </c>
      <c r="AN134" s="408">
        <v>0.0</v>
      </c>
      <c r="AO134" s="408">
        <v>0.0</v>
      </c>
      <c r="AP134" s="408">
        <f>L$98</f>
        <v>172463.0253</v>
      </c>
      <c r="AQ134" s="408">
        <v>0.0</v>
      </c>
      <c r="AR134" s="408">
        <v>0.0</v>
      </c>
      <c r="AS134" s="408">
        <v>0.0</v>
      </c>
      <c r="AT134" s="408">
        <v>0.0</v>
      </c>
      <c r="AU134" s="408">
        <v>0.0</v>
      </c>
      <c r="AV134" s="408">
        <v>0.0</v>
      </c>
      <c r="AW134" s="408">
        <v>0.0</v>
      </c>
      <c r="AX134" s="408">
        <v>0.0</v>
      </c>
      <c r="AY134" s="408">
        <v>0.0</v>
      </c>
      <c r="AZ134" s="408">
        <v>0.0</v>
      </c>
      <c r="BA134" s="408">
        <v>0.0</v>
      </c>
      <c r="BB134" s="408">
        <v>0.0</v>
      </c>
      <c r="BC134" s="408">
        <v>0.0</v>
      </c>
      <c r="BD134" s="408">
        <v>0.0</v>
      </c>
      <c r="BE134" s="408">
        <v>0.0</v>
      </c>
      <c r="BF134" s="408">
        <v>0.0</v>
      </c>
      <c r="BG134" s="408">
        <v>0.0</v>
      </c>
      <c r="BH134" s="408">
        <v>0.0</v>
      </c>
      <c r="BI134" s="24"/>
      <c r="BJ134" s="24"/>
      <c r="BK134" s="24"/>
      <c r="BL134" s="405">
        <v>10.0</v>
      </c>
      <c r="BM134" s="408">
        <v>0.0</v>
      </c>
      <c r="BN134" s="408">
        <v>0.0</v>
      </c>
      <c r="BO134" s="408">
        <v>0.0</v>
      </c>
      <c r="BP134" s="408">
        <v>0.0</v>
      </c>
      <c r="BQ134" s="408">
        <v>0.0</v>
      </c>
      <c r="BR134" s="408">
        <v>0.0</v>
      </c>
      <c r="BS134" s="408">
        <v>0.0</v>
      </c>
      <c r="BT134" s="408">
        <v>0.0</v>
      </c>
      <c r="BU134" s="408">
        <v>0.0</v>
      </c>
      <c r="BV134" s="408">
        <f>L$101</f>
        <v>0</v>
      </c>
      <c r="BW134" s="408">
        <v>0.0</v>
      </c>
      <c r="BX134" s="408">
        <v>0.0</v>
      </c>
      <c r="BY134" s="408">
        <v>0.0</v>
      </c>
      <c r="BZ134" s="408">
        <v>0.0</v>
      </c>
      <c r="CA134" s="408">
        <v>0.0</v>
      </c>
      <c r="CB134" s="408">
        <v>0.0</v>
      </c>
      <c r="CC134" s="408">
        <v>0.0</v>
      </c>
      <c r="CD134" s="408">
        <v>0.0</v>
      </c>
      <c r="CE134" s="408">
        <v>0.0</v>
      </c>
      <c r="CF134" s="408">
        <v>0.0</v>
      </c>
      <c r="CG134" s="408">
        <v>0.0</v>
      </c>
      <c r="CH134" s="408">
        <v>0.0</v>
      </c>
      <c r="CI134" s="408">
        <v>0.0</v>
      </c>
      <c r="CJ134" s="408">
        <v>0.0</v>
      </c>
      <c r="CK134" s="408">
        <v>0.0</v>
      </c>
      <c r="CL134" s="408">
        <v>0.0</v>
      </c>
      <c r="CM134" s="408">
        <v>0.0</v>
      </c>
      <c r="CN134" s="408">
        <v>0.0</v>
      </c>
      <c r="CO134" s="34"/>
      <c r="CP134" s="34"/>
      <c r="CQ134" s="34"/>
      <c r="CR134" s="405">
        <v>10.0</v>
      </c>
      <c r="CS134" s="408">
        <v>0.0</v>
      </c>
      <c r="CT134" s="408">
        <v>0.0</v>
      </c>
      <c r="CU134" s="408">
        <v>0.0</v>
      </c>
      <c r="CV134" s="408">
        <v>0.0</v>
      </c>
      <c r="CW134" s="408">
        <v>0.0</v>
      </c>
      <c r="CX134" s="408">
        <v>0.0</v>
      </c>
      <c r="CY134" s="408">
        <v>0.0</v>
      </c>
      <c r="CZ134" s="408">
        <v>0.0</v>
      </c>
      <c r="DA134" s="408">
        <v>0.0</v>
      </c>
      <c r="DB134" s="408">
        <f>L$102</f>
        <v>0</v>
      </c>
      <c r="DC134" s="408">
        <v>0.0</v>
      </c>
      <c r="DD134" s="408">
        <v>0.0</v>
      </c>
      <c r="DE134" s="408">
        <v>0.0</v>
      </c>
      <c r="DF134" s="408">
        <v>0.0</v>
      </c>
      <c r="DG134" s="408">
        <v>0.0</v>
      </c>
      <c r="DH134" s="408">
        <v>0.0</v>
      </c>
      <c r="DI134" s="408">
        <v>0.0</v>
      </c>
      <c r="DJ134" s="408">
        <v>0.0</v>
      </c>
      <c r="DK134" s="408">
        <v>0.0</v>
      </c>
      <c r="DL134" s="408">
        <v>0.0</v>
      </c>
      <c r="DM134" s="408">
        <v>0.0</v>
      </c>
      <c r="DN134" s="408">
        <v>0.0</v>
      </c>
      <c r="DO134" s="408">
        <v>0.0</v>
      </c>
      <c r="DP134" s="408">
        <v>0.0</v>
      </c>
      <c r="DQ134" s="408">
        <v>0.0</v>
      </c>
      <c r="DR134" s="408">
        <v>0.0</v>
      </c>
      <c r="DS134" s="408">
        <v>0.0</v>
      </c>
      <c r="DT134" s="408">
        <v>0.0</v>
      </c>
      <c r="DU134" s="409"/>
    </row>
    <row r="135">
      <c r="B135" s="405">
        <v>11.0</v>
      </c>
      <c r="C135" s="407">
        <v>0.0</v>
      </c>
      <c r="D135" s="407">
        <v>0.0</v>
      </c>
      <c r="E135" s="407">
        <v>0.0</v>
      </c>
      <c r="F135" s="407">
        <v>0.0</v>
      </c>
      <c r="G135" s="407">
        <v>0.0</v>
      </c>
      <c r="H135" s="407">
        <v>0.0</v>
      </c>
      <c r="I135" s="407">
        <v>0.0</v>
      </c>
      <c r="J135" s="407">
        <v>0.0</v>
      </c>
      <c r="K135" s="407">
        <v>0.0</v>
      </c>
      <c r="L135" s="407">
        <v>0.0</v>
      </c>
      <c r="M135" s="407">
        <f>1/$AV71</f>
        <v>0.000003514604361</v>
      </c>
      <c r="N135" s="407">
        <v>0.0</v>
      </c>
      <c r="O135" s="407">
        <v>0.0</v>
      </c>
      <c r="P135" s="407">
        <v>0.0</v>
      </c>
      <c r="Q135" s="407">
        <v>0.0</v>
      </c>
      <c r="R135" s="407">
        <v>0.0</v>
      </c>
      <c r="S135" s="407">
        <v>0.0</v>
      </c>
      <c r="T135" s="407">
        <v>0.0</v>
      </c>
      <c r="U135" s="407">
        <v>0.0</v>
      </c>
      <c r="V135" s="407">
        <v>0.0</v>
      </c>
      <c r="W135" s="407">
        <v>0.0</v>
      </c>
      <c r="X135" s="407">
        <v>0.0</v>
      </c>
      <c r="Y135" s="407">
        <v>0.0</v>
      </c>
      <c r="Z135" s="407">
        <v>0.0</v>
      </c>
      <c r="AA135" s="407">
        <v>0.0</v>
      </c>
      <c r="AB135" s="407">
        <v>0.0</v>
      </c>
      <c r="AC135" s="407">
        <v>0.0</v>
      </c>
      <c r="AD135" s="407">
        <v>0.0</v>
      </c>
      <c r="AF135" s="405">
        <v>11.0</v>
      </c>
      <c r="AG135" s="408">
        <v>0.0</v>
      </c>
      <c r="AH135" s="408">
        <v>0.0</v>
      </c>
      <c r="AI135" s="408">
        <v>0.0</v>
      </c>
      <c r="AJ135" s="408">
        <v>0.0</v>
      </c>
      <c r="AK135" s="408">
        <v>0.0</v>
      </c>
      <c r="AL135" s="408">
        <v>0.0</v>
      </c>
      <c r="AM135" s="408">
        <v>0.0</v>
      </c>
      <c r="AN135" s="408">
        <v>0.0</v>
      </c>
      <c r="AO135" s="408">
        <v>0.0</v>
      </c>
      <c r="AP135" s="408">
        <v>0.0</v>
      </c>
      <c r="AQ135" s="408">
        <f>M$98</f>
        <v>20648.30266</v>
      </c>
      <c r="AR135" s="408">
        <v>0.0</v>
      </c>
      <c r="AS135" s="408">
        <v>0.0</v>
      </c>
      <c r="AT135" s="408">
        <v>0.0</v>
      </c>
      <c r="AU135" s="408">
        <v>0.0</v>
      </c>
      <c r="AV135" s="408">
        <v>0.0</v>
      </c>
      <c r="AW135" s="408">
        <v>0.0</v>
      </c>
      <c r="AX135" s="408">
        <v>0.0</v>
      </c>
      <c r="AY135" s="408">
        <v>0.0</v>
      </c>
      <c r="AZ135" s="408">
        <v>0.0</v>
      </c>
      <c r="BA135" s="408">
        <v>0.0</v>
      </c>
      <c r="BB135" s="408">
        <v>0.0</v>
      </c>
      <c r="BC135" s="408">
        <v>0.0</v>
      </c>
      <c r="BD135" s="408">
        <v>0.0</v>
      </c>
      <c r="BE135" s="408">
        <v>0.0</v>
      </c>
      <c r="BF135" s="408">
        <v>0.0</v>
      </c>
      <c r="BG135" s="408">
        <v>0.0</v>
      </c>
      <c r="BH135" s="408">
        <v>0.0</v>
      </c>
      <c r="BI135" s="24"/>
      <c r="BJ135" s="24"/>
      <c r="BK135" s="24"/>
      <c r="BL135" s="405">
        <v>11.0</v>
      </c>
      <c r="BM135" s="408">
        <v>0.0</v>
      </c>
      <c r="BN135" s="408">
        <v>0.0</v>
      </c>
      <c r="BO135" s="408">
        <v>0.0</v>
      </c>
      <c r="BP135" s="408">
        <v>0.0</v>
      </c>
      <c r="BQ135" s="408">
        <v>0.0</v>
      </c>
      <c r="BR135" s="408">
        <v>0.0</v>
      </c>
      <c r="BS135" s="408">
        <v>0.0</v>
      </c>
      <c r="BT135" s="408">
        <v>0.0</v>
      </c>
      <c r="BU135" s="408">
        <v>0.0</v>
      </c>
      <c r="BV135" s="408">
        <v>0.0</v>
      </c>
      <c r="BW135" s="408">
        <f>M$101</f>
        <v>0</v>
      </c>
      <c r="BX135" s="408">
        <v>0.0</v>
      </c>
      <c r="BY135" s="408">
        <v>0.0</v>
      </c>
      <c r="BZ135" s="408">
        <v>0.0</v>
      </c>
      <c r="CA135" s="408">
        <v>0.0</v>
      </c>
      <c r="CB135" s="408">
        <v>0.0</v>
      </c>
      <c r="CC135" s="408">
        <v>0.0</v>
      </c>
      <c r="CD135" s="408">
        <v>0.0</v>
      </c>
      <c r="CE135" s="408">
        <v>0.0</v>
      </c>
      <c r="CF135" s="408">
        <v>0.0</v>
      </c>
      <c r="CG135" s="408">
        <v>0.0</v>
      </c>
      <c r="CH135" s="408">
        <v>0.0</v>
      </c>
      <c r="CI135" s="408">
        <v>0.0</v>
      </c>
      <c r="CJ135" s="408">
        <v>0.0</v>
      </c>
      <c r="CK135" s="408">
        <v>0.0</v>
      </c>
      <c r="CL135" s="408">
        <v>0.0</v>
      </c>
      <c r="CM135" s="408">
        <v>0.0</v>
      </c>
      <c r="CN135" s="408">
        <v>0.0</v>
      </c>
      <c r="CO135" s="34"/>
      <c r="CP135" s="34"/>
      <c r="CQ135" s="34"/>
      <c r="CR135" s="405">
        <v>11.0</v>
      </c>
      <c r="CS135" s="408">
        <v>0.0</v>
      </c>
      <c r="CT135" s="408">
        <v>0.0</v>
      </c>
      <c r="CU135" s="408">
        <v>0.0</v>
      </c>
      <c r="CV135" s="408">
        <v>0.0</v>
      </c>
      <c r="CW135" s="408">
        <v>0.0</v>
      </c>
      <c r="CX135" s="408">
        <v>0.0</v>
      </c>
      <c r="CY135" s="408">
        <v>0.0</v>
      </c>
      <c r="CZ135" s="408">
        <v>0.0</v>
      </c>
      <c r="DA135" s="408">
        <v>0.0</v>
      </c>
      <c r="DB135" s="408">
        <v>0.0</v>
      </c>
      <c r="DC135" s="408">
        <f>M$102</f>
        <v>0</v>
      </c>
      <c r="DD135" s="408">
        <v>0.0</v>
      </c>
      <c r="DE135" s="408">
        <v>0.0</v>
      </c>
      <c r="DF135" s="408">
        <v>0.0</v>
      </c>
      <c r="DG135" s="408">
        <v>0.0</v>
      </c>
      <c r="DH135" s="408">
        <v>0.0</v>
      </c>
      <c r="DI135" s="408">
        <v>0.0</v>
      </c>
      <c r="DJ135" s="408">
        <v>0.0</v>
      </c>
      <c r="DK135" s="408">
        <v>0.0</v>
      </c>
      <c r="DL135" s="408">
        <v>0.0</v>
      </c>
      <c r="DM135" s="408">
        <v>0.0</v>
      </c>
      <c r="DN135" s="408">
        <v>0.0</v>
      </c>
      <c r="DO135" s="408">
        <v>0.0</v>
      </c>
      <c r="DP135" s="408">
        <v>0.0</v>
      </c>
      <c r="DQ135" s="408">
        <v>0.0</v>
      </c>
      <c r="DR135" s="408">
        <v>0.0</v>
      </c>
      <c r="DS135" s="408">
        <v>0.0</v>
      </c>
      <c r="DT135" s="408">
        <v>0.0</v>
      </c>
      <c r="DU135" s="409"/>
    </row>
    <row r="136">
      <c r="B136" s="405">
        <v>12.0</v>
      </c>
      <c r="C136" s="407">
        <v>0.0</v>
      </c>
      <c r="D136" s="407">
        <v>0.0</v>
      </c>
      <c r="E136" s="407">
        <v>0.0</v>
      </c>
      <c r="F136" s="407">
        <v>0.0</v>
      </c>
      <c r="G136" s="407">
        <v>0.0</v>
      </c>
      <c r="H136" s="407">
        <v>0.0</v>
      </c>
      <c r="I136" s="407">
        <v>0.0</v>
      </c>
      <c r="J136" s="407">
        <v>0.0</v>
      </c>
      <c r="K136" s="407">
        <v>0.0</v>
      </c>
      <c r="L136" s="407">
        <v>0.0</v>
      </c>
      <c r="M136" s="407">
        <v>0.0</v>
      </c>
      <c r="N136" s="407">
        <f>1/$AV72</f>
        <v>0.0002132972707</v>
      </c>
      <c r="O136" s="407">
        <v>0.0</v>
      </c>
      <c r="P136" s="407">
        <v>0.0</v>
      </c>
      <c r="Q136" s="407">
        <v>0.0</v>
      </c>
      <c r="R136" s="407">
        <v>0.0</v>
      </c>
      <c r="S136" s="407">
        <v>0.0</v>
      </c>
      <c r="T136" s="407">
        <v>0.0</v>
      </c>
      <c r="U136" s="407">
        <v>0.0</v>
      </c>
      <c r="V136" s="407">
        <v>0.0</v>
      </c>
      <c r="W136" s="407">
        <v>0.0</v>
      </c>
      <c r="X136" s="407">
        <v>0.0</v>
      </c>
      <c r="Y136" s="407">
        <v>0.0</v>
      </c>
      <c r="Z136" s="407">
        <v>0.0</v>
      </c>
      <c r="AA136" s="407">
        <v>0.0</v>
      </c>
      <c r="AB136" s="407">
        <v>0.0</v>
      </c>
      <c r="AC136" s="407">
        <v>0.0</v>
      </c>
      <c r="AD136" s="407">
        <v>0.0</v>
      </c>
      <c r="AF136" s="405">
        <v>12.0</v>
      </c>
      <c r="AG136" s="408">
        <v>0.0</v>
      </c>
      <c r="AH136" s="408">
        <v>0.0</v>
      </c>
      <c r="AI136" s="408">
        <v>0.0</v>
      </c>
      <c r="AJ136" s="408">
        <v>0.0</v>
      </c>
      <c r="AK136" s="408">
        <v>0.0</v>
      </c>
      <c r="AL136" s="408">
        <v>0.0</v>
      </c>
      <c r="AM136" s="408">
        <v>0.0</v>
      </c>
      <c r="AN136" s="408">
        <v>0.0</v>
      </c>
      <c r="AO136" s="408">
        <v>0.0</v>
      </c>
      <c r="AP136" s="408">
        <v>0.0</v>
      </c>
      <c r="AQ136" s="408">
        <v>0.0</v>
      </c>
      <c r="AR136" s="408">
        <f>N$98</f>
        <v>435612.2331</v>
      </c>
      <c r="AS136" s="408">
        <v>0.0</v>
      </c>
      <c r="AT136" s="408">
        <v>0.0</v>
      </c>
      <c r="AU136" s="408">
        <v>0.0</v>
      </c>
      <c r="AV136" s="408">
        <v>0.0</v>
      </c>
      <c r="AW136" s="408">
        <v>0.0</v>
      </c>
      <c r="AX136" s="408">
        <v>0.0</v>
      </c>
      <c r="AY136" s="408">
        <v>0.0</v>
      </c>
      <c r="AZ136" s="408">
        <v>0.0</v>
      </c>
      <c r="BA136" s="408">
        <v>0.0</v>
      </c>
      <c r="BB136" s="408">
        <v>0.0</v>
      </c>
      <c r="BC136" s="408">
        <v>0.0</v>
      </c>
      <c r="BD136" s="408">
        <v>0.0</v>
      </c>
      <c r="BE136" s="408">
        <v>0.0</v>
      </c>
      <c r="BF136" s="408">
        <v>0.0</v>
      </c>
      <c r="BG136" s="408">
        <v>0.0</v>
      </c>
      <c r="BH136" s="408">
        <v>0.0</v>
      </c>
      <c r="BI136" s="24"/>
      <c r="BJ136" s="24"/>
      <c r="BK136" s="24"/>
      <c r="BL136" s="405">
        <v>12.0</v>
      </c>
      <c r="BM136" s="408">
        <v>0.0</v>
      </c>
      <c r="BN136" s="408">
        <v>0.0</v>
      </c>
      <c r="BO136" s="408">
        <v>0.0</v>
      </c>
      <c r="BP136" s="408">
        <v>0.0</v>
      </c>
      <c r="BQ136" s="408">
        <v>0.0</v>
      </c>
      <c r="BR136" s="408">
        <v>0.0</v>
      </c>
      <c r="BS136" s="408">
        <v>0.0</v>
      </c>
      <c r="BT136" s="408">
        <v>0.0</v>
      </c>
      <c r="BU136" s="408">
        <v>0.0</v>
      </c>
      <c r="BV136" s="408">
        <v>0.0</v>
      </c>
      <c r="BW136" s="408">
        <v>0.0</v>
      </c>
      <c r="BX136" s="408">
        <f>N$101</f>
        <v>0</v>
      </c>
      <c r="BY136" s="408">
        <v>0.0</v>
      </c>
      <c r="BZ136" s="408">
        <v>0.0</v>
      </c>
      <c r="CA136" s="408">
        <v>0.0</v>
      </c>
      <c r="CB136" s="408">
        <v>0.0</v>
      </c>
      <c r="CC136" s="408">
        <v>0.0</v>
      </c>
      <c r="CD136" s="408">
        <v>0.0</v>
      </c>
      <c r="CE136" s="408">
        <v>0.0</v>
      </c>
      <c r="CF136" s="408">
        <v>0.0</v>
      </c>
      <c r="CG136" s="408">
        <v>0.0</v>
      </c>
      <c r="CH136" s="408">
        <v>0.0</v>
      </c>
      <c r="CI136" s="408">
        <v>0.0</v>
      </c>
      <c r="CJ136" s="408">
        <v>0.0</v>
      </c>
      <c r="CK136" s="408">
        <v>0.0</v>
      </c>
      <c r="CL136" s="408">
        <v>0.0</v>
      </c>
      <c r="CM136" s="408">
        <v>0.0</v>
      </c>
      <c r="CN136" s="408">
        <v>0.0</v>
      </c>
      <c r="CO136" s="34"/>
      <c r="CP136" s="34"/>
      <c r="CQ136" s="34"/>
      <c r="CR136" s="405">
        <v>12.0</v>
      </c>
      <c r="CS136" s="408">
        <v>0.0</v>
      </c>
      <c r="CT136" s="408">
        <v>0.0</v>
      </c>
      <c r="CU136" s="408">
        <v>0.0</v>
      </c>
      <c r="CV136" s="408">
        <v>0.0</v>
      </c>
      <c r="CW136" s="408">
        <v>0.0</v>
      </c>
      <c r="CX136" s="408">
        <v>0.0</v>
      </c>
      <c r="CY136" s="408">
        <v>0.0</v>
      </c>
      <c r="CZ136" s="408">
        <v>0.0</v>
      </c>
      <c r="DA136" s="408">
        <v>0.0</v>
      </c>
      <c r="DB136" s="408">
        <v>0.0</v>
      </c>
      <c r="DC136" s="408">
        <v>0.0</v>
      </c>
      <c r="DD136" s="408">
        <f>N$102</f>
        <v>0</v>
      </c>
      <c r="DE136" s="408">
        <v>0.0</v>
      </c>
      <c r="DF136" s="408">
        <v>0.0</v>
      </c>
      <c r="DG136" s="408">
        <v>0.0</v>
      </c>
      <c r="DH136" s="408">
        <v>0.0</v>
      </c>
      <c r="DI136" s="408">
        <v>0.0</v>
      </c>
      <c r="DJ136" s="408">
        <v>0.0</v>
      </c>
      <c r="DK136" s="408">
        <v>0.0</v>
      </c>
      <c r="DL136" s="408">
        <v>0.0</v>
      </c>
      <c r="DM136" s="408">
        <v>0.0</v>
      </c>
      <c r="DN136" s="408">
        <v>0.0</v>
      </c>
      <c r="DO136" s="408">
        <v>0.0</v>
      </c>
      <c r="DP136" s="408">
        <v>0.0</v>
      </c>
      <c r="DQ136" s="408">
        <v>0.0</v>
      </c>
      <c r="DR136" s="408">
        <v>0.0</v>
      </c>
      <c r="DS136" s="408">
        <v>0.0</v>
      </c>
      <c r="DT136" s="408">
        <v>0.0</v>
      </c>
      <c r="DU136" s="409"/>
    </row>
    <row r="137">
      <c r="B137" s="405">
        <v>13.0</v>
      </c>
      <c r="C137" s="407">
        <v>0.0</v>
      </c>
      <c r="D137" s="407">
        <v>0.0</v>
      </c>
      <c r="E137" s="407">
        <v>0.0</v>
      </c>
      <c r="F137" s="407">
        <v>0.0</v>
      </c>
      <c r="G137" s="407">
        <v>0.0</v>
      </c>
      <c r="H137" s="407">
        <v>0.0</v>
      </c>
      <c r="I137" s="407">
        <v>0.0</v>
      </c>
      <c r="J137" s="407">
        <v>0.0</v>
      </c>
      <c r="K137" s="407">
        <v>0.0</v>
      </c>
      <c r="L137" s="407">
        <v>0.0</v>
      </c>
      <c r="M137" s="407">
        <v>0.0</v>
      </c>
      <c r="N137" s="407">
        <v>0.0</v>
      </c>
      <c r="O137" s="407">
        <f>1/$AV73</f>
        <v>0.0008963866574</v>
      </c>
      <c r="P137" s="407">
        <v>0.0</v>
      </c>
      <c r="Q137" s="407">
        <v>0.0</v>
      </c>
      <c r="R137" s="407">
        <v>0.0</v>
      </c>
      <c r="S137" s="407">
        <v>0.0</v>
      </c>
      <c r="T137" s="407">
        <v>0.0</v>
      </c>
      <c r="U137" s="407">
        <v>0.0</v>
      </c>
      <c r="V137" s="407">
        <v>0.0</v>
      </c>
      <c r="W137" s="407">
        <v>0.0</v>
      </c>
      <c r="X137" s="407">
        <v>0.0</v>
      </c>
      <c r="Y137" s="407">
        <v>0.0</v>
      </c>
      <c r="Z137" s="407">
        <v>0.0</v>
      </c>
      <c r="AA137" s="407">
        <v>0.0</v>
      </c>
      <c r="AB137" s="407">
        <v>0.0</v>
      </c>
      <c r="AC137" s="407">
        <v>0.0</v>
      </c>
      <c r="AD137" s="407">
        <v>0.0</v>
      </c>
      <c r="AF137" s="405">
        <v>13.0</v>
      </c>
      <c r="AG137" s="408">
        <v>0.0</v>
      </c>
      <c r="AH137" s="408">
        <v>0.0</v>
      </c>
      <c r="AI137" s="408">
        <v>0.0</v>
      </c>
      <c r="AJ137" s="408">
        <v>0.0</v>
      </c>
      <c r="AK137" s="408">
        <v>0.0</v>
      </c>
      <c r="AL137" s="408">
        <v>0.0</v>
      </c>
      <c r="AM137" s="408">
        <v>0.0</v>
      </c>
      <c r="AN137" s="408">
        <v>0.0</v>
      </c>
      <c r="AO137" s="408">
        <v>0.0</v>
      </c>
      <c r="AP137" s="408">
        <v>0.0</v>
      </c>
      <c r="AQ137" s="408">
        <v>0.0</v>
      </c>
      <c r="AR137" s="408">
        <v>0.0</v>
      </c>
      <c r="AS137" s="408">
        <f>O$98</f>
        <v>5633.905302</v>
      </c>
      <c r="AT137" s="408">
        <v>0.0</v>
      </c>
      <c r="AU137" s="408">
        <v>0.0</v>
      </c>
      <c r="AV137" s="408">
        <v>0.0</v>
      </c>
      <c r="AW137" s="408">
        <v>0.0</v>
      </c>
      <c r="AX137" s="408">
        <v>0.0</v>
      </c>
      <c r="AY137" s="408">
        <v>0.0</v>
      </c>
      <c r="AZ137" s="408">
        <v>0.0</v>
      </c>
      <c r="BA137" s="408">
        <v>0.0</v>
      </c>
      <c r="BB137" s="408">
        <v>0.0</v>
      </c>
      <c r="BC137" s="408">
        <v>0.0</v>
      </c>
      <c r="BD137" s="408">
        <v>0.0</v>
      </c>
      <c r="BE137" s="408">
        <v>0.0</v>
      </c>
      <c r="BF137" s="408">
        <v>0.0</v>
      </c>
      <c r="BG137" s="408">
        <v>0.0</v>
      </c>
      <c r="BH137" s="408">
        <v>0.0</v>
      </c>
      <c r="BI137" s="24"/>
      <c r="BJ137" s="24"/>
      <c r="BK137" s="24"/>
      <c r="BL137" s="405">
        <v>13.0</v>
      </c>
      <c r="BM137" s="408">
        <v>0.0</v>
      </c>
      <c r="BN137" s="408">
        <v>0.0</v>
      </c>
      <c r="BO137" s="408">
        <v>0.0</v>
      </c>
      <c r="BP137" s="408">
        <v>0.0</v>
      </c>
      <c r="BQ137" s="408">
        <v>0.0</v>
      </c>
      <c r="BR137" s="408">
        <v>0.0</v>
      </c>
      <c r="BS137" s="408">
        <v>0.0</v>
      </c>
      <c r="BT137" s="408">
        <v>0.0</v>
      </c>
      <c r="BU137" s="408">
        <v>0.0</v>
      </c>
      <c r="BV137" s="408">
        <v>0.0</v>
      </c>
      <c r="BW137" s="408">
        <v>0.0</v>
      </c>
      <c r="BX137" s="408">
        <v>0.0</v>
      </c>
      <c r="BY137" s="408">
        <f>O$101</f>
        <v>0</v>
      </c>
      <c r="BZ137" s="408">
        <v>0.0</v>
      </c>
      <c r="CA137" s="408">
        <v>0.0</v>
      </c>
      <c r="CB137" s="408">
        <v>0.0</v>
      </c>
      <c r="CC137" s="408">
        <v>0.0</v>
      </c>
      <c r="CD137" s="408">
        <v>0.0</v>
      </c>
      <c r="CE137" s="408">
        <v>0.0</v>
      </c>
      <c r="CF137" s="408">
        <v>0.0</v>
      </c>
      <c r="CG137" s="408">
        <v>0.0</v>
      </c>
      <c r="CH137" s="408">
        <v>0.0</v>
      </c>
      <c r="CI137" s="408">
        <v>0.0</v>
      </c>
      <c r="CJ137" s="408">
        <v>0.0</v>
      </c>
      <c r="CK137" s="408">
        <v>0.0</v>
      </c>
      <c r="CL137" s="408">
        <v>0.0</v>
      </c>
      <c r="CM137" s="408">
        <v>0.0</v>
      </c>
      <c r="CN137" s="408">
        <v>0.0</v>
      </c>
      <c r="CO137" s="34"/>
      <c r="CP137" s="34"/>
      <c r="CQ137" s="34"/>
      <c r="CR137" s="405">
        <v>13.0</v>
      </c>
      <c r="CS137" s="408">
        <v>0.0</v>
      </c>
      <c r="CT137" s="408">
        <v>0.0</v>
      </c>
      <c r="CU137" s="408">
        <v>0.0</v>
      </c>
      <c r="CV137" s="408">
        <v>0.0</v>
      </c>
      <c r="CW137" s="408">
        <v>0.0</v>
      </c>
      <c r="CX137" s="408">
        <v>0.0</v>
      </c>
      <c r="CY137" s="408">
        <v>0.0</v>
      </c>
      <c r="CZ137" s="408">
        <v>0.0</v>
      </c>
      <c r="DA137" s="408">
        <v>0.0</v>
      </c>
      <c r="DB137" s="408">
        <v>0.0</v>
      </c>
      <c r="DC137" s="408">
        <v>0.0</v>
      </c>
      <c r="DD137" s="408">
        <v>0.0</v>
      </c>
      <c r="DE137" s="408">
        <f>O$102</f>
        <v>0</v>
      </c>
      <c r="DF137" s="408">
        <v>0.0</v>
      </c>
      <c r="DG137" s="408">
        <v>0.0</v>
      </c>
      <c r="DH137" s="408">
        <v>0.0</v>
      </c>
      <c r="DI137" s="408">
        <v>0.0</v>
      </c>
      <c r="DJ137" s="408">
        <v>0.0</v>
      </c>
      <c r="DK137" s="408">
        <v>0.0</v>
      </c>
      <c r="DL137" s="408">
        <v>0.0</v>
      </c>
      <c r="DM137" s="408">
        <v>0.0</v>
      </c>
      <c r="DN137" s="408">
        <v>0.0</v>
      </c>
      <c r="DO137" s="408">
        <v>0.0</v>
      </c>
      <c r="DP137" s="408">
        <v>0.0</v>
      </c>
      <c r="DQ137" s="408">
        <v>0.0</v>
      </c>
      <c r="DR137" s="408">
        <v>0.0</v>
      </c>
      <c r="DS137" s="408">
        <v>0.0</v>
      </c>
      <c r="DT137" s="408">
        <v>0.0</v>
      </c>
      <c r="DU137" s="409"/>
    </row>
    <row r="138">
      <c r="B138" s="405">
        <v>14.0</v>
      </c>
      <c r="C138" s="407">
        <v>0.0</v>
      </c>
      <c r="D138" s="407">
        <v>0.0</v>
      </c>
      <c r="E138" s="407">
        <v>0.0</v>
      </c>
      <c r="F138" s="407">
        <v>0.0</v>
      </c>
      <c r="G138" s="407">
        <v>0.0</v>
      </c>
      <c r="H138" s="407">
        <v>0.0</v>
      </c>
      <c r="I138" s="407">
        <v>0.0</v>
      </c>
      <c r="J138" s="407">
        <v>0.0</v>
      </c>
      <c r="K138" s="407">
        <v>0.0</v>
      </c>
      <c r="L138" s="407">
        <v>0.0</v>
      </c>
      <c r="M138" s="407">
        <v>0.0</v>
      </c>
      <c r="N138" s="407">
        <v>0.0</v>
      </c>
      <c r="O138" s="407">
        <v>0.0</v>
      </c>
      <c r="P138" s="407">
        <f>1/$AV74</f>
        <v>0.00003269111694</v>
      </c>
      <c r="Q138" s="407">
        <v>0.0</v>
      </c>
      <c r="R138" s="407">
        <v>0.0</v>
      </c>
      <c r="S138" s="407">
        <v>0.0</v>
      </c>
      <c r="T138" s="407">
        <v>0.0</v>
      </c>
      <c r="U138" s="407">
        <v>0.0</v>
      </c>
      <c r="V138" s="407">
        <v>0.0</v>
      </c>
      <c r="W138" s="407">
        <v>0.0</v>
      </c>
      <c r="X138" s="407">
        <v>0.0</v>
      </c>
      <c r="Y138" s="407">
        <v>0.0</v>
      </c>
      <c r="Z138" s="407">
        <v>0.0</v>
      </c>
      <c r="AA138" s="407">
        <v>0.0</v>
      </c>
      <c r="AB138" s="407">
        <v>0.0</v>
      </c>
      <c r="AC138" s="407">
        <v>0.0</v>
      </c>
      <c r="AD138" s="407">
        <v>0.0</v>
      </c>
      <c r="AF138" s="405">
        <v>14.0</v>
      </c>
      <c r="AG138" s="408">
        <v>0.0</v>
      </c>
      <c r="AH138" s="408">
        <v>0.0</v>
      </c>
      <c r="AI138" s="408">
        <v>0.0</v>
      </c>
      <c r="AJ138" s="408">
        <v>0.0</v>
      </c>
      <c r="AK138" s="408">
        <v>0.0</v>
      </c>
      <c r="AL138" s="408">
        <v>0.0</v>
      </c>
      <c r="AM138" s="408">
        <v>0.0</v>
      </c>
      <c r="AN138" s="408">
        <v>0.0</v>
      </c>
      <c r="AO138" s="408">
        <v>0.0</v>
      </c>
      <c r="AP138" s="408">
        <v>0.0</v>
      </c>
      <c r="AQ138" s="408">
        <v>0.0</v>
      </c>
      <c r="AR138" s="408">
        <v>0.0</v>
      </c>
      <c r="AS138" s="408">
        <v>0.0</v>
      </c>
      <c r="AT138" s="408">
        <f>P$98</f>
        <v>42388.83895</v>
      </c>
      <c r="AU138" s="408">
        <v>0.0</v>
      </c>
      <c r="AV138" s="408">
        <v>0.0</v>
      </c>
      <c r="AW138" s="408">
        <v>0.0</v>
      </c>
      <c r="AX138" s="408">
        <v>0.0</v>
      </c>
      <c r="AY138" s="408">
        <v>0.0</v>
      </c>
      <c r="AZ138" s="408">
        <v>0.0</v>
      </c>
      <c r="BA138" s="408">
        <v>0.0</v>
      </c>
      <c r="BB138" s="408">
        <v>0.0</v>
      </c>
      <c r="BC138" s="408">
        <v>0.0</v>
      </c>
      <c r="BD138" s="408">
        <v>0.0</v>
      </c>
      <c r="BE138" s="408">
        <v>0.0</v>
      </c>
      <c r="BF138" s="408">
        <v>0.0</v>
      </c>
      <c r="BG138" s="408">
        <v>0.0</v>
      </c>
      <c r="BH138" s="408">
        <v>0.0</v>
      </c>
      <c r="BI138" s="24"/>
      <c r="BJ138" s="24"/>
      <c r="BK138" s="24"/>
      <c r="BL138" s="405">
        <v>14.0</v>
      </c>
      <c r="BM138" s="408">
        <v>0.0</v>
      </c>
      <c r="BN138" s="408">
        <v>0.0</v>
      </c>
      <c r="BO138" s="408">
        <v>0.0</v>
      </c>
      <c r="BP138" s="408">
        <v>0.0</v>
      </c>
      <c r="BQ138" s="408">
        <v>0.0</v>
      </c>
      <c r="BR138" s="408">
        <v>0.0</v>
      </c>
      <c r="BS138" s="408">
        <v>0.0</v>
      </c>
      <c r="BT138" s="408">
        <v>0.0</v>
      </c>
      <c r="BU138" s="408">
        <v>0.0</v>
      </c>
      <c r="BV138" s="408">
        <v>0.0</v>
      </c>
      <c r="BW138" s="408">
        <v>0.0</v>
      </c>
      <c r="BX138" s="408">
        <v>0.0</v>
      </c>
      <c r="BY138" s="408">
        <v>0.0</v>
      </c>
      <c r="BZ138" s="408">
        <f>P$101</f>
        <v>0</v>
      </c>
      <c r="CA138" s="408">
        <v>0.0</v>
      </c>
      <c r="CB138" s="408">
        <v>0.0</v>
      </c>
      <c r="CC138" s="408">
        <v>0.0</v>
      </c>
      <c r="CD138" s="408">
        <v>0.0</v>
      </c>
      <c r="CE138" s="408">
        <v>0.0</v>
      </c>
      <c r="CF138" s="408">
        <v>0.0</v>
      </c>
      <c r="CG138" s="408">
        <v>0.0</v>
      </c>
      <c r="CH138" s="408">
        <v>0.0</v>
      </c>
      <c r="CI138" s="408">
        <v>0.0</v>
      </c>
      <c r="CJ138" s="408">
        <v>0.0</v>
      </c>
      <c r="CK138" s="408">
        <v>0.0</v>
      </c>
      <c r="CL138" s="408">
        <v>0.0</v>
      </c>
      <c r="CM138" s="408">
        <v>0.0</v>
      </c>
      <c r="CN138" s="408">
        <v>0.0</v>
      </c>
      <c r="CO138" s="34"/>
      <c r="CP138" s="34"/>
      <c r="CQ138" s="34"/>
      <c r="CR138" s="405">
        <v>14.0</v>
      </c>
      <c r="CS138" s="408">
        <v>0.0</v>
      </c>
      <c r="CT138" s="408">
        <v>0.0</v>
      </c>
      <c r="CU138" s="408">
        <v>0.0</v>
      </c>
      <c r="CV138" s="408">
        <v>0.0</v>
      </c>
      <c r="CW138" s="408">
        <v>0.0</v>
      </c>
      <c r="CX138" s="408">
        <v>0.0</v>
      </c>
      <c r="CY138" s="408">
        <v>0.0</v>
      </c>
      <c r="CZ138" s="408">
        <v>0.0</v>
      </c>
      <c r="DA138" s="408">
        <v>0.0</v>
      </c>
      <c r="DB138" s="408">
        <v>0.0</v>
      </c>
      <c r="DC138" s="408">
        <v>0.0</v>
      </c>
      <c r="DD138" s="408">
        <v>0.0</v>
      </c>
      <c r="DE138" s="408">
        <v>0.0</v>
      </c>
      <c r="DF138" s="408">
        <f>P$102</f>
        <v>0</v>
      </c>
      <c r="DG138" s="408">
        <v>0.0</v>
      </c>
      <c r="DH138" s="408">
        <v>0.0</v>
      </c>
      <c r="DI138" s="408">
        <v>0.0</v>
      </c>
      <c r="DJ138" s="408">
        <v>0.0</v>
      </c>
      <c r="DK138" s="408">
        <v>0.0</v>
      </c>
      <c r="DL138" s="408">
        <v>0.0</v>
      </c>
      <c r="DM138" s="408">
        <v>0.0</v>
      </c>
      <c r="DN138" s="408">
        <v>0.0</v>
      </c>
      <c r="DO138" s="408">
        <v>0.0</v>
      </c>
      <c r="DP138" s="408">
        <v>0.0</v>
      </c>
      <c r="DQ138" s="408">
        <v>0.0</v>
      </c>
      <c r="DR138" s="408">
        <v>0.0</v>
      </c>
      <c r="DS138" s="408">
        <v>0.0</v>
      </c>
      <c r="DT138" s="408">
        <v>0.0</v>
      </c>
      <c r="DU138" s="409"/>
    </row>
    <row r="139">
      <c r="B139" s="405">
        <v>15.0</v>
      </c>
      <c r="C139" s="407">
        <v>0.0</v>
      </c>
      <c r="D139" s="407">
        <v>0.0</v>
      </c>
      <c r="E139" s="407">
        <v>0.0</v>
      </c>
      <c r="F139" s="407">
        <v>0.0</v>
      </c>
      <c r="G139" s="407">
        <v>0.0</v>
      </c>
      <c r="H139" s="407">
        <v>0.0</v>
      </c>
      <c r="I139" s="407">
        <v>0.0</v>
      </c>
      <c r="J139" s="407">
        <v>0.0</v>
      </c>
      <c r="K139" s="407">
        <v>0.0</v>
      </c>
      <c r="L139" s="407">
        <v>0.0</v>
      </c>
      <c r="M139" s="407">
        <v>0.0</v>
      </c>
      <c r="N139" s="407">
        <v>0.0</v>
      </c>
      <c r="O139" s="407">
        <v>0.0</v>
      </c>
      <c r="P139" s="407">
        <v>0.0</v>
      </c>
      <c r="Q139" s="407">
        <f>1/$AV75</f>
        <v>0.0000002797212977</v>
      </c>
      <c r="R139" s="407">
        <v>0.0</v>
      </c>
      <c r="S139" s="407">
        <v>0.0</v>
      </c>
      <c r="T139" s="407">
        <v>0.0</v>
      </c>
      <c r="U139" s="407">
        <v>0.0</v>
      </c>
      <c r="V139" s="407">
        <v>0.0</v>
      </c>
      <c r="W139" s="407">
        <v>0.0</v>
      </c>
      <c r="X139" s="407">
        <v>0.0</v>
      </c>
      <c r="Y139" s="407">
        <v>0.0</v>
      </c>
      <c r="Z139" s="407">
        <v>0.0</v>
      </c>
      <c r="AA139" s="407">
        <v>0.0</v>
      </c>
      <c r="AB139" s="407">
        <v>0.0</v>
      </c>
      <c r="AC139" s="407">
        <v>0.0</v>
      </c>
      <c r="AD139" s="407">
        <v>0.0</v>
      </c>
      <c r="AF139" s="405">
        <v>15.0</v>
      </c>
      <c r="AG139" s="408">
        <v>0.0</v>
      </c>
      <c r="AH139" s="408">
        <v>0.0</v>
      </c>
      <c r="AI139" s="408">
        <v>0.0</v>
      </c>
      <c r="AJ139" s="408">
        <v>0.0</v>
      </c>
      <c r="AK139" s="408">
        <v>0.0</v>
      </c>
      <c r="AL139" s="408">
        <v>0.0</v>
      </c>
      <c r="AM139" s="408">
        <v>0.0</v>
      </c>
      <c r="AN139" s="408">
        <v>0.0</v>
      </c>
      <c r="AO139" s="408">
        <v>0.0</v>
      </c>
      <c r="AP139" s="408">
        <v>0.0</v>
      </c>
      <c r="AQ139" s="408">
        <v>0.0</v>
      </c>
      <c r="AR139" s="408">
        <v>0.0</v>
      </c>
      <c r="AS139" s="408">
        <v>0.0</v>
      </c>
      <c r="AT139" s="408">
        <v>0.0</v>
      </c>
      <c r="AU139" s="408">
        <f>Q$98</f>
        <v>534401.5799</v>
      </c>
      <c r="AV139" s="408">
        <v>0.0</v>
      </c>
      <c r="AW139" s="408">
        <v>0.0</v>
      </c>
      <c r="AX139" s="408">
        <v>0.0</v>
      </c>
      <c r="AY139" s="408">
        <v>0.0</v>
      </c>
      <c r="AZ139" s="408">
        <v>0.0</v>
      </c>
      <c r="BA139" s="408">
        <v>0.0</v>
      </c>
      <c r="BB139" s="408">
        <v>0.0</v>
      </c>
      <c r="BC139" s="408">
        <v>0.0</v>
      </c>
      <c r="BD139" s="408">
        <v>0.0</v>
      </c>
      <c r="BE139" s="408">
        <v>0.0</v>
      </c>
      <c r="BF139" s="408">
        <v>0.0</v>
      </c>
      <c r="BG139" s="408">
        <v>0.0</v>
      </c>
      <c r="BH139" s="408">
        <v>0.0</v>
      </c>
      <c r="BI139" s="24"/>
      <c r="BJ139" s="24"/>
      <c r="BK139" s="24"/>
      <c r="BL139" s="405">
        <v>15.0</v>
      </c>
      <c r="BM139" s="408">
        <v>0.0</v>
      </c>
      <c r="BN139" s="408">
        <v>0.0</v>
      </c>
      <c r="BO139" s="408">
        <v>0.0</v>
      </c>
      <c r="BP139" s="408">
        <v>0.0</v>
      </c>
      <c r="BQ139" s="408">
        <v>0.0</v>
      </c>
      <c r="BR139" s="408">
        <v>0.0</v>
      </c>
      <c r="BS139" s="408">
        <v>0.0</v>
      </c>
      <c r="BT139" s="408">
        <v>0.0</v>
      </c>
      <c r="BU139" s="408">
        <v>0.0</v>
      </c>
      <c r="BV139" s="408">
        <v>0.0</v>
      </c>
      <c r="BW139" s="408">
        <v>0.0</v>
      </c>
      <c r="BX139" s="408">
        <v>0.0</v>
      </c>
      <c r="BY139" s="408">
        <v>0.0</v>
      </c>
      <c r="BZ139" s="408">
        <v>0.0</v>
      </c>
      <c r="CA139" s="408">
        <f>Q$101</f>
        <v>2.61865566</v>
      </c>
      <c r="CB139" s="408">
        <v>0.0</v>
      </c>
      <c r="CC139" s="408">
        <v>0.0</v>
      </c>
      <c r="CD139" s="408">
        <v>0.0</v>
      </c>
      <c r="CE139" s="408">
        <v>0.0</v>
      </c>
      <c r="CF139" s="408">
        <v>0.0</v>
      </c>
      <c r="CG139" s="408">
        <v>0.0</v>
      </c>
      <c r="CH139" s="408">
        <v>0.0</v>
      </c>
      <c r="CI139" s="408">
        <v>0.0</v>
      </c>
      <c r="CJ139" s="408">
        <v>0.0</v>
      </c>
      <c r="CK139" s="408">
        <v>0.0</v>
      </c>
      <c r="CL139" s="408">
        <v>0.0</v>
      </c>
      <c r="CM139" s="408">
        <v>0.0</v>
      </c>
      <c r="CN139" s="408">
        <v>0.0</v>
      </c>
      <c r="CO139" s="34"/>
      <c r="CP139" s="34"/>
      <c r="CQ139" s="34"/>
      <c r="CR139" s="405">
        <v>15.0</v>
      </c>
      <c r="CS139" s="408">
        <v>0.0</v>
      </c>
      <c r="CT139" s="408">
        <v>0.0</v>
      </c>
      <c r="CU139" s="408">
        <v>0.0</v>
      </c>
      <c r="CV139" s="408">
        <v>0.0</v>
      </c>
      <c r="CW139" s="408">
        <v>0.0</v>
      </c>
      <c r="CX139" s="408">
        <v>0.0</v>
      </c>
      <c r="CY139" s="408">
        <v>0.0</v>
      </c>
      <c r="CZ139" s="408">
        <v>0.0</v>
      </c>
      <c r="DA139" s="408">
        <v>0.0</v>
      </c>
      <c r="DB139" s="408">
        <v>0.0</v>
      </c>
      <c r="DC139" s="408">
        <v>0.0</v>
      </c>
      <c r="DD139" s="408">
        <v>0.0</v>
      </c>
      <c r="DE139" s="408">
        <v>0.0</v>
      </c>
      <c r="DF139" s="408">
        <v>0.0</v>
      </c>
      <c r="DG139" s="408">
        <f>Q$102</f>
        <v>0</v>
      </c>
      <c r="DH139" s="408">
        <v>0.0</v>
      </c>
      <c r="DI139" s="408">
        <v>0.0</v>
      </c>
      <c r="DJ139" s="408">
        <v>0.0</v>
      </c>
      <c r="DK139" s="408">
        <v>0.0</v>
      </c>
      <c r="DL139" s="408">
        <v>0.0</v>
      </c>
      <c r="DM139" s="408">
        <v>0.0</v>
      </c>
      <c r="DN139" s="408">
        <v>0.0</v>
      </c>
      <c r="DO139" s="408">
        <v>0.0</v>
      </c>
      <c r="DP139" s="408">
        <v>0.0</v>
      </c>
      <c r="DQ139" s="408">
        <v>0.0</v>
      </c>
      <c r="DR139" s="408">
        <v>0.0</v>
      </c>
      <c r="DS139" s="408">
        <v>0.0</v>
      </c>
      <c r="DT139" s="408">
        <v>0.0</v>
      </c>
      <c r="DU139" s="409"/>
    </row>
    <row r="140">
      <c r="B140" s="405">
        <v>16.0</v>
      </c>
      <c r="C140" s="407">
        <v>0.0</v>
      </c>
      <c r="D140" s="407">
        <v>0.0</v>
      </c>
      <c r="E140" s="407">
        <v>0.0</v>
      </c>
      <c r="F140" s="407">
        <v>0.0</v>
      </c>
      <c r="G140" s="407">
        <v>0.0</v>
      </c>
      <c r="H140" s="407">
        <v>0.0</v>
      </c>
      <c r="I140" s="407">
        <v>0.0</v>
      </c>
      <c r="J140" s="407">
        <v>0.0</v>
      </c>
      <c r="K140" s="407">
        <v>0.0</v>
      </c>
      <c r="L140" s="407">
        <v>0.0</v>
      </c>
      <c r="M140" s="407">
        <v>0.0</v>
      </c>
      <c r="N140" s="407">
        <v>0.0</v>
      </c>
      <c r="O140" s="407">
        <v>0.0</v>
      </c>
      <c r="P140" s="407">
        <v>0.0</v>
      </c>
      <c r="Q140" s="407">
        <v>0.0</v>
      </c>
      <c r="R140" s="407">
        <f>1/$AV76</f>
        <v>0.0000009283608218</v>
      </c>
      <c r="S140" s="407">
        <v>0.0</v>
      </c>
      <c r="T140" s="407">
        <v>0.0</v>
      </c>
      <c r="U140" s="407">
        <v>0.0</v>
      </c>
      <c r="V140" s="407">
        <v>0.0</v>
      </c>
      <c r="W140" s="407">
        <v>0.0</v>
      </c>
      <c r="X140" s="407">
        <v>0.0</v>
      </c>
      <c r="Y140" s="407">
        <v>0.0</v>
      </c>
      <c r="Z140" s="407">
        <v>0.0</v>
      </c>
      <c r="AA140" s="407">
        <v>0.0</v>
      </c>
      <c r="AB140" s="407">
        <v>0.0</v>
      </c>
      <c r="AC140" s="407">
        <v>0.0</v>
      </c>
      <c r="AD140" s="407">
        <v>0.0</v>
      </c>
      <c r="AF140" s="405">
        <v>16.0</v>
      </c>
      <c r="AG140" s="408">
        <v>0.0</v>
      </c>
      <c r="AH140" s="408">
        <v>0.0</v>
      </c>
      <c r="AI140" s="408">
        <v>0.0</v>
      </c>
      <c r="AJ140" s="408">
        <v>0.0</v>
      </c>
      <c r="AK140" s="408">
        <v>0.0</v>
      </c>
      <c r="AL140" s="408">
        <v>0.0</v>
      </c>
      <c r="AM140" s="408">
        <v>0.0</v>
      </c>
      <c r="AN140" s="408">
        <v>0.0</v>
      </c>
      <c r="AO140" s="408">
        <v>0.0</v>
      </c>
      <c r="AP140" s="408">
        <v>0.0</v>
      </c>
      <c r="AQ140" s="408">
        <v>0.0</v>
      </c>
      <c r="AR140" s="408">
        <v>0.0</v>
      </c>
      <c r="AS140" s="408">
        <v>0.0</v>
      </c>
      <c r="AT140" s="408">
        <v>0.0</v>
      </c>
      <c r="AU140" s="408">
        <v>0.0</v>
      </c>
      <c r="AV140" s="408">
        <f>R$98</f>
        <v>191760.4513</v>
      </c>
      <c r="AW140" s="408">
        <v>0.0</v>
      </c>
      <c r="AX140" s="408">
        <v>0.0</v>
      </c>
      <c r="AY140" s="408">
        <v>0.0</v>
      </c>
      <c r="AZ140" s="408">
        <v>0.0</v>
      </c>
      <c r="BA140" s="408">
        <v>0.0</v>
      </c>
      <c r="BB140" s="408">
        <v>0.0</v>
      </c>
      <c r="BC140" s="408">
        <v>0.0</v>
      </c>
      <c r="BD140" s="408">
        <v>0.0</v>
      </c>
      <c r="BE140" s="408">
        <v>0.0</v>
      </c>
      <c r="BF140" s="408">
        <v>0.0</v>
      </c>
      <c r="BG140" s="408">
        <v>0.0</v>
      </c>
      <c r="BH140" s="408">
        <v>0.0</v>
      </c>
      <c r="BI140" s="24"/>
      <c r="BJ140" s="24"/>
      <c r="BK140" s="24"/>
      <c r="BL140" s="405">
        <v>16.0</v>
      </c>
      <c r="BM140" s="408">
        <v>0.0</v>
      </c>
      <c r="BN140" s="408">
        <v>0.0</v>
      </c>
      <c r="BO140" s="408">
        <v>0.0</v>
      </c>
      <c r="BP140" s="408">
        <v>0.0</v>
      </c>
      <c r="BQ140" s="408">
        <v>0.0</v>
      </c>
      <c r="BR140" s="408">
        <v>0.0</v>
      </c>
      <c r="BS140" s="408">
        <v>0.0</v>
      </c>
      <c r="BT140" s="408">
        <v>0.0</v>
      </c>
      <c r="BU140" s="408">
        <v>0.0</v>
      </c>
      <c r="BV140" s="408">
        <v>0.0</v>
      </c>
      <c r="BW140" s="408">
        <v>0.0</v>
      </c>
      <c r="BX140" s="408">
        <v>0.0</v>
      </c>
      <c r="BY140" s="408">
        <v>0.0</v>
      </c>
      <c r="BZ140" s="408">
        <v>0.0</v>
      </c>
      <c r="CA140" s="408">
        <v>0.0</v>
      </c>
      <c r="CB140" s="408">
        <f>R$101</f>
        <v>0</v>
      </c>
      <c r="CC140" s="408">
        <v>0.0</v>
      </c>
      <c r="CD140" s="408">
        <v>0.0</v>
      </c>
      <c r="CE140" s="408">
        <v>0.0</v>
      </c>
      <c r="CF140" s="408">
        <v>0.0</v>
      </c>
      <c r="CG140" s="408">
        <v>0.0</v>
      </c>
      <c r="CH140" s="408">
        <v>0.0</v>
      </c>
      <c r="CI140" s="408">
        <v>0.0</v>
      </c>
      <c r="CJ140" s="408">
        <v>0.0</v>
      </c>
      <c r="CK140" s="408">
        <v>0.0</v>
      </c>
      <c r="CL140" s="408">
        <v>0.0</v>
      </c>
      <c r="CM140" s="408">
        <v>0.0</v>
      </c>
      <c r="CN140" s="408">
        <v>0.0</v>
      </c>
      <c r="CO140" s="34"/>
      <c r="CP140" s="34"/>
      <c r="CQ140" s="34"/>
      <c r="CR140" s="405">
        <v>16.0</v>
      </c>
      <c r="CS140" s="408">
        <v>0.0</v>
      </c>
      <c r="CT140" s="408">
        <v>0.0</v>
      </c>
      <c r="CU140" s="408">
        <v>0.0</v>
      </c>
      <c r="CV140" s="408">
        <v>0.0</v>
      </c>
      <c r="CW140" s="408">
        <v>0.0</v>
      </c>
      <c r="CX140" s="408">
        <v>0.0</v>
      </c>
      <c r="CY140" s="408">
        <v>0.0</v>
      </c>
      <c r="CZ140" s="408">
        <v>0.0</v>
      </c>
      <c r="DA140" s="408">
        <v>0.0</v>
      </c>
      <c r="DB140" s="408">
        <v>0.0</v>
      </c>
      <c r="DC140" s="408">
        <v>0.0</v>
      </c>
      <c r="DD140" s="408">
        <v>0.0</v>
      </c>
      <c r="DE140" s="408">
        <v>0.0</v>
      </c>
      <c r="DF140" s="408">
        <v>0.0</v>
      </c>
      <c r="DG140" s="408">
        <v>0.0</v>
      </c>
      <c r="DH140" s="408">
        <f>R$102</f>
        <v>0</v>
      </c>
      <c r="DI140" s="408">
        <v>0.0</v>
      </c>
      <c r="DJ140" s="408">
        <v>0.0</v>
      </c>
      <c r="DK140" s="408">
        <v>0.0</v>
      </c>
      <c r="DL140" s="408">
        <v>0.0</v>
      </c>
      <c r="DM140" s="408">
        <v>0.0</v>
      </c>
      <c r="DN140" s="408">
        <v>0.0</v>
      </c>
      <c r="DO140" s="408">
        <v>0.0</v>
      </c>
      <c r="DP140" s="408">
        <v>0.0</v>
      </c>
      <c r="DQ140" s="408">
        <v>0.0</v>
      </c>
      <c r="DR140" s="408">
        <v>0.0</v>
      </c>
      <c r="DS140" s="408">
        <v>0.0</v>
      </c>
      <c r="DT140" s="408">
        <v>0.0</v>
      </c>
      <c r="DU140" s="409"/>
    </row>
    <row r="141">
      <c r="B141" s="405">
        <v>17.0</v>
      </c>
      <c r="C141" s="407">
        <v>0.0</v>
      </c>
      <c r="D141" s="407">
        <v>0.0</v>
      </c>
      <c r="E141" s="407">
        <v>0.0</v>
      </c>
      <c r="F141" s="407">
        <v>0.0</v>
      </c>
      <c r="G141" s="407">
        <v>0.0</v>
      </c>
      <c r="H141" s="407">
        <v>0.0</v>
      </c>
      <c r="I141" s="407">
        <v>0.0</v>
      </c>
      <c r="J141" s="407">
        <v>0.0</v>
      </c>
      <c r="K141" s="407">
        <v>0.0</v>
      </c>
      <c r="L141" s="407">
        <v>0.0</v>
      </c>
      <c r="M141" s="407">
        <v>0.0</v>
      </c>
      <c r="N141" s="407">
        <v>0.0</v>
      </c>
      <c r="O141" s="407">
        <v>0.0</v>
      </c>
      <c r="P141" s="407">
        <v>0.0</v>
      </c>
      <c r="Q141" s="407">
        <v>0.0</v>
      </c>
      <c r="R141" s="407">
        <v>0.0</v>
      </c>
      <c r="S141" s="407">
        <f>1/$AV77</f>
        <v>0.0000004703522281</v>
      </c>
      <c r="T141" s="407">
        <v>0.0</v>
      </c>
      <c r="U141" s="407">
        <v>0.0</v>
      </c>
      <c r="V141" s="407">
        <v>0.0</v>
      </c>
      <c r="W141" s="407">
        <v>0.0</v>
      </c>
      <c r="X141" s="407">
        <v>0.0</v>
      </c>
      <c r="Y141" s="407">
        <v>0.0</v>
      </c>
      <c r="Z141" s="407">
        <v>0.0</v>
      </c>
      <c r="AA141" s="407">
        <v>0.0</v>
      </c>
      <c r="AB141" s="407">
        <v>0.0</v>
      </c>
      <c r="AC141" s="407">
        <v>0.0</v>
      </c>
      <c r="AD141" s="407">
        <v>0.0</v>
      </c>
      <c r="AF141" s="405">
        <v>17.0</v>
      </c>
      <c r="AG141" s="408">
        <v>0.0</v>
      </c>
      <c r="AH141" s="408">
        <v>0.0</v>
      </c>
      <c r="AI141" s="408">
        <v>0.0</v>
      </c>
      <c r="AJ141" s="408">
        <v>0.0</v>
      </c>
      <c r="AK141" s="408">
        <v>0.0</v>
      </c>
      <c r="AL141" s="408">
        <v>0.0</v>
      </c>
      <c r="AM141" s="408">
        <v>0.0</v>
      </c>
      <c r="AN141" s="408">
        <v>0.0</v>
      </c>
      <c r="AO141" s="408">
        <v>0.0</v>
      </c>
      <c r="AP141" s="408">
        <v>0.0</v>
      </c>
      <c r="AQ141" s="408">
        <v>0.0</v>
      </c>
      <c r="AR141" s="408">
        <v>0.0</v>
      </c>
      <c r="AS141" s="408">
        <v>0.0</v>
      </c>
      <c r="AT141" s="408">
        <v>0.0</v>
      </c>
      <c r="AU141" s="408">
        <v>0.0</v>
      </c>
      <c r="AV141" s="408">
        <v>0.0</v>
      </c>
      <c r="AW141" s="408">
        <f>S$98</f>
        <v>1566096.403</v>
      </c>
      <c r="AX141" s="408">
        <v>0.0</v>
      </c>
      <c r="AY141" s="408">
        <v>0.0</v>
      </c>
      <c r="AZ141" s="408">
        <v>0.0</v>
      </c>
      <c r="BA141" s="408">
        <v>0.0</v>
      </c>
      <c r="BB141" s="408">
        <v>0.0</v>
      </c>
      <c r="BC141" s="408">
        <v>0.0</v>
      </c>
      <c r="BD141" s="408">
        <v>0.0</v>
      </c>
      <c r="BE141" s="408">
        <v>0.0</v>
      </c>
      <c r="BF141" s="408">
        <v>0.0</v>
      </c>
      <c r="BG141" s="408">
        <v>0.0</v>
      </c>
      <c r="BH141" s="408">
        <v>0.0</v>
      </c>
      <c r="BI141" s="24"/>
      <c r="BJ141" s="24"/>
      <c r="BK141" s="24"/>
      <c r="BL141" s="405">
        <v>17.0</v>
      </c>
      <c r="BM141" s="408">
        <v>0.0</v>
      </c>
      <c r="BN141" s="408">
        <v>0.0</v>
      </c>
      <c r="BO141" s="408">
        <v>0.0</v>
      </c>
      <c r="BP141" s="408">
        <v>0.0</v>
      </c>
      <c r="BQ141" s="408">
        <v>0.0</v>
      </c>
      <c r="BR141" s="408">
        <v>0.0</v>
      </c>
      <c r="BS141" s="408">
        <v>0.0</v>
      </c>
      <c r="BT141" s="408">
        <v>0.0</v>
      </c>
      <c r="BU141" s="408">
        <v>0.0</v>
      </c>
      <c r="BV141" s="408">
        <v>0.0</v>
      </c>
      <c r="BW141" s="408">
        <v>0.0</v>
      </c>
      <c r="BX141" s="408">
        <v>0.0</v>
      </c>
      <c r="BY141" s="408">
        <v>0.0</v>
      </c>
      <c r="BZ141" s="408">
        <v>0.0</v>
      </c>
      <c r="CA141" s="408">
        <v>0.0</v>
      </c>
      <c r="CB141" s="408">
        <v>0.0</v>
      </c>
      <c r="CC141" s="408">
        <f>S$101</f>
        <v>0</v>
      </c>
      <c r="CD141" s="408">
        <v>0.0</v>
      </c>
      <c r="CE141" s="408">
        <v>0.0</v>
      </c>
      <c r="CF141" s="408">
        <v>0.0</v>
      </c>
      <c r="CG141" s="408">
        <v>0.0</v>
      </c>
      <c r="CH141" s="408">
        <v>0.0</v>
      </c>
      <c r="CI141" s="408">
        <v>0.0</v>
      </c>
      <c r="CJ141" s="408">
        <v>0.0</v>
      </c>
      <c r="CK141" s="408">
        <v>0.0</v>
      </c>
      <c r="CL141" s="408">
        <v>0.0</v>
      </c>
      <c r="CM141" s="408">
        <v>0.0</v>
      </c>
      <c r="CN141" s="408">
        <v>0.0</v>
      </c>
      <c r="CO141" s="34"/>
      <c r="CP141" s="34"/>
      <c r="CQ141" s="34"/>
      <c r="CR141" s="405">
        <v>17.0</v>
      </c>
      <c r="CS141" s="408">
        <v>0.0</v>
      </c>
      <c r="CT141" s="408">
        <v>0.0</v>
      </c>
      <c r="CU141" s="408">
        <v>0.0</v>
      </c>
      <c r="CV141" s="408">
        <v>0.0</v>
      </c>
      <c r="CW141" s="408">
        <v>0.0</v>
      </c>
      <c r="CX141" s="408">
        <v>0.0</v>
      </c>
      <c r="CY141" s="408">
        <v>0.0</v>
      </c>
      <c r="CZ141" s="408">
        <v>0.0</v>
      </c>
      <c r="DA141" s="408">
        <v>0.0</v>
      </c>
      <c r="DB141" s="408">
        <v>0.0</v>
      </c>
      <c r="DC141" s="408">
        <v>0.0</v>
      </c>
      <c r="DD141" s="408">
        <v>0.0</v>
      </c>
      <c r="DE141" s="408">
        <v>0.0</v>
      </c>
      <c r="DF141" s="408">
        <v>0.0</v>
      </c>
      <c r="DG141" s="408">
        <v>0.0</v>
      </c>
      <c r="DH141" s="408">
        <v>0.0</v>
      </c>
      <c r="DI141" s="408">
        <f>S$102</f>
        <v>6.597752347</v>
      </c>
      <c r="DJ141" s="408">
        <v>0.0</v>
      </c>
      <c r="DK141" s="408">
        <v>0.0</v>
      </c>
      <c r="DL141" s="408">
        <v>0.0</v>
      </c>
      <c r="DM141" s="408">
        <v>0.0</v>
      </c>
      <c r="DN141" s="408">
        <v>0.0</v>
      </c>
      <c r="DO141" s="408">
        <v>0.0</v>
      </c>
      <c r="DP141" s="408">
        <v>0.0</v>
      </c>
      <c r="DQ141" s="408">
        <v>0.0</v>
      </c>
      <c r="DR141" s="408">
        <v>0.0</v>
      </c>
      <c r="DS141" s="408">
        <v>0.0</v>
      </c>
      <c r="DT141" s="408">
        <v>0.0</v>
      </c>
      <c r="DU141" s="409"/>
    </row>
    <row r="142">
      <c r="B142" s="405">
        <v>18.0</v>
      </c>
      <c r="C142" s="407">
        <v>0.0</v>
      </c>
      <c r="D142" s="407">
        <v>0.0</v>
      </c>
      <c r="E142" s="407">
        <v>0.0</v>
      </c>
      <c r="F142" s="407">
        <v>0.0</v>
      </c>
      <c r="G142" s="407">
        <v>0.0</v>
      </c>
      <c r="H142" s="407">
        <v>0.0</v>
      </c>
      <c r="I142" s="407">
        <v>0.0</v>
      </c>
      <c r="J142" s="407">
        <v>0.0</v>
      </c>
      <c r="K142" s="407">
        <v>0.0</v>
      </c>
      <c r="L142" s="407">
        <v>0.0</v>
      </c>
      <c r="M142" s="407">
        <v>0.0</v>
      </c>
      <c r="N142" s="407">
        <v>0.0</v>
      </c>
      <c r="O142" s="407">
        <v>0.0</v>
      </c>
      <c r="P142" s="407">
        <v>0.0</v>
      </c>
      <c r="Q142" s="407">
        <v>0.0</v>
      </c>
      <c r="R142" s="407">
        <v>0.0</v>
      </c>
      <c r="S142" s="407">
        <v>0.0</v>
      </c>
      <c r="T142" s="407">
        <f>1/$AV78</f>
        <v>0.0000004372045139</v>
      </c>
      <c r="U142" s="407">
        <v>0.0</v>
      </c>
      <c r="V142" s="407">
        <v>0.0</v>
      </c>
      <c r="W142" s="407">
        <v>0.0</v>
      </c>
      <c r="X142" s="407">
        <v>0.0</v>
      </c>
      <c r="Y142" s="407">
        <v>0.0</v>
      </c>
      <c r="Z142" s="407">
        <v>0.0</v>
      </c>
      <c r="AA142" s="407">
        <v>0.0</v>
      </c>
      <c r="AB142" s="407">
        <v>0.0</v>
      </c>
      <c r="AC142" s="407">
        <v>0.0</v>
      </c>
      <c r="AD142" s="407">
        <v>0.0</v>
      </c>
      <c r="AF142" s="405">
        <v>18.0</v>
      </c>
      <c r="AG142" s="408">
        <v>0.0</v>
      </c>
      <c r="AH142" s="408">
        <v>0.0</v>
      </c>
      <c r="AI142" s="408">
        <v>0.0</v>
      </c>
      <c r="AJ142" s="408">
        <v>0.0</v>
      </c>
      <c r="AK142" s="408">
        <v>0.0</v>
      </c>
      <c r="AL142" s="408">
        <v>0.0</v>
      </c>
      <c r="AM142" s="408">
        <v>0.0</v>
      </c>
      <c r="AN142" s="408">
        <v>0.0</v>
      </c>
      <c r="AO142" s="408">
        <v>0.0</v>
      </c>
      <c r="AP142" s="408">
        <v>0.0</v>
      </c>
      <c r="AQ142" s="408">
        <v>0.0</v>
      </c>
      <c r="AR142" s="408">
        <v>0.0</v>
      </c>
      <c r="AS142" s="408">
        <v>0.0</v>
      </c>
      <c r="AT142" s="408">
        <v>0.0</v>
      </c>
      <c r="AU142" s="408">
        <v>0.0</v>
      </c>
      <c r="AV142" s="408">
        <v>0.0</v>
      </c>
      <c r="AW142" s="408">
        <v>0.0</v>
      </c>
      <c r="AX142" s="408">
        <f>T$98</f>
        <v>239713.5871</v>
      </c>
      <c r="AY142" s="408">
        <v>0.0</v>
      </c>
      <c r="AZ142" s="408">
        <v>0.0</v>
      </c>
      <c r="BA142" s="408">
        <v>0.0</v>
      </c>
      <c r="BB142" s="408">
        <v>0.0</v>
      </c>
      <c r="BC142" s="408">
        <v>0.0</v>
      </c>
      <c r="BD142" s="408">
        <v>0.0</v>
      </c>
      <c r="BE142" s="408">
        <v>0.0</v>
      </c>
      <c r="BF142" s="408">
        <v>0.0</v>
      </c>
      <c r="BG142" s="408">
        <v>0.0</v>
      </c>
      <c r="BH142" s="408">
        <v>0.0</v>
      </c>
      <c r="BI142" s="24"/>
      <c r="BJ142" s="24"/>
      <c r="BK142" s="24"/>
      <c r="BL142" s="405">
        <v>18.0</v>
      </c>
      <c r="BM142" s="408">
        <v>0.0</v>
      </c>
      <c r="BN142" s="408">
        <v>0.0</v>
      </c>
      <c r="BO142" s="408">
        <v>0.0</v>
      </c>
      <c r="BP142" s="408">
        <v>0.0</v>
      </c>
      <c r="BQ142" s="408">
        <v>0.0</v>
      </c>
      <c r="BR142" s="408">
        <v>0.0</v>
      </c>
      <c r="BS142" s="408">
        <v>0.0</v>
      </c>
      <c r="BT142" s="408">
        <v>0.0</v>
      </c>
      <c r="BU142" s="408">
        <v>0.0</v>
      </c>
      <c r="BV142" s="408">
        <v>0.0</v>
      </c>
      <c r="BW142" s="408">
        <v>0.0</v>
      </c>
      <c r="BX142" s="408">
        <v>0.0</v>
      </c>
      <c r="BY142" s="408">
        <v>0.0</v>
      </c>
      <c r="BZ142" s="408">
        <v>0.0</v>
      </c>
      <c r="CA142" s="408">
        <v>0.0</v>
      </c>
      <c r="CB142" s="408">
        <v>0.0</v>
      </c>
      <c r="CC142" s="408">
        <v>0.0</v>
      </c>
      <c r="CD142" s="408">
        <f>T$101</f>
        <v>0</v>
      </c>
      <c r="CE142" s="408">
        <v>0.0</v>
      </c>
      <c r="CF142" s="408">
        <v>0.0</v>
      </c>
      <c r="CG142" s="408">
        <v>0.0</v>
      </c>
      <c r="CH142" s="408">
        <v>0.0</v>
      </c>
      <c r="CI142" s="408">
        <v>0.0</v>
      </c>
      <c r="CJ142" s="408">
        <v>0.0</v>
      </c>
      <c r="CK142" s="408">
        <v>0.0</v>
      </c>
      <c r="CL142" s="408">
        <v>0.0</v>
      </c>
      <c r="CM142" s="408">
        <v>0.0</v>
      </c>
      <c r="CN142" s="408">
        <v>0.0</v>
      </c>
      <c r="CO142" s="34"/>
      <c r="CP142" s="34"/>
      <c r="CQ142" s="34"/>
      <c r="CR142" s="405">
        <v>18.0</v>
      </c>
      <c r="CS142" s="408">
        <v>0.0</v>
      </c>
      <c r="CT142" s="408">
        <v>0.0</v>
      </c>
      <c r="CU142" s="408">
        <v>0.0</v>
      </c>
      <c r="CV142" s="408">
        <v>0.0</v>
      </c>
      <c r="CW142" s="408">
        <v>0.0</v>
      </c>
      <c r="CX142" s="408">
        <v>0.0</v>
      </c>
      <c r="CY142" s="408">
        <v>0.0</v>
      </c>
      <c r="CZ142" s="408">
        <v>0.0</v>
      </c>
      <c r="DA142" s="408">
        <v>0.0</v>
      </c>
      <c r="DB142" s="408">
        <v>0.0</v>
      </c>
      <c r="DC142" s="408">
        <v>0.0</v>
      </c>
      <c r="DD142" s="408">
        <v>0.0</v>
      </c>
      <c r="DE142" s="408">
        <v>0.0</v>
      </c>
      <c r="DF142" s="408">
        <v>0.0</v>
      </c>
      <c r="DG142" s="408">
        <v>0.0</v>
      </c>
      <c r="DH142" s="408">
        <v>0.0</v>
      </c>
      <c r="DI142" s="408">
        <v>0.0</v>
      </c>
      <c r="DJ142" s="408">
        <f>T$102</f>
        <v>0</v>
      </c>
      <c r="DK142" s="408">
        <v>0.0</v>
      </c>
      <c r="DL142" s="408">
        <v>0.0</v>
      </c>
      <c r="DM142" s="408">
        <v>0.0</v>
      </c>
      <c r="DN142" s="408">
        <v>0.0</v>
      </c>
      <c r="DO142" s="408">
        <v>0.0</v>
      </c>
      <c r="DP142" s="408">
        <v>0.0</v>
      </c>
      <c r="DQ142" s="408">
        <v>0.0</v>
      </c>
      <c r="DR142" s="408">
        <v>0.0</v>
      </c>
      <c r="DS142" s="408">
        <v>0.0</v>
      </c>
      <c r="DT142" s="408">
        <v>0.0</v>
      </c>
      <c r="DU142" s="409"/>
    </row>
    <row r="143">
      <c r="B143" s="405">
        <v>19.0</v>
      </c>
      <c r="C143" s="407">
        <v>0.0</v>
      </c>
      <c r="D143" s="407">
        <v>0.0</v>
      </c>
      <c r="E143" s="407">
        <v>0.0</v>
      </c>
      <c r="F143" s="407">
        <v>0.0</v>
      </c>
      <c r="G143" s="407">
        <v>0.0</v>
      </c>
      <c r="H143" s="407">
        <v>0.0</v>
      </c>
      <c r="I143" s="407">
        <v>0.0</v>
      </c>
      <c r="J143" s="407">
        <v>0.0</v>
      </c>
      <c r="K143" s="407">
        <v>0.0</v>
      </c>
      <c r="L143" s="407">
        <v>0.0</v>
      </c>
      <c r="M143" s="407">
        <v>0.0</v>
      </c>
      <c r="N143" s="407">
        <v>0.0</v>
      </c>
      <c r="O143" s="407">
        <v>0.0</v>
      </c>
      <c r="P143" s="407">
        <v>0.0</v>
      </c>
      <c r="Q143" s="407">
        <v>0.0</v>
      </c>
      <c r="R143" s="407">
        <v>0.0</v>
      </c>
      <c r="S143" s="407">
        <v>0.0</v>
      </c>
      <c r="T143" s="407">
        <v>0.0</v>
      </c>
      <c r="U143" s="407">
        <f>1/$AV79</f>
        <v>0.0000003684002859</v>
      </c>
      <c r="V143" s="407">
        <v>0.0</v>
      </c>
      <c r="W143" s="407">
        <v>0.0</v>
      </c>
      <c r="X143" s="407">
        <v>0.0</v>
      </c>
      <c r="Y143" s="407">
        <v>0.0</v>
      </c>
      <c r="Z143" s="407">
        <v>0.0</v>
      </c>
      <c r="AA143" s="407">
        <v>0.0</v>
      </c>
      <c r="AB143" s="407">
        <v>0.0</v>
      </c>
      <c r="AC143" s="407">
        <v>0.0</v>
      </c>
      <c r="AD143" s="407">
        <v>0.0</v>
      </c>
      <c r="AF143" s="405">
        <v>19.0</v>
      </c>
      <c r="AG143" s="408">
        <v>0.0</v>
      </c>
      <c r="AH143" s="408">
        <v>0.0</v>
      </c>
      <c r="AI143" s="408">
        <v>0.0</v>
      </c>
      <c r="AJ143" s="408">
        <v>0.0</v>
      </c>
      <c r="AK143" s="408">
        <v>0.0</v>
      </c>
      <c r="AL143" s="408">
        <v>0.0</v>
      </c>
      <c r="AM143" s="408">
        <v>0.0</v>
      </c>
      <c r="AN143" s="408">
        <v>0.0</v>
      </c>
      <c r="AO143" s="408">
        <v>0.0</v>
      </c>
      <c r="AP143" s="408">
        <v>0.0</v>
      </c>
      <c r="AQ143" s="408">
        <v>0.0</v>
      </c>
      <c r="AR143" s="408">
        <v>0.0</v>
      </c>
      <c r="AS143" s="408">
        <v>0.0</v>
      </c>
      <c r="AT143" s="408">
        <v>0.0</v>
      </c>
      <c r="AU143" s="408">
        <v>0.0</v>
      </c>
      <c r="AV143" s="408">
        <v>0.0</v>
      </c>
      <c r="AW143" s="408">
        <v>0.0</v>
      </c>
      <c r="AX143" s="408">
        <v>0.0</v>
      </c>
      <c r="AY143" s="408">
        <f>U$98</f>
        <v>96787.37084</v>
      </c>
      <c r="AZ143" s="408">
        <v>0.0</v>
      </c>
      <c r="BA143" s="408">
        <v>0.0</v>
      </c>
      <c r="BB143" s="408">
        <v>0.0</v>
      </c>
      <c r="BC143" s="408">
        <v>0.0</v>
      </c>
      <c r="BD143" s="408">
        <v>0.0</v>
      </c>
      <c r="BE143" s="408">
        <v>0.0</v>
      </c>
      <c r="BF143" s="408">
        <v>0.0</v>
      </c>
      <c r="BG143" s="408">
        <v>0.0</v>
      </c>
      <c r="BH143" s="408">
        <v>0.0</v>
      </c>
      <c r="BI143" s="24"/>
      <c r="BJ143" s="24"/>
      <c r="BK143" s="24"/>
      <c r="BL143" s="405">
        <v>19.0</v>
      </c>
      <c r="BM143" s="408">
        <v>0.0</v>
      </c>
      <c r="BN143" s="408">
        <v>0.0</v>
      </c>
      <c r="BO143" s="408">
        <v>0.0</v>
      </c>
      <c r="BP143" s="408">
        <v>0.0</v>
      </c>
      <c r="BQ143" s="408">
        <v>0.0</v>
      </c>
      <c r="BR143" s="408">
        <v>0.0</v>
      </c>
      <c r="BS143" s="408">
        <v>0.0</v>
      </c>
      <c r="BT143" s="408">
        <v>0.0</v>
      </c>
      <c r="BU143" s="408">
        <v>0.0</v>
      </c>
      <c r="BV143" s="408">
        <v>0.0</v>
      </c>
      <c r="BW143" s="408">
        <v>0.0</v>
      </c>
      <c r="BX143" s="408">
        <v>0.0</v>
      </c>
      <c r="BY143" s="408">
        <v>0.0</v>
      </c>
      <c r="BZ143" s="408">
        <v>0.0</v>
      </c>
      <c r="CA143" s="408">
        <v>0.0</v>
      </c>
      <c r="CB143" s="408">
        <v>0.0</v>
      </c>
      <c r="CC143" s="408">
        <v>0.0</v>
      </c>
      <c r="CD143" s="408">
        <v>0.0</v>
      </c>
      <c r="CE143" s="408">
        <f>U$101</f>
        <v>0</v>
      </c>
      <c r="CF143" s="408">
        <v>0.0</v>
      </c>
      <c r="CG143" s="408">
        <v>0.0</v>
      </c>
      <c r="CH143" s="408">
        <v>0.0</v>
      </c>
      <c r="CI143" s="408">
        <v>0.0</v>
      </c>
      <c r="CJ143" s="408">
        <v>0.0</v>
      </c>
      <c r="CK143" s="408">
        <v>0.0</v>
      </c>
      <c r="CL143" s="408">
        <v>0.0</v>
      </c>
      <c r="CM143" s="408">
        <v>0.0</v>
      </c>
      <c r="CN143" s="408">
        <v>0.0</v>
      </c>
      <c r="CO143" s="34"/>
      <c r="CP143" s="34"/>
      <c r="CQ143" s="34"/>
      <c r="CR143" s="405">
        <v>19.0</v>
      </c>
      <c r="CS143" s="408">
        <v>0.0</v>
      </c>
      <c r="CT143" s="408">
        <v>0.0</v>
      </c>
      <c r="CU143" s="408">
        <v>0.0</v>
      </c>
      <c r="CV143" s="408">
        <v>0.0</v>
      </c>
      <c r="CW143" s="408">
        <v>0.0</v>
      </c>
      <c r="CX143" s="408">
        <v>0.0</v>
      </c>
      <c r="CY143" s="408">
        <v>0.0</v>
      </c>
      <c r="CZ143" s="408">
        <v>0.0</v>
      </c>
      <c r="DA143" s="408">
        <v>0.0</v>
      </c>
      <c r="DB143" s="408">
        <v>0.0</v>
      </c>
      <c r="DC143" s="408">
        <v>0.0</v>
      </c>
      <c r="DD143" s="408">
        <v>0.0</v>
      </c>
      <c r="DE143" s="408">
        <v>0.0</v>
      </c>
      <c r="DF143" s="408">
        <v>0.0</v>
      </c>
      <c r="DG143" s="408">
        <v>0.0</v>
      </c>
      <c r="DH143" s="408">
        <v>0.0</v>
      </c>
      <c r="DI143" s="408">
        <v>0.0</v>
      </c>
      <c r="DJ143" s="408">
        <v>0.0</v>
      </c>
      <c r="DK143" s="408">
        <f>U$102</f>
        <v>0</v>
      </c>
      <c r="DL143" s="408">
        <v>0.0</v>
      </c>
      <c r="DM143" s="408">
        <v>0.0</v>
      </c>
      <c r="DN143" s="408">
        <v>0.0</v>
      </c>
      <c r="DO143" s="408">
        <v>0.0</v>
      </c>
      <c r="DP143" s="408">
        <v>0.0</v>
      </c>
      <c r="DQ143" s="408">
        <v>0.0</v>
      </c>
      <c r="DR143" s="408">
        <v>0.0</v>
      </c>
      <c r="DS143" s="408">
        <v>0.0</v>
      </c>
      <c r="DT143" s="408">
        <v>0.0</v>
      </c>
      <c r="DU143" s="409"/>
    </row>
    <row r="144">
      <c r="B144" s="405">
        <v>20.0</v>
      </c>
      <c r="C144" s="407">
        <v>0.0</v>
      </c>
      <c r="D144" s="407">
        <v>0.0</v>
      </c>
      <c r="E144" s="407">
        <v>0.0</v>
      </c>
      <c r="F144" s="407">
        <v>0.0</v>
      </c>
      <c r="G144" s="407">
        <v>0.0</v>
      </c>
      <c r="H144" s="407">
        <v>0.0</v>
      </c>
      <c r="I144" s="407">
        <v>0.0</v>
      </c>
      <c r="J144" s="407">
        <v>0.0</v>
      </c>
      <c r="K144" s="407">
        <v>0.0</v>
      </c>
      <c r="L144" s="407">
        <v>0.0</v>
      </c>
      <c r="M144" s="407">
        <v>0.0</v>
      </c>
      <c r="N144" s="407">
        <v>0.0</v>
      </c>
      <c r="O144" s="407">
        <v>0.0</v>
      </c>
      <c r="P144" s="407">
        <v>0.0</v>
      </c>
      <c r="Q144" s="407">
        <v>0.0</v>
      </c>
      <c r="R144" s="407">
        <v>0.0</v>
      </c>
      <c r="S144" s="407">
        <v>0.0</v>
      </c>
      <c r="T144" s="407">
        <v>0.0</v>
      </c>
      <c r="U144" s="407">
        <v>0.0</v>
      </c>
      <c r="V144" s="407">
        <f>1/$AV80</f>
        <v>0.00000673365809</v>
      </c>
      <c r="W144" s="407">
        <v>0.0</v>
      </c>
      <c r="X144" s="407">
        <v>0.0</v>
      </c>
      <c r="Y144" s="407">
        <v>0.0</v>
      </c>
      <c r="Z144" s="407">
        <v>0.0</v>
      </c>
      <c r="AA144" s="407">
        <v>0.0</v>
      </c>
      <c r="AB144" s="407">
        <v>0.0</v>
      </c>
      <c r="AC144" s="407">
        <v>0.0</v>
      </c>
      <c r="AD144" s="407">
        <v>0.0</v>
      </c>
      <c r="AF144" s="405">
        <v>20.0</v>
      </c>
      <c r="AG144" s="408">
        <v>0.0</v>
      </c>
      <c r="AH144" s="408">
        <v>0.0</v>
      </c>
      <c r="AI144" s="408">
        <v>0.0</v>
      </c>
      <c r="AJ144" s="408">
        <v>0.0</v>
      </c>
      <c r="AK144" s="408">
        <v>0.0</v>
      </c>
      <c r="AL144" s="408">
        <v>0.0</v>
      </c>
      <c r="AM144" s="408">
        <v>0.0</v>
      </c>
      <c r="AN144" s="408">
        <v>0.0</v>
      </c>
      <c r="AO144" s="408">
        <v>0.0</v>
      </c>
      <c r="AP144" s="408">
        <v>0.0</v>
      </c>
      <c r="AQ144" s="408">
        <v>0.0</v>
      </c>
      <c r="AR144" s="408">
        <v>0.0</v>
      </c>
      <c r="AS144" s="408">
        <v>0.0</v>
      </c>
      <c r="AT144" s="408">
        <v>0.0</v>
      </c>
      <c r="AU144" s="408">
        <v>0.0</v>
      </c>
      <c r="AV144" s="408">
        <v>0.0</v>
      </c>
      <c r="AW144" s="408">
        <v>0.0</v>
      </c>
      <c r="AX144" s="408">
        <v>0.0</v>
      </c>
      <c r="AY144" s="408">
        <v>0.0</v>
      </c>
      <c r="AZ144" s="408">
        <f>V$98</f>
        <v>10628410.76</v>
      </c>
      <c r="BA144" s="408">
        <v>0.0</v>
      </c>
      <c r="BB144" s="408">
        <v>0.0</v>
      </c>
      <c r="BC144" s="408">
        <v>0.0</v>
      </c>
      <c r="BD144" s="408">
        <v>0.0</v>
      </c>
      <c r="BE144" s="408">
        <v>0.0</v>
      </c>
      <c r="BF144" s="408">
        <v>0.0</v>
      </c>
      <c r="BG144" s="408">
        <v>0.0</v>
      </c>
      <c r="BH144" s="408">
        <v>0.0</v>
      </c>
      <c r="BI144" s="24"/>
      <c r="BJ144" s="24"/>
      <c r="BK144" s="24"/>
      <c r="BL144" s="405">
        <v>20.0</v>
      </c>
      <c r="BM144" s="408">
        <v>0.0</v>
      </c>
      <c r="BN144" s="408">
        <v>0.0</v>
      </c>
      <c r="BO144" s="408">
        <v>0.0</v>
      </c>
      <c r="BP144" s="408">
        <v>0.0</v>
      </c>
      <c r="BQ144" s="408">
        <v>0.0</v>
      </c>
      <c r="BR144" s="408">
        <v>0.0</v>
      </c>
      <c r="BS144" s="408">
        <v>0.0</v>
      </c>
      <c r="BT144" s="408">
        <v>0.0</v>
      </c>
      <c r="BU144" s="408">
        <v>0.0</v>
      </c>
      <c r="BV144" s="408">
        <v>0.0</v>
      </c>
      <c r="BW144" s="408">
        <v>0.0</v>
      </c>
      <c r="BX144" s="408">
        <v>0.0</v>
      </c>
      <c r="BY144" s="408">
        <v>0.0</v>
      </c>
      <c r="BZ144" s="408">
        <v>0.0</v>
      </c>
      <c r="CA144" s="408">
        <v>0.0</v>
      </c>
      <c r="CB144" s="408">
        <v>0.0</v>
      </c>
      <c r="CC144" s="408">
        <v>0.0</v>
      </c>
      <c r="CD144" s="408">
        <v>0.0</v>
      </c>
      <c r="CE144" s="408">
        <v>0.0</v>
      </c>
      <c r="CF144" s="408">
        <f>V$101</f>
        <v>0</v>
      </c>
      <c r="CG144" s="408">
        <v>0.0</v>
      </c>
      <c r="CH144" s="408">
        <v>0.0</v>
      </c>
      <c r="CI144" s="408">
        <v>0.0</v>
      </c>
      <c r="CJ144" s="408">
        <v>0.0</v>
      </c>
      <c r="CK144" s="408">
        <v>0.0</v>
      </c>
      <c r="CL144" s="408">
        <v>0.0</v>
      </c>
      <c r="CM144" s="408">
        <v>0.0</v>
      </c>
      <c r="CN144" s="408">
        <v>0.0</v>
      </c>
      <c r="CO144" s="34"/>
      <c r="CP144" s="34"/>
      <c r="CQ144" s="34"/>
      <c r="CR144" s="405">
        <v>20.0</v>
      </c>
      <c r="CS144" s="408">
        <v>0.0</v>
      </c>
      <c r="CT144" s="408">
        <v>0.0</v>
      </c>
      <c r="CU144" s="408">
        <v>0.0</v>
      </c>
      <c r="CV144" s="408">
        <v>0.0</v>
      </c>
      <c r="CW144" s="408">
        <v>0.0</v>
      </c>
      <c r="CX144" s="408">
        <v>0.0</v>
      </c>
      <c r="CY144" s="408">
        <v>0.0</v>
      </c>
      <c r="CZ144" s="408">
        <v>0.0</v>
      </c>
      <c r="DA144" s="408">
        <v>0.0</v>
      </c>
      <c r="DB144" s="408">
        <v>0.0</v>
      </c>
      <c r="DC144" s="408">
        <v>0.0</v>
      </c>
      <c r="DD144" s="408">
        <v>0.0</v>
      </c>
      <c r="DE144" s="408">
        <v>0.0</v>
      </c>
      <c r="DF144" s="408">
        <v>0.0</v>
      </c>
      <c r="DG144" s="408">
        <v>0.0</v>
      </c>
      <c r="DH144" s="408">
        <v>0.0</v>
      </c>
      <c r="DI144" s="408">
        <v>0.0</v>
      </c>
      <c r="DJ144" s="408">
        <v>0.0</v>
      </c>
      <c r="DK144" s="408">
        <v>0.0</v>
      </c>
      <c r="DL144" s="408">
        <f>V$102</f>
        <v>0</v>
      </c>
      <c r="DM144" s="408">
        <v>0.0</v>
      </c>
      <c r="DN144" s="408">
        <v>0.0</v>
      </c>
      <c r="DO144" s="408">
        <v>0.0</v>
      </c>
      <c r="DP144" s="408">
        <v>0.0</v>
      </c>
      <c r="DQ144" s="408">
        <v>0.0</v>
      </c>
      <c r="DR144" s="408">
        <v>0.0</v>
      </c>
      <c r="DS144" s="408">
        <v>0.0</v>
      </c>
      <c r="DT144" s="408">
        <v>0.0</v>
      </c>
      <c r="DU144" s="409"/>
    </row>
    <row r="145">
      <c r="B145" s="405">
        <v>21.0</v>
      </c>
      <c r="C145" s="407">
        <v>0.0</v>
      </c>
      <c r="D145" s="407">
        <v>0.0</v>
      </c>
      <c r="E145" s="407">
        <v>0.0</v>
      </c>
      <c r="F145" s="407">
        <v>0.0</v>
      </c>
      <c r="G145" s="407">
        <v>0.0</v>
      </c>
      <c r="H145" s="407">
        <v>0.0</v>
      </c>
      <c r="I145" s="407">
        <v>0.0</v>
      </c>
      <c r="J145" s="407">
        <v>0.0</v>
      </c>
      <c r="K145" s="407">
        <v>0.0</v>
      </c>
      <c r="L145" s="407">
        <v>0.0</v>
      </c>
      <c r="M145" s="407">
        <v>0.0</v>
      </c>
      <c r="N145" s="407">
        <v>0.0</v>
      </c>
      <c r="O145" s="407">
        <v>0.0</v>
      </c>
      <c r="P145" s="407">
        <v>0.0</v>
      </c>
      <c r="Q145" s="407">
        <v>0.0</v>
      </c>
      <c r="R145" s="407">
        <v>0.0</v>
      </c>
      <c r="S145" s="407">
        <v>0.0</v>
      </c>
      <c r="T145" s="407">
        <v>0.0</v>
      </c>
      <c r="U145" s="407">
        <v>0.0</v>
      </c>
      <c r="V145" s="407">
        <v>0.0</v>
      </c>
      <c r="W145" s="407">
        <f>1/$AV81</f>
        <v>0.0000002226490239</v>
      </c>
      <c r="X145" s="407">
        <v>0.0</v>
      </c>
      <c r="Y145" s="407">
        <v>0.0</v>
      </c>
      <c r="Z145" s="407">
        <v>0.0</v>
      </c>
      <c r="AA145" s="407">
        <v>0.0</v>
      </c>
      <c r="AB145" s="407">
        <v>0.0</v>
      </c>
      <c r="AC145" s="407">
        <v>0.0</v>
      </c>
      <c r="AD145" s="407">
        <v>0.0</v>
      </c>
      <c r="AF145" s="405">
        <v>21.0</v>
      </c>
      <c r="AG145" s="408">
        <v>0.0</v>
      </c>
      <c r="AH145" s="408">
        <v>0.0</v>
      </c>
      <c r="AI145" s="408">
        <v>0.0</v>
      </c>
      <c r="AJ145" s="408">
        <v>0.0</v>
      </c>
      <c r="AK145" s="408">
        <v>0.0</v>
      </c>
      <c r="AL145" s="408">
        <v>0.0</v>
      </c>
      <c r="AM145" s="408">
        <v>0.0</v>
      </c>
      <c r="AN145" s="408">
        <v>0.0</v>
      </c>
      <c r="AO145" s="408">
        <v>0.0</v>
      </c>
      <c r="AP145" s="408">
        <v>0.0</v>
      </c>
      <c r="AQ145" s="408">
        <v>0.0</v>
      </c>
      <c r="AR145" s="408">
        <v>0.0</v>
      </c>
      <c r="AS145" s="408">
        <v>0.0</v>
      </c>
      <c r="AT145" s="408">
        <v>0.0</v>
      </c>
      <c r="AU145" s="408">
        <v>0.0</v>
      </c>
      <c r="AV145" s="408">
        <v>0.0</v>
      </c>
      <c r="AW145" s="408">
        <v>0.0</v>
      </c>
      <c r="AX145" s="408">
        <v>0.0</v>
      </c>
      <c r="AY145" s="408">
        <v>0.0</v>
      </c>
      <c r="AZ145" s="408">
        <v>0.0</v>
      </c>
      <c r="BA145" s="408">
        <f>W$98</f>
        <v>297910.4764</v>
      </c>
      <c r="BB145" s="408">
        <v>0.0</v>
      </c>
      <c r="BC145" s="408">
        <v>0.0</v>
      </c>
      <c r="BD145" s="408">
        <v>0.0</v>
      </c>
      <c r="BE145" s="408">
        <v>0.0</v>
      </c>
      <c r="BF145" s="408">
        <v>0.0</v>
      </c>
      <c r="BG145" s="408">
        <v>0.0</v>
      </c>
      <c r="BH145" s="408">
        <v>0.0</v>
      </c>
      <c r="BI145" s="24"/>
      <c r="BJ145" s="24"/>
      <c r="BK145" s="24"/>
      <c r="BL145" s="405">
        <v>21.0</v>
      </c>
      <c r="BM145" s="408">
        <v>0.0</v>
      </c>
      <c r="BN145" s="408">
        <v>0.0</v>
      </c>
      <c r="BO145" s="408">
        <v>0.0</v>
      </c>
      <c r="BP145" s="408">
        <v>0.0</v>
      </c>
      <c r="BQ145" s="408">
        <v>0.0</v>
      </c>
      <c r="BR145" s="408">
        <v>0.0</v>
      </c>
      <c r="BS145" s="408">
        <v>0.0</v>
      </c>
      <c r="BT145" s="408">
        <v>0.0</v>
      </c>
      <c r="BU145" s="408">
        <v>0.0</v>
      </c>
      <c r="BV145" s="408">
        <v>0.0</v>
      </c>
      <c r="BW145" s="408">
        <v>0.0</v>
      </c>
      <c r="BX145" s="408">
        <v>0.0</v>
      </c>
      <c r="BY145" s="408">
        <v>0.0</v>
      </c>
      <c r="BZ145" s="408">
        <v>0.0</v>
      </c>
      <c r="CA145" s="408">
        <v>0.0</v>
      </c>
      <c r="CB145" s="408">
        <v>0.0</v>
      </c>
      <c r="CC145" s="408">
        <v>0.0</v>
      </c>
      <c r="CD145" s="408">
        <v>0.0</v>
      </c>
      <c r="CE145" s="408">
        <v>0.0</v>
      </c>
      <c r="CF145" s="408">
        <v>0.0</v>
      </c>
      <c r="CG145" s="408">
        <f>W$101</f>
        <v>0</v>
      </c>
      <c r="CH145" s="408">
        <v>0.0</v>
      </c>
      <c r="CI145" s="408">
        <v>0.0</v>
      </c>
      <c r="CJ145" s="408">
        <v>0.0</v>
      </c>
      <c r="CK145" s="408">
        <v>0.0</v>
      </c>
      <c r="CL145" s="408">
        <v>0.0</v>
      </c>
      <c r="CM145" s="408">
        <v>0.0</v>
      </c>
      <c r="CN145" s="408">
        <v>0.0</v>
      </c>
      <c r="CO145" s="34"/>
      <c r="CP145" s="34"/>
      <c r="CQ145" s="34"/>
      <c r="CR145" s="405">
        <v>21.0</v>
      </c>
      <c r="CS145" s="408">
        <v>0.0</v>
      </c>
      <c r="CT145" s="408">
        <v>0.0</v>
      </c>
      <c r="CU145" s="408">
        <v>0.0</v>
      </c>
      <c r="CV145" s="408">
        <v>0.0</v>
      </c>
      <c r="CW145" s="408">
        <v>0.0</v>
      </c>
      <c r="CX145" s="408">
        <v>0.0</v>
      </c>
      <c r="CY145" s="408">
        <v>0.0</v>
      </c>
      <c r="CZ145" s="408">
        <v>0.0</v>
      </c>
      <c r="DA145" s="408">
        <v>0.0</v>
      </c>
      <c r="DB145" s="408">
        <v>0.0</v>
      </c>
      <c r="DC145" s="408">
        <v>0.0</v>
      </c>
      <c r="DD145" s="408">
        <v>0.0</v>
      </c>
      <c r="DE145" s="408">
        <v>0.0</v>
      </c>
      <c r="DF145" s="408">
        <v>0.0</v>
      </c>
      <c r="DG145" s="408">
        <v>0.0</v>
      </c>
      <c r="DH145" s="408">
        <v>0.0</v>
      </c>
      <c r="DI145" s="408">
        <v>0.0</v>
      </c>
      <c r="DJ145" s="408">
        <v>0.0</v>
      </c>
      <c r="DK145" s="408">
        <v>0.0</v>
      </c>
      <c r="DL145" s="408">
        <v>0.0</v>
      </c>
      <c r="DM145" s="408">
        <f>W$102</f>
        <v>0</v>
      </c>
      <c r="DN145" s="408">
        <v>0.0</v>
      </c>
      <c r="DO145" s="408">
        <v>0.0</v>
      </c>
      <c r="DP145" s="408">
        <v>0.0</v>
      </c>
      <c r="DQ145" s="408">
        <v>0.0</v>
      </c>
      <c r="DR145" s="408">
        <v>0.0</v>
      </c>
      <c r="DS145" s="408">
        <v>0.0</v>
      </c>
      <c r="DT145" s="408">
        <v>0.0</v>
      </c>
      <c r="DU145" s="409"/>
    </row>
    <row r="146">
      <c r="B146" s="405">
        <v>22.0</v>
      </c>
      <c r="C146" s="407">
        <v>0.0</v>
      </c>
      <c r="D146" s="407">
        <v>0.0</v>
      </c>
      <c r="E146" s="407">
        <v>0.0</v>
      </c>
      <c r="F146" s="407">
        <v>0.0</v>
      </c>
      <c r="G146" s="407">
        <v>0.0</v>
      </c>
      <c r="H146" s="407">
        <v>0.0</v>
      </c>
      <c r="I146" s="407">
        <v>0.0</v>
      </c>
      <c r="J146" s="407">
        <v>0.0</v>
      </c>
      <c r="K146" s="407">
        <v>0.0</v>
      </c>
      <c r="L146" s="407">
        <v>0.0</v>
      </c>
      <c r="M146" s="407">
        <v>0.0</v>
      </c>
      <c r="N146" s="407">
        <v>0.0</v>
      </c>
      <c r="O146" s="407">
        <v>0.0</v>
      </c>
      <c r="P146" s="407">
        <v>0.0</v>
      </c>
      <c r="Q146" s="407">
        <v>0.0</v>
      </c>
      <c r="R146" s="407">
        <v>0.0</v>
      </c>
      <c r="S146" s="407">
        <v>0.0</v>
      </c>
      <c r="T146" s="407">
        <v>0.0</v>
      </c>
      <c r="U146" s="407">
        <v>0.0</v>
      </c>
      <c r="V146" s="407">
        <v>0.0</v>
      </c>
      <c r="W146" s="407">
        <v>0.0</v>
      </c>
      <c r="X146" s="407">
        <f>1/$AV82</f>
        <v>0.00000001975594882</v>
      </c>
      <c r="Y146" s="407">
        <v>0.0</v>
      </c>
      <c r="Z146" s="407">
        <v>0.0</v>
      </c>
      <c r="AA146" s="407">
        <v>0.0</v>
      </c>
      <c r="AB146" s="407">
        <v>0.0</v>
      </c>
      <c r="AC146" s="407">
        <v>0.0</v>
      </c>
      <c r="AD146" s="407">
        <v>0.0</v>
      </c>
      <c r="AF146" s="405">
        <v>22.0</v>
      </c>
      <c r="AG146" s="408">
        <v>0.0</v>
      </c>
      <c r="AH146" s="408">
        <v>0.0</v>
      </c>
      <c r="AI146" s="408">
        <v>0.0</v>
      </c>
      <c r="AJ146" s="408">
        <v>0.0</v>
      </c>
      <c r="AK146" s="408">
        <v>0.0</v>
      </c>
      <c r="AL146" s="408">
        <v>0.0</v>
      </c>
      <c r="AM146" s="408">
        <v>0.0</v>
      </c>
      <c r="AN146" s="408">
        <v>0.0</v>
      </c>
      <c r="AO146" s="408">
        <v>0.0</v>
      </c>
      <c r="AP146" s="408">
        <v>0.0</v>
      </c>
      <c r="AQ146" s="408">
        <v>0.0</v>
      </c>
      <c r="AR146" s="408">
        <v>0.0</v>
      </c>
      <c r="AS146" s="408">
        <v>0.0</v>
      </c>
      <c r="AT146" s="408">
        <v>0.0</v>
      </c>
      <c r="AU146" s="408">
        <v>0.0</v>
      </c>
      <c r="AV146" s="408">
        <v>0.0</v>
      </c>
      <c r="AW146" s="408">
        <v>0.0</v>
      </c>
      <c r="AX146" s="408">
        <v>0.0</v>
      </c>
      <c r="AY146" s="408">
        <v>0.0</v>
      </c>
      <c r="AZ146" s="408">
        <v>0.0</v>
      </c>
      <c r="BA146" s="408">
        <v>0.0</v>
      </c>
      <c r="BB146" s="408">
        <f>X$98</f>
        <v>214892.1901</v>
      </c>
      <c r="BC146" s="408">
        <v>0.0</v>
      </c>
      <c r="BD146" s="408">
        <v>0.0</v>
      </c>
      <c r="BE146" s="408">
        <v>0.0</v>
      </c>
      <c r="BF146" s="408">
        <v>0.0</v>
      </c>
      <c r="BG146" s="408">
        <v>0.0</v>
      </c>
      <c r="BH146" s="408">
        <v>0.0</v>
      </c>
      <c r="BI146" s="24"/>
      <c r="BJ146" s="24"/>
      <c r="BK146" s="24"/>
      <c r="BL146" s="405">
        <v>22.0</v>
      </c>
      <c r="BM146" s="408">
        <v>0.0</v>
      </c>
      <c r="BN146" s="408">
        <v>0.0</v>
      </c>
      <c r="BO146" s="408">
        <v>0.0</v>
      </c>
      <c r="BP146" s="408">
        <v>0.0</v>
      </c>
      <c r="BQ146" s="408">
        <v>0.0</v>
      </c>
      <c r="BR146" s="408">
        <v>0.0</v>
      </c>
      <c r="BS146" s="408">
        <v>0.0</v>
      </c>
      <c r="BT146" s="408">
        <v>0.0</v>
      </c>
      <c r="BU146" s="408">
        <v>0.0</v>
      </c>
      <c r="BV146" s="408">
        <v>0.0</v>
      </c>
      <c r="BW146" s="408">
        <v>0.0</v>
      </c>
      <c r="BX146" s="408">
        <v>0.0</v>
      </c>
      <c r="BY146" s="408">
        <v>0.0</v>
      </c>
      <c r="BZ146" s="408">
        <v>0.0</v>
      </c>
      <c r="CA146" s="408">
        <v>0.0</v>
      </c>
      <c r="CB146" s="408">
        <v>0.0</v>
      </c>
      <c r="CC146" s="408">
        <v>0.0</v>
      </c>
      <c r="CD146" s="408">
        <v>0.0</v>
      </c>
      <c r="CE146" s="408">
        <v>0.0</v>
      </c>
      <c r="CF146" s="408">
        <v>0.0</v>
      </c>
      <c r="CG146" s="408">
        <v>0.0</v>
      </c>
      <c r="CH146" s="408">
        <f>X$101</f>
        <v>0</v>
      </c>
      <c r="CI146" s="408">
        <v>0.0</v>
      </c>
      <c r="CJ146" s="408">
        <v>0.0</v>
      </c>
      <c r="CK146" s="408">
        <v>0.0</v>
      </c>
      <c r="CL146" s="408">
        <v>0.0</v>
      </c>
      <c r="CM146" s="408">
        <v>0.0</v>
      </c>
      <c r="CN146" s="408">
        <v>0.0</v>
      </c>
      <c r="CO146" s="34"/>
      <c r="CP146" s="34"/>
      <c r="CQ146" s="34"/>
      <c r="CR146" s="405">
        <v>22.0</v>
      </c>
      <c r="CS146" s="408">
        <v>0.0</v>
      </c>
      <c r="CT146" s="408">
        <v>0.0</v>
      </c>
      <c r="CU146" s="408">
        <v>0.0</v>
      </c>
      <c r="CV146" s="408">
        <v>0.0</v>
      </c>
      <c r="CW146" s="408">
        <v>0.0</v>
      </c>
      <c r="CX146" s="408">
        <v>0.0</v>
      </c>
      <c r="CY146" s="408">
        <v>0.0</v>
      </c>
      <c r="CZ146" s="408">
        <v>0.0</v>
      </c>
      <c r="DA146" s="408">
        <v>0.0</v>
      </c>
      <c r="DB146" s="408">
        <v>0.0</v>
      </c>
      <c r="DC146" s="408">
        <v>0.0</v>
      </c>
      <c r="DD146" s="408">
        <v>0.0</v>
      </c>
      <c r="DE146" s="408">
        <v>0.0</v>
      </c>
      <c r="DF146" s="408">
        <v>0.0</v>
      </c>
      <c r="DG146" s="408">
        <v>0.0</v>
      </c>
      <c r="DH146" s="408">
        <v>0.0</v>
      </c>
      <c r="DI146" s="408">
        <v>0.0</v>
      </c>
      <c r="DJ146" s="408">
        <v>0.0</v>
      </c>
      <c r="DK146" s="408">
        <v>0.0</v>
      </c>
      <c r="DL146" s="408">
        <v>0.0</v>
      </c>
      <c r="DM146" s="408">
        <v>0.0</v>
      </c>
      <c r="DN146" s="408">
        <f>X$102</f>
        <v>0</v>
      </c>
      <c r="DO146" s="408">
        <v>0.0</v>
      </c>
      <c r="DP146" s="408">
        <v>0.0</v>
      </c>
      <c r="DQ146" s="408">
        <v>0.0</v>
      </c>
      <c r="DR146" s="408">
        <v>0.0</v>
      </c>
      <c r="DS146" s="408">
        <v>0.0</v>
      </c>
      <c r="DT146" s="408">
        <v>0.0</v>
      </c>
      <c r="DU146" s="409"/>
    </row>
    <row r="147">
      <c r="B147" s="405">
        <v>23.0</v>
      </c>
      <c r="C147" s="407">
        <v>0.0</v>
      </c>
      <c r="D147" s="407">
        <v>0.0</v>
      </c>
      <c r="E147" s="407">
        <v>0.0</v>
      </c>
      <c r="F147" s="407">
        <v>0.0</v>
      </c>
      <c r="G147" s="407">
        <v>0.0</v>
      </c>
      <c r="H147" s="407">
        <v>0.0</v>
      </c>
      <c r="I147" s="407">
        <v>0.0</v>
      </c>
      <c r="J147" s="407">
        <v>0.0</v>
      </c>
      <c r="K147" s="407">
        <v>0.0</v>
      </c>
      <c r="L147" s="407">
        <v>0.0</v>
      </c>
      <c r="M147" s="407">
        <v>0.0</v>
      </c>
      <c r="N147" s="407">
        <v>0.0</v>
      </c>
      <c r="O147" s="407">
        <v>0.0</v>
      </c>
      <c r="P147" s="407">
        <v>0.0</v>
      </c>
      <c r="Q147" s="407">
        <v>0.0</v>
      </c>
      <c r="R147" s="407">
        <v>0.0</v>
      </c>
      <c r="S147" s="407">
        <v>0.0</v>
      </c>
      <c r="T147" s="407">
        <v>0.0</v>
      </c>
      <c r="U147" s="407">
        <v>0.0</v>
      </c>
      <c r="V147" s="407">
        <v>0.0</v>
      </c>
      <c r="W147" s="407">
        <v>0.0</v>
      </c>
      <c r="X147" s="407">
        <v>0.0</v>
      </c>
      <c r="Y147" s="407">
        <f>1/$AV83</f>
        <v>0.000001329344204</v>
      </c>
      <c r="Z147" s="407">
        <v>0.0</v>
      </c>
      <c r="AA147" s="407">
        <v>0.0</v>
      </c>
      <c r="AB147" s="407">
        <v>0.0</v>
      </c>
      <c r="AC147" s="407">
        <v>0.0</v>
      </c>
      <c r="AD147" s="407">
        <v>0.0</v>
      </c>
      <c r="AF147" s="405">
        <v>23.0</v>
      </c>
      <c r="AG147" s="408">
        <v>0.0</v>
      </c>
      <c r="AH147" s="408">
        <v>0.0</v>
      </c>
      <c r="AI147" s="408">
        <v>0.0</v>
      </c>
      <c r="AJ147" s="408">
        <v>0.0</v>
      </c>
      <c r="AK147" s="408">
        <v>0.0</v>
      </c>
      <c r="AL147" s="408">
        <v>0.0</v>
      </c>
      <c r="AM147" s="408">
        <v>0.0</v>
      </c>
      <c r="AN147" s="408">
        <v>0.0</v>
      </c>
      <c r="AO147" s="408">
        <v>0.0</v>
      </c>
      <c r="AP147" s="408">
        <v>0.0</v>
      </c>
      <c r="AQ147" s="408">
        <v>0.0</v>
      </c>
      <c r="AR147" s="408">
        <v>0.0</v>
      </c>
      <c r="AS147" s="408">
        <v>0.0</v>
      </c>
      <c r="AT147" s="408">
        <v>0.0</v>
      </c>
      <c r="AU147" s="408">
        <v>0.0</v>
      </c>
      <c r="AV147" s="408">
        <v>0.0</v>
      </c>
      <c r="AW147" s="408">
        <v>0.0</v>
      </c>
      <c r="AX147" s="408">
        <v>0.0</v>
      </c>
      <c r="AY147" s="408">
        <v>0.0</v>
      </c>
      <c r="AZ147" s="408">
        <v>0.0</v>
      </c>
      <c r="BA147" s="408">
        <v>0.0</v>
      </c>
      <c r="BB147" s="408">
        <v>0.0</v>
      </c>
      <c r="BC147" s="408">
        <f>Y$98</f>
        <v>499488.8534</v>
      </c>
      <c r="BD147" s="408">
        <v>0.0</v>
      </c>
      <c r="BE147" s="408">
        <v>0.0</v>
      </c>
      <c r="BF147" s="408">
        <v>0.0</v>
      </c>
      <c r="BG147" s="408">
        <v>0.0</v>
      </c>
      <c r="BH147" s="408">
        <v>0.0</v>
      </c>
      <c r="BI147" s="24"/>
      <c r="BJ147" s="24"/>
      <c r="BK147" s="24"/>
      <c r="BL147" s="405">
        <v>23.0</v>
      </c>
      <c r="BM147" s="408">
        <v>0.0</v>
      </c>
      <c r="BN147" s="408">
        <v>0.0</v>
      </c>
      <c r="BO147" s="408">
        <v>0.0</v>
      </c>
      <c r="BP147" s="408">
        <v>0.0</v>
      </c>
      <c r="BQ147" s="408">
        <v>0.0</v>
      </c>
      <c r="BR147" s="408">
        <v>0.0</v>
      </c>
      <c r="BS147" s="408">
        <v>0.0</v>
      </c>
      <c r="BT147" s="408">
        <v>0.0</v>
      </c>
      <c r="BU147" s="408">
        <v>0.0</v>
      </c>
      <c r="BV147" s="408">
        <v>0.0</v>
      </c>
      <c r="BW147" s="408">
        <v>0.0</v>
      </c>
      <c r="BX147" s="408">
        <v>0.0</v>
      </c>
      <c r="BY147" s="408">
        <v>0.0</v>
      </c>
      <c r="BZ147" s="408">
        <v>0.0</v>
      </c>
      <c r="CA147" s="408">
        <v>0.0</v>
      </c>
      <c r="CB147" s="408">
        <v>0.0</v>
      </c>
      <c r="CC147" s="408">
        <v>0.0</v>
      </c>
      <c r="CD147" s="408">
        <v>0.0</v>
      </c>
      <c r="CE147" s="408">
        <v>0.0</v>
      </c>
      <c r="CF147" s="408">
        <v>0.0</v>
      </c>
      <c r="CG147" s="408">
        <v>0.0</v>
      </c>
      <c r="CH147" s="408">
        <v>0.0</v>
      </c>
      <c r="CI147" s="408">
        <f>Y$101</f>
        <v>0</v>
      </c>
      <c r="CJ147" s="408">
        <v>0.0</v>
      </c>
      <c r="CK147" s="408">
        <v>0.0</v>
      </c>
      <c r="CL147" s="408">
        <v>0.0</v>
      </c>
      <c r="CM147" s="408">
        <v>0.0</v>
      </c>
      <c r="CN147" s="408">
        <v>0.0</v>
      </c>
      <c r="CO147" s="34"/>
      <c r="CP147" s="34"/>
      <c r="CQ147" s="34"/>
      <c r="CR147" s="405">
        <v>23.0</v>
      </c>
      <c r="CS147" s="408">
        <v>0.0</v>
      </c>
      <c r="CT147" s="408">
        <v>0.0</v>
      </c>
      <c r="CU147" s="408">
        <v>0.0</v>
      </c>
      <c r="CV147" s="408">
        <v>0.0</v>
      </c>
      <c r="CW147" s="408">
        <v>0.0</v>
      </c>
      <c r="CX147" s="408">
        <v>0.0</v>
      </c>
      <c r="CY147" s="408">
        <v>0.0</v>
      </c>
      <c r="CZ147" s="408">
        <v>0.0</v>
      </c>
      <c r="DA147" s="408">
        <v>0.0</v>
      </c>
      <c r="DB147" s="408">
        <v>0.0</v>
      </c>
      <c r="DC147" s="408">
        <v>0.0</v>
      </c>
      <c r="DD147" s="408">
        <v>0.0</v>
      </c>
      <c r="DE147" s="408">
        <v>0.0</v>
      </c>
      <c r="DF147" s="408">
        <v>0.0</v>
      </c>
      <c r="DG147" s="408">
        <v>0.0</v>
      </c>
      <c r="DH147" s="408">
        <v>0.0</v>
      </c>
      <c r="DI147" s="408">
        <v>0.0</v>
      </c>
      <c r="DJ147" s="408">
        <v>0.0</v>
      </c>
      <c r="DK147" s="408">
        <v>0.0</v>
      </c>
      <c r="DL147" s="408">
        <v>0.0</v>
      </c>
      <c r="DM147" s="408">
        <v>0.0</v>
      </c>
      <c r="DN147" s="408">
        <v>0.0</v>
      </c>
      <c r="DO147" s="408">
        <f>Y$102</f>
        <v>0</v>
      </c>
      <c r="DP147" s="408">
        <v>0.0</v>
      </c>
      <c r="DQ147" s="408">
        <v>0.0</v>
      </c>
      <c r="DR147" s="408">
        <v>0.0</v>
      </c>
      <c r="DS147" s="408">
        <v>0.0</v>
      </c>
      <c r="DT147" s="408">
        <v>0.0</v>
      </c>
      <c r="DU147" s="409"/>
    </row>
    <row r="148">
      <c r="B148" s="405">
        <v>24.0</v>
      </c>
      <c r="C148" s="407">
        <v>0.0</v>
      </c>
      <c r="D148" s="407">
        <v>0.0</v>
      </c>
      <c r="E148" s="407">
        <v>0.0</v>
      </c>
      <c r="F148" s="407">
        <v>0.0</v>
      </c>
      <c r="G148" s="407">
        <v>0.0</v>
      </c>
      <c r="H148" s="407">
        <v>0.0</v>
      </c>
      <c r="I148" s="407">
        <v>0.0</v>
      </c>
      <c r="J148" s="407">
        <v>0.0</v>
      </c>
      <c r="K148" s="407">
        <v>0.0</v>
      </c>
      <c r="L148" s="407">
        <v>0.0</v>
      </c>
      <c r="M148" s="407">
        <v>0.0</v>
      </c>
      <c r="N148" s="407">
        <v>0.0</v>
      </c>
      <c r="O148" s="407">
        <v>0.0</v>
      </c>
      <c r="P148" s="407">
        <v>0.0</v>
      </c>
      <c r="Q148" s="407">
        <v>0.0</v>
      </c>
      <c r="R148" s="407">
        <v>0.0</v>
      </c>
      <c r="S148" s="407">
        <v>0.0</v>
      </c>
      <c r="T148" s="407">
        <v>0.0</v>
      </c>
      <c r="U148" s="407">
        <v>0.0</v>
      </c>
      <c r="V148" s="407">
        <v>0.0</v>
      </c>
      <c r="W148" s="407">
        <v>0.0</v>
      </c>
      <c r="X148" s="407">
        <v>0.0</v>
      </c>
      <c r="Y148" s="407">
        <v>0.0</v>
      </c>
      <c r="Z148" s="407">
        <f>1/$AV84</f>
        <v>0.00000003678787485</v>
      </c>
      <c r="AA148" s="407">
        <v>0.0</v>
      </c>
      <c r="AB148" s="407">
        <v>0.0</v>
      </c>
      <c r="AC148" s="407">
        <v>0.0</v>
      </c>
      <c r="AD148" s="407">
        <v>0.0</v>
      </c>
      <c r="AF148" s="405">
        <v>24.0</v>
      </c>
      <c r="AG148" s="408">
        <v>0.0</v>
      </c>
      <c r="AH148" s="408">
        <v>0.0</v>
      </c>
      <c r="AI148" s="408">
        <v>0.0</v>
      </c>
      <c r="AJ148" s="408">
        <v>0.0</v>
      </c>
      <c r="AK148" s="408">
        <v>0.0</v>
      </c>
      <c r="AL148" s="408">
        <v>0.0</v>
      </c>
      <c r="AM148" s="408">
        <v>0.0</v>
      </c>
      <c r="AN148" s="408">
        <v>0.0</v>
      </c>
      <c r="AO148" s="408">
        <v>0.0</v>
      </c>
      <c r="AP148" s="408">
        <v>0.0</v>
      </c>
      <c r="AQ148" s="408">
        <v>0.0</v>
      </c>
      <c r="AR148" s="408">
        <v>0.0</v>
      </c>
      <c r="AS148" s="408">
        <v>0.0</v>
      </c>
      <c r="AT148" s="408">
        <v>0.0</v>
      </c>
      <c r="AU148" s="408">
        <v>0.0</v>
      </c>
      <c r="AV148" s="408">
        <v>0.0</v>
      </c>
      <c r="AW148" s="408">
        <v>0.0</v>
      </c>
      <c r="AX148" s="408">
        <v>0.0</v>
      </c>
      <c r="AY148" s="408">
        <v>0.0</v>
      </c>
      <c r="AZ148" s="408">
        <v>0.0</v>
      </c>
      <c r="BA148" s="408">
        <v>0.0</v>
      </c>
      <c r="BB148" s="408">
        <v>0.0</v>
      </c>
      <c r="BC148" s="408">
        <v>0.0</v>
      </c>
      <c r="BD148" s="408">
        <f>Z$98</f>
        <v>604923.1474</v>
      </c>
      <c r="BE148" s="408">
        <v>0.0</v>
      </c>
      <c r="BF148" s="408">
        <v>0.0</v>
      </c>
      <c r="BG148" s="408">
        <v>0.0</v>
      </c>
      <c r="BH148" s="408">
        <v>0.0</v>
      </c>
      <c r="BI148" s="24"/>
      <c r="BJ148" s="24"/>
      <c r="BK148" s="24"/>
      <c r="BL148" s="405">
        <v>24.0</v>
      </c>
      <c r="BM148" s="408">
        <v>0.0</v>
      </c>
      <c r="BN148" s="408">
        <v>0.0</v>
      </c>
      <c r="BO148" s="408">
        <v>0.0</v>
      </c>
      <c r="BP148" s="408">
        <v>0.0</v>
      </c>
      <c r="BQ148" s="408">
        <v>0.0</v>
      </c>
      <c r="BR148" s="408">
        <v>0.0</v>
      </c>
      <c r="BS148" s="408">
        <v>0.0</v>
      </c>
      <c r="BT148" s="408">
        <v>0.0</v>
      </c>
      <c r="BU148" s="408">
        <v>0.0</v>
      </c>
      <c r="BV148" s="408">
        <v>0.0</v>
      </c>
      <c r="BW148" s="408">
        <v>0.0</v>
      </c>
      <c r="BX148" s="408">
        <v>0.0</v>
      </c>
      <c r="BY148" s="408">
        <v>0.0</v>
      </c>
      <c r="BZ148" s="408">
        <v>0.0</v>
      </c>
      <c r="CA148" s="408">
        <v>0.0</v>
      </c>
      <c r="CB148" s="408">
        <v>0.0</v>
      </c>
      <c r="CC148" s="408">
        <v>0.0</v>
      </c>
      <c r="CD148" s="408">
        <v>0.0</v>
      </c>
      <c r="CE148" s="408">
        <v>0.0</v>
      </c>
      <c r="CF148" s="408">
        <v>0.0</v>
      </c>
      <c r="CG148" s="408">
        <v>0.0</v>
      </c>
      <c r="CH148" s="408">
        <v>0.0</v>
      </c>
      <c r="CI148" s="408">
        <v>0.0</v>
      </c>
      <c r="CJ148" s="408">
        <f>Z$108</f>
        <v>0</v>
      </c>
      <c r="CK148" s="408">
        <v>0.0</v>
      </c>
      <c r="CL148" s="408">
        <v>0.0</v>
      </c>
      <c r="CM148" s="408">
        <v>0.0</v>
      </c>
      <c r="CN148" s="408">
        <v>0.0</v>
      </c>
      <c r="CO148" s="34"/>
      <c r="CP148" s="34"/>
      <c r="CQ148" s="34"/>
      <c r="CR148" s="405">
        <v>24.0</v>
      </c>
      <c r="CS148" s="408">
        <v>0.0</v>
      </c>
      <c r="CT148" s="408">
        <v>0.0</v>
      </c>
      <c r="CU148" s="408">
        <v>0.0</v>
      </c>
      <c r="CV148" s="408">
        <v>0.0</v>
      </c>
      <c r="CW148" s="408">
        <v>0.0</v>
      </c>
      <c r="CX148" s="408">
        <v>0.0</v>
      </c>
      <c r="CY148" s="408">
        <v>0.0</v>
      </c>
      <c r="CZ148" s="408">
        <v>0.0</v>
      </c>
      <c r="DA148" s="408">
        <v>0.0</v>
      </c>
      <c r="DB148" s="408">
        <v>0.0</v>
      </c>
      <c r="DC148" s="408">
        <v>0.0</v>
      </c>
      <c r="DD148" s="408">
        <v>0.0</v>
      </c>
      <c r="DE148" s="408">
        <v>0.0</v>
      </c>
      <c r="DF148" s="408">
        <v>0.0</v>
      </c>
      <c r="DG148" s="408">
        <v>0.0</v>
      </c>
      <c r="DH148" s="408">
        <v>0.0</v>
      </c>
      <c r="DI148" s="408">
        <v>0.0</v>
      </c>
      <c r="DJ148" s="408">
        <v>0.0</v>
      </c>
      <c r="DK148" s="408">
        <v>0.0</v>
      </c>
      <c r="DL148" s="408">
        <v>0.0</v>
      </c>
      <c r="DM148" s="408">
        <v>0.0</v>
      </c>
      <c r="DN148" s="408">
        <v>0.0</v>
      </c>
      <c r="DO148" s="408">
        <v>0.0</v>
      </c>
      <c r="DP148" s="408">
        <f>Z$102</f>
        <v>0</v>
      </c>
      <c r="DQ148" s="408">
        <v>0.0</v>
      </c>
      <c r="DR148" s="408">
        <v>0.0</v>
      </c>
      <c r="DS148" s="408">
        <v>0.0</v>
      </c>
      <c r="DT148" s="408">
        <v>0.0</v>
      </c>
      <c r="DU148" s="409"/>
    </row>
    <row r="149">
      <c r="B149" s="405">
        <v>25.0</v>
      </c>
      <c r="C149" s="407">
        <v>0.0</v>
      </c>
      <c r="D149" s="407">
        <v>0.0</v>
      </c>
      <c r="E149" s="407">
        <v>0.0</v>
      </c>
      <c r="F149" s="407">
        <v>0.0</v>
      </c>
      <c r="G149" s="407">
        <v>0.0</v>
      </c>
      <c r="H149" s="407">
        <v>0.0</v>
      </c>
      <c r="I149" s="407">
        <v>0.0</v>
      </c>
      <c r="J149" s="407">
        <v>0.0</v>
      </c>
      <c r="K149" s="407">
        <v>0.0</v>
      </c>
      <c r="L149" s="407">
        <v>0.0</v>
      </c>
      <c r="M149" s="407">
        <v>0.0</v>
      </c>
      <c r="N149" s="407">
        <v>0.0</v>
      </c>
      <c r="O149" s="407">
        <v>0.0</v>
      </c>
      <c r="P149" s="407">
        <v>0.0</v>
      </c>
      <c r="Q149" s="407">
        <v>0.0</v>
      </c>
      <c r="R149" s="407">
        <v>0.0</v>
      </c>
      <c r="S149" s="407">
        <v>0.0</v>
      </c>
      <c r="T149" s="407">
        <v>0.0</v>
      </c>
      <c r="U149" s="407">
        <v>0.0</v>
      </c>
      <c r="V149" s="407">
        <v>0.0</v>
      </c>
      <c r="W149" s="407">
        <v>0.0</v>
      </c>
      <c r="X149" s="407">
        <v>0.0</v>
      </c>
      <c r="Y149" s="407">
        <v>0.0</v>
      </c>
      <c r="Z149" s="407">
        <v>0.0</v>
      </c>
      <c r="AA149" s="407">
        <f>1/$AV85</f>
        <v>0.00000001803378643</v>
      </c>
      <c r="AB149" s="407">
        <v>0.0</v>
      </c>
      <c r="AC149" s="407">
        <v>0.0</v>
      </c>
      <c r="AD149" s="407">
        <v>0.0</v>
      </c>
      <c r="AF149" s="405">
        <v>25.0</v>
      </c>
      <c r="AG149" s="408">
        <v>0.0</v>
      </c>
      <c r="AH149" s="408">
        <v>0.0</v>
      </c>
      <c r="AI149" s="408">
        <v>0.0</v>
      </c>
      <c r="AJ149" s="408">
        <v>0.0</v>
      </c>
      <c r="AK149" s="408">
        <v>0.0</v>
      </c>
      <c r="AL149" s="408">
        <v>0.0</v>
      </c>
      <c r="AM149" s="408">
        <v>0.0</v>
      </c>
      <c r="AN149" s="408">
        <v>0.0</v>
      </c>
      <c r="AO149" s="408">
        <v>0.0</v>
      </c>
      <c r="AP149" s="408">
        <v>0.0</v>
      </c>
      <c r="AQ149" s="408">
        <v>0.0</v>
      </c>
      <c r="AR149" s="408">
        <v>0.0</v>
      </c>
      <c r="AS149" s="408">
        <v>0.0</v>
      </c>
      <c r="AT149" s="408">
        <v>0.0</v>
      </c>
      <c r="AU149" s="408">
        <v>0.0</v>
      </c>
      <c r="AV149" s="408">
        <v>0.0</v>
      </c>
      <c r="AW149" s="408">
        <v>0.0</v>
      </c>
      <c r="AX149" s="408">
        <v>0.0</v>
      </c>
      <c r="AY149" s="408">
        <v>0.0</v>
      </c>
      <c r="AZ149" s="408">
        <v>0.0</v>
      </c>
      <c r="BA149" s="408">
        <v>0.0</v>
      </c>
      <c r="BB149" s="408">
        <v>0.0</v>
      </c>
      <c r="BC149" s="408">
        <v>0.0</v>
      </c>
      <c r="BD149" s="408">
        <v>0.0</v>
      </c>
      <c r="BE149" s="408">
        <f>AA$98</f>
        <v>31191.67458</v>
      </c>
      <c r="BF149" s="408">
        <v>0.0</v>
      </c>
      <c r="BG149" s="408">
        <v>0.0</v>
      </c>
      <c r="BH149" s="408">
        <v>0.0</v>
      </c>
      <c r="BI149" s="24"/>
      <c r="BJ149" s="24"/>
      <c r="BK149" s="24"/>
      <c r="BL149" s="405">
        <v>25.0</v>
      </c>
      <c r="BM149" s="408">
        <v>0.0</v>
      </c>
      <c r="BN149" s="408">
        <v>0.0</v>
      </c>
      <c r="BO149" s="408">
        <v>0.0</v>
      </c>
      <c r="BP149" s="408">
        <v>0.0</v>
      </c>
      <c r="BQ149" s="408">
        <v>0.0</v>
      </c>
      <c r="BR149" s="408">
        <v>0.0</v>
      </c>
      <c r="BS149" s="408">
        <v>0.0</v>
      </c>
      <c r="BT149" s="408">
        <v>0.0</v>
      </c>
      <c r="BU149" s="408">
        <v>0.0</v>
      </c>
      <c r="BV149" s="408">
        <v>0.0</v>
      </c>
      <c r="BW149" s="408">
        <v>0.0</v>
      </c>
      <c r="BX149" s="408">
        <v>0.0</v>
      </c>
      <c r="BY149" s="408">
        <v>0.0</v>
      </c>
      <c r="BZ149" s="408">
        <v>0.0</v>
      </c>
      <c r="CA149" s="408">
        <v>0.0</v>
      </c>
      <c r="CB149" s="408">
        <v>0.0</v>
      </c>
      <c r="CC149" s="408">
        <v>0.0</v>
      </c>
      <c r="CD149" s="408">
        <v>0.0</v>
      </c>
      <c r="CE149" s="408">
        <v>0.0</v>
      </c>
      <c r="CF149" s="408">
        <v>0.0</v>
      </c>
      <c r="CG149" s="408">
        <v>0.0</v>
      </c>
      <c r="CH149" s="408">
        <v>0.0</v>
      </c>
      <c r="CI149" s="408">
        <v>0.0</v>
      </c>
      <c r="CJ149" s="408">
        <v>0.0</v>
      </c>
      <c r="CK149" s="408">
        <f>AA$101</f>
        <v>0</v>
      </c>
      <c r="CL149" s="408">
        <v>0.0</v>
      </c>
      <c r="CM149" s="408">
        <v>0.0</v>
      </c>
      <c r="CN149" s="408">
        <v>0.0</v>
      </c>
      <c r="CO149" s="34"/>
      <c r="CP149" s="34"/>
      <c r="CQ149" s="34"/>
      <c r="CR149" s="405">
        <v>25.0</v>
      </c>
      <c r="CS149" s="408">
        <v>0.0</v>
      </c>
      <c r="CT149" s="408">
        <v>0.0</v>
      </c>
      <c r="CU149" s="408">
        <v>0.0</v>
      </c>
      <c r="CV149" s="408">
        <v>0.0</v>
      </c>
      <c r="CW149" s="408">
        <v>0.0</v>
      </c>
      <c r="CX149" s="408">
        <v>0.0</v>
      </c>
      <c r="CY149" s="408">
        <v>0.0</v>
      </c>
      <c r="CZ149" s="408">
        <v>0.0</v>
      </c>
      <c r="DA149" s="408">
        <v>0.0</v>
      </c>
      <c r="DB149" s="408">
        <v>0.0</v>
      </c>
      <c r="DC149" s="408">
        <v>0.0</v>
      </c>
      <c r="DD149" s="408">
        <v>0.0</v>
      </c>
      <c r="DE149" s="408">
        <v>0.0</v>
      </c>
      <c r="DF149" s="408">
        <v>0.0</v>
      </c>
      <c r="DG149" s="408">
        <v>0.0</v>
      </c>
      <c r="DH149" s="408">
        <v>0.0</v>
      </c>
      <c r="DI149" s="408">
        <v>0.0</v>
      </c>
      <c r="DJ149" s="408">
        <v>0.0</v>
      </c>
      <c r="DK149" s="408">
        <v>0.0</v>
      </c>
      <c r="DL149" s="408">
        <v>0.0</v>
      </c>
      <c r="DM149" s="408">
        <v>0.0</v>
      </c>
      <c r="DN149" s="408">
        <v>0.0</v>
      </c>
      <c r="DO149" s="408">
        <v>0.0</v>
      </c>
      <c r="DP149" s="408">
        <v>0.0</v>
      </c>
      <c r="DQ149" s="408">
        <f>AA$102</f>
        <v>0</v>
      </c>
      <c r="DR149" s="408">
        <v>0.0</v>
      </c>
      <c r="DS149" s="408">
        <v>0.0</v>
      </c>
      <c r="DT149" s="408">
        <v>0.0</v>
      </c>
      <c r="DU149" s="409"/>
    </row>
    <row r="150">
      <c r="B150" s="405">
        <v>26.0</v>
      </c>
      <c r="C150" s="407">
        <v>0.0</v>
      </c>
      <c r="D150" s="407">
        <v>0.0</v>
      </c>
      <c r="E150" s="407">
        <v>0.0</v>
      </c>
      <c r="F150" s="407">
        <v>0.0</v>
      </c>
      <c r="G150" s="407">
        <v>0.0</v>
      </c>
      <c r="H150" s="407">
        <v>0.0</v>
      </c>
      <c r="I150" s="407">
        <v>0.0</v>
      </c>
      <c r="J150" s="407">
        <v>0.0</v>
      </c>
      <c r="K150" s="407">
        <v>0.0</v>
      </c>
      <c r="L150" s="407">
        <v>0.0</v>
      </c>
      <c r="M150" s="407">
        <v>0.0</v>
      </c>
      <c r="N150" s="407">
        <v>0.0</v>
      </c>
      <c r="O150" s="407">
        <v>0.0</v>
      </c>
      <c r="P150" s="407">
        <v>0.0</v>
      </c>
      <c r="Q150" s="407">
        <v>0.0</v>
      </c>
      <c r="R150" s="407">
        <v>0.0</v>
      </c>
      <c r="S150" s="407">
        <v>0.0</v>
      </c>
      <c r="T150" s="407">
        <v>0.0</v>
      </c>
      <c r="U150" s="407">
        <v>0.0</v>
      </c>
      <c r="V150" s="407">
        <v>0.0</v>
      </c>
      <c r="W150" s="407">
        <v>0.0</v>
      </c>
      <c r="X150" s="407">
        <v>0.0</v>
      </c>
      <c r="Y150" s="407">
        <v>0.0</v>
      </c>
      <c r="Z150" s="407">
        <v>0.0</v>
      </c>
      <c r="AA150" s="407">
        <v>0.0</v>
      </c>
      <c r="AB150" s="407">
        <f>1/$AV86</f>
        <v>0.000003006856005</v>
      </c>
      <c r="AC150" s="407">
        <v>0.0</v>
      </c>
      <c r="AD150" s="407">
        <v>0.0</v>
      </c>
      <c r="AF150" s="405">
        <v>26.0</v>
      </c>
      <c r="AG150" s="408">
        <v>0.0</v>
      </c>
      <c r="AH150" s="408">
        <v>0.0</v>
      </c>
      <c r="AI150" s="408">
        <v>0.0</v>
      </c>
      <c r="AJ150" s="408">
        <v>0.0</v>
      </c>
      <c r="AK150" s="408">
        <v>0.0</v>
      </c>
      <c r="AL150" s="408">
        <v>0.0</v>
      </c>
      <c r="AM150" s="408">
        <v>0.0</v>
      </c>
      <c r="AN150" s="408">
        <v>0.0</v>
      </c>
      <c r="AO150" s="408">
        <v>0.0</v>
      </c>
      <c r="AP150" s="408">
        <v>0.0</v>
      </c>
      <c r="AQ150" s="408">
        <v>0.0</v>
      </c>
      <c r="AR150" s="408">
        <v>0.0</v>
      </c>
      <c r="AS150" s="408">
        <v>0.0</v>
      </c>
      <c r="AT150" s="408">
        <v>0.0</v>
      </c>
      <c r="AU150" s="408">
        <v>0.0</v>
      </c>
      <c r="AV150" s="408">
        <v>0.0</v>
      </c>
      <c r="AW150" s="408">
        <v>0.0</v>
      </c>
      <c r="AX150" s="408">
        <v>0.0</v>
      </c>
      <c r="AY150" s="408">
        <v>0.0</v>
      </c>
      <c r="AZ150" s="408">
        <v>0.0</v>
      </c>
      <c r="BA150" s="408">
        <v>0.0</v>
      </c>
      <c r="BB150" s="408">
        <v>0.0</v>
      </c>
      <c r="BC150" s="408">
        <v>0.0</v>
      </c>
      <c r="BD150" s="408">
        <v>0.0</v>
      </c>
      <c r="BE150" s="408">
        <v>0.0</v>
      </c>
      <c r="BF150" s="408">
        <f>AB$98</f>
        <v>2923951.981</v>
      </c>
      <c r="BG150" s="408">
        <v>0.0</v>
      </c>
      <c r="BH150" s="408">
        <v>0.0</v>
      </c>
      <c r="BI150" s="24"/>
      <c r="BJ150" s="24"/>
      <c r="BK150" s="24"/>
      <c r="BL150" s="405">
        <v>26.0</v>
      </c>
      <c r="BM150" s="408">
        <v>0.0</v>
      </c>
      <c r="BN150" s="408">
        <v>0.0</v>
      </c>
      <c r="BO150" s="408">
        <v>0.0</v>
      </c>
      <c r="BP150" s="408">
        <v>0.0</v>
      </c>
      <c r="BQ150" s="408">
        <v>0.0</v>
      </c>
      <c r="BR150" s="408">
        <v>0.0</v>
      </c>
      <c r="BS150" s="408">
        <v>0.0</v>
      </c>
      <c r="BT150" s="408">
        <v>0.0</v>
      </c>
      <c r="BU150" s="408">
        <v>0.0</v>
      </c>
      <c r="BV150" s="408">
        <v>0.0</v>
      </c>
      <c r="BW150" s="408">
        <v>0.0</v>
      </c>
      <c r="BX150" s="408">
        <v>0.0</v>
      </c>
      <c r="BY150" s="408">
        <v>0.0</v>
      </c>
      <c r="BZ150" s="408">
        <v>0.0</v>
      </c>
      <c r="CA150" s="408">
        <v>0.0</v>
      </c>
      <c r="CB150" s="408">
        <v>0.0</v>
      </c>
      <c r="CC150" s="408">
        <v>0.0</v>
      </c>
      <c r="CD150" s="408">
        <v>0.0</v>
      </c>
      <c r="CE150" s="408">
        <v>0.0</v>
      </c>
      <c r="CF150" s="408">
        <v>0.0</v>
      </c>
      <c r="CG150" s="408">
        <v>0.0</v>
      </c>
      <c r="CH150" s="408">
        <v>0.0</v>
      </c>
      <c r="CI150" s="408">
        <v>0.0</v>
      </c>
      <c r="CJ150" s="408">
        <v>0.0</v>
      </c>
      <c r="CK150" s="408">
        <v>0.0</v>
      </c>
      <c r="CL150" s="408">
        <f>AB$101</f>
        <v>0</v>
      </c>
      <c r="CM150" s="408">
        <v>0.0</v>
      </c>
      <c r="CN150" s="408">
        <v>0.0</v>
      </c>
      <c r="CO150" s="34"/>
      <c r="CP150" s="34"/>
      <c r="CQ150" s="34"/>
      <c r="CR150" s="405">
        <v>26.0</v>
      </c>
      <c r="CS150" s="408">
        <v>0.0</v>
      </c>
      <c r="CT150" s="408">
        <v>0.0</v>
      </c>
      <c r="CU150" s="408">
        <v>0.0</v>
      </c>
      <c r="CV150" s="408">
        <v>0.0</v>
      </c>
      <c r="CW150" s="408">
        <v>0.0</v>
      </c>
      <c r="CX150" s="408">
        <v>0.0</v>
      </c>
      <c r="CY150" s="408">
        <v>0.0</v>
      </c>
      <c r="CZ150" s="408">
        <v>0.0</v>
      </c>
      <c r="DA150" s="408">
        <v>0.0</v>
      </c>
      <c r="DB150" s="408">
        <v>0.0</v>
      </c>
      <c r="DC150" s="408">
        <v>0.0</v>
      </c>
      <c r="DD150" s="408">
        <v>0.0</v>
      </c>
      <c r="DE150" s="408">
        <v>0.0</v>
      </c>
      <c r="DF150" s="408">
        <v>0.0</v>
      </c>
      <c r="DG150" s="408">
        <v>0.0</v>
      </c>
      <c r="DH150" s="408">
        <v>0.0</v>
      </c>
      <c r="DI150" s="408">
        <v>0.0</v>
      </c>
      <c r="DJ150" s="408">
        <v>0.0</v>
      </c>
      <c r="DK150" s="408">
        <v>0.0</v>
      </c>
      <c r="DL150" s="408">
        <v>0.0</v>
      </c>
      <c r="DM150" s="408">
        <v>0.0</v>
      </c>
      <c r="DN150" s="408">
        <v>0.0</v>
      </c>
      <c r="DO150" s="408">
        <v>0.0</v>
      </c>
      <c r="DP150" s="408">
        <v>0.0</v>
      </c>
      <c r="DQ150" s="408">
        <v>0.0</v>
      </c>
      <c r="DR150" s="408">
        <f>AB$102</f>
        <v>0</v>
      </c>
      <c r="DS150" s="408">
        <v>0.0</v>
      </c>
      <c r="DT150" s="408">
        <v>0.0</v>
      </c>
      <c r="DU150" s="409"/>
    </row>
    <row r="151">
      <c r="B151" s="405">
        <v>27.0</v>
      </c>
      <c r="C151" s="407">
        <v>0.0</v>
      </c>
      <c r="D151" s="407">
        <v>0.0</v>
      </c>
      <c r="E151" s="407">
        <v>0.0</v>
      </c>
      <c r="F151" s="407">
        <v>0.0</v>
      </c>
      <c r="G151" s="407">
        <v>0.0</v>
      </c>
      <c r="H151" s="407">
        <v>0.0</v>
      </c>
      <c r="I151" s="407">
        <v>0.0</v>
      </c>
      <c r="J151" s="407">
        <v>0.0</v>
      </c>
      <c r="K151" s="407">
        <v>0.0</v>
      </c>
      <c r="L151" s="407">
        <v>0.0</v>
      </c>
      <c r="M151" s="407">
        <v>0.0</v>
      </c>
      <c r="N151" s="407">
        <v>0.0</v>
      </c>
      <c r="O151" s="407">
        <v>0.0</v>
      </c>
      <c r="P151" s="407">
        <v>0.0</v>
      </c>
      <c r="Q151" s="407">
        <v>0.0</v>
      </c>
      <c r="R151" s="407">
        <v>0.0</v>
      </c>
      <c r="S151" s="407">
        <v>0.0</v>
      </c>
      <c r="T151" s="407">
        <v>0.0</v>
      </c>
      <c r="U151" s="407">
        <v>0.0</v>
      </c>
      <c r="V151" s="407">
        <v>0.0</v>
      </c>
      <c r="W151" s="407">
        <v>0.0</v>
      </c>
      <c r="X151" s="407">
        <v>0.0</v>
      </c>
      <c r="Y151" s="407">
        <v>0.0</v>
      </c>
      <c r="Z151" s="407">
        <v>0.0</v>
      </c>
      <c r="AA151" s="407">
        <v>0.0</v>
      </c>
      <c r="AB151" s="407">
        <v>0.0</v>
      </c>
      <c r="AC151" s="407">
        <f>1/$AV87</f>
        <v>0.000004178395473</v>
      </c>
      <c r="AD151" s="407">
        <v>0.0</v>
      </c>
      <c r="AF151" s="405">
        <v>27.0</v>
      </c>
      <c r="AG151" s="408">
        <v>0.0</v>
      </c>
      <c r="AH151" s="408">
        <v>0.0</v>
      </c>
      <c r="AI151" s="408">
        <v>0.0</v>
      </c>
      <c r="AJ151" s="408">
        <v>0.0</v>
      </c>
      <c r="AK151" s="408">
        <v>0.0</v>
      </c>
      <c r="AL151" s="408">
        <v>0.0</v>
      </c>
      <c r="AM151" s="408">
        <v>0.0</v>
      </c>
      <c r="AN151" s="408">
        <v>0.0</v>
      </c>
      <c r="AO151" s="408">
        <v>0.0</v>
      </c>
      <c r="AP151" s="408">
        <v>0.0</v>
      </c>
      <c r="AQ151" s="408">
        <v>0.0</v>
      </c>
      <c r="AR151" s="408">
        <v>0.0</v>
      </c>
      <c r="AS151" s="408">
        <v>0.0</v>
      </c>
      <c r="AT151" s="408">
        <v>0.0</v>
      </c>
      <c r="AU151" s="408">
        <v>0.0</v>
      </c>
      <c r="AV151" s="408">
        <v>0.0</v>
      </c>
      <c r="AW151" s="408">
        <v>0.0</v>
      </c>
      <c r="AX151" s="408">
        <v>0.0</v>
      </c>
      <c r="AY151" s="408">
        <v>0.0</v>
      </c>
      <c r="AZ151" s="408">
        <v>0.0</v>
      </c>
      <c r="BA151" s="408">
        <v>0.0</v>
      </c>
      <c r="BB151" s="408">
        <v>0.0</v>
      </c>
      <c r="BC151" s="408">
        <v>0.0</v>
      </c>
      <c r="BD151" s="408">
        <v>0.0</v>
      </c>
      <c r="BE151" s="408">
        <v>0.0</v>
      </c>
      <c r="BF151" s="408">
        <v>0.0</v>
      </c>
      <c r="BG151" s="408">
        <f>AC$98</f>
        <v>100423.988</v>
      </c>
      <c r="BH151" s="408">
        <v>0.0</v>
      </c>
      <c r="BI151" s="24"/>
      <c r="BJ151" s="24"/>
      <c r="BK151" s="24"/>
      <c r="BL151" s="405">
        <v>27.0</v>
      </c>
      <c r="BM151" s="408">
        <v>0.0</v>
      </c>
      <c r="BN151" s="408">
        <v>0.0</v>
      </c>
      <c r="BO151" s="408">
        <v>0.0</v>
      </c>
      <c r="BP151" s="408">
        <v>0.0</v>
      </c>
      <c r="BQ151" s="408">
        <v>0.0</v>
      </c>
      <c r="BR151" s="408">
        <v>0.0</v>
      </c>
      <c r="BS151" s="408">
        <v>0.0</v>
      </c>
      <c r="BT151" s="408">
        <v>0.0</v>
      </c>
      <c r="BU151" s="408">
        <v>0.0</v>
      </c>
      <c r="BV151" s="408">
        <v>0.0</v>
      </c>
      <c r="BW151" s="408">
        <v>0.0</v>
      </c>
      <c r="BX151" s="408">
        <v>0.0</v>
      </c>
      <c r="BY151" s="408">
        <v>0.0</v>
      </c>
      <c r="BZ151" s="408">
        <v>0.0</v>
      </c>
      <c r="CA151" s="408">
        <v>0.0</v>
      </c>
      <c r="CB151" s="408">
        <v>0.0</v>
      </c>
      <c r="CC151" s="408">
        <v>0.0</v>
      </c>
      <c r="CD151" s="408">
        <v>0.0</v>
      </c>
      <c r="CE151" s="408">
        <v>0.0</v>
      </c>
      <c r="CF151" s="408">
        <v>0.0</v>
      </c>
      <c r="CG151" s="408">
        <v>0.0</v>
      </c>
      <c r="CH151" s="408">
        <v>0.0</v>
      </c>
      <c r="CI151" s="408">
        <v>0.0</v>
      </c>
      <c r="CJ151" s="408">
        <v>0.0</v>
      </c>
      <c r="CK151" s="408">
        <v>0.0</v>
      </c>
      <c r="CL151" s="408">
        <v>0.0</v>
      </c>
      <c r="CM151" s="408">
        <f>AC$101</f>
        <v>0</v>
      </c>
      <c r="CN151" s="408">
        <v>0.0</v>
      </c>
      <c r="CO151" s="34"/>
      <c r="CP151" s="34"/>
      <c r="CQ151" s="34"/>
      <c r="CR151" s="405">
        <v>27.0</v>
      </c>
      <c r="CS151" s="408">
        <v>0.0</v>
      </c>
      <c r="CT151" s="408">
        <v>0.0</v>
      </c>
      <c r="CU151" s="408">
        <v>0.0</v>
      </c>
      <c r="CV151" s="408">
        <v>0.0</v>
      </c>
      <c r="CW151" s="408">
        <v>0.0</v>
      </c>
      <c r="CX151" s="408">
        <v>0.0</v>
      </c>
      <c r="CY151" s="408">
        <v>0.0</v>
      </c>
      <c r="CZ151" s="408">
        <v>0.0</v>
      </c>
      <c r="DA151" s="408">
        <v>0.0</v>
      </c>
      <c r="DB151" s="408">
        <v>0.0</v>
      </c>
      <c r="DC151" s="408">
        <v>0.0</v>
      </c>
      <c r="DD151" s="408">
        <v>0.0</v>
      </c>
      <c r="DE151" s="408">
        <v>0.0</v>
      </c>
      <c r="DF151" s="408">
        <v>0.0</v>
      </c>
      <c r="DG151" s="408">
        <v>0.0</v>
      </c>
      <c r="DH151" s="408">
        <v>0.0</v>
      </c>
      <c r="DI151" s="408">
        <v>0.0</v>
      </c>
      <c r="DJ151" s="408">
        <v>0.0</v>
      </c>
      <c r="DK151" s="408">
        <v>0.0</v>
      </c>
      <c r="DL151" s="408">
        <v>0.0</v>
      </c>
      <c r="DM151" s="408">
        <v>0.0</v>
      </c>
      <c r="DN151" s="408">
        <v>0.0</v>
      </c>
      <c r="DO151" s="408">
        <v>0.0</v>
      </c>
      <c r="DP151" s="408">
        <v>0.0</v>
      </c>
      <c r="DQ151" s="408">
        <v>0.0</v>
      </c>
      <c r="DR151" s="408">
        <v>0.0</v>
      </c>
      <c r="DS151" s="408">
        <f>AC$102</f>
        <v>0</v>
      </c>
      <c r="DT151" s="408">
        <v>0.0</v>
      </c>
      <c r="DU151" s="409"/>
    </row>
    <row r="152">
      <c r="B152" s="405">
        <v>28.0</v>
      </c>
      <c r="C152" s="407">
        <v>0.0</v>
      </c>
      <c r="D152" s="407">
        <v>0.0</v>
      </c>
      <c r="E152" s="407">
        <v>0.0</v>
      </c>
      <c r="F152" s="407">
        <v>0.0</v>
      </c>
      <c r="G152" s="407">
        <v>0.0</v>
      </c>
      <c r="H152" s="407">
        <v>0.0</v>
      </c>
      <c r="I152" s="407">
        <v>0.0</v>
      </c>
      <c r="J152" s="407">
        <v>0.0</v>
      </c>
      <c r="K152" s="407">
        <v>0.0</v>
      </c>
      <c r="L152" s="407">
        <v>0.0</v>
      </c>
      <c r="M152" s="407">
        <v>0.0</v>
      </c>
      <c r="N152" s="407">
        <v>0.0</v>
      </c>
      <c r="O152" s="407">
        <v>0.0</v>
      </c>
      <c r="P152" s="407">
        <v>0.0</v>
      </c>
      <c r="Q152" s="407">
        <v>0.0</v>
      </c>
      <c r="R152" s="407">
        <v>0.0</v>
      </c>
      <c r="S152" s="407">
        <v>0.0</v>
      </c>
      <c r="T152" s="407">
        <v>0.0</v>
      </c>
      <c r="U152" s="407">
        <v>0.0</v>
      </c>
      <c r="V152" s="407">
        <v>0.0</v>
      </c>
      <c r="W152" s="407">
        <v>0.0</v>
      </c>
      <c r="X152" s="407">
        <v>0.0</v>
      </c>
      <c r="Y152" s="407">
        <v>0.0</v>
      </c>
      <c r="Z152" s="407">
        <v>0.0</v>
      </c>
      <c r="AA152" s="407">
        <v>0.0</v>
      </c>
      <c r="AB152" s="407">
        <v>0.0</v>
      </c>
      <c r="AC152" s="407">
        <v>0.0</v>
      </c>
      <c r="AD152" s="407">
        <f>1/$AV88</f>
        <v>0.000000232705431</v>
      </c>
      <c r="AF152" s="405">
        <v>28.0</v>
      </c>
      <c r="AG152" s="408">
        <v>0.0</v>
      </c>
      <c r="AH152" s="408">
        <v>0.0</v>
      </c>
      <c r="AI152" s="408">
        <v>0.0</v>
      </c>
      <c r="AJ152" s="408">
        <v>0.0</v>
      </c>
      <c r="AK152" s="408">
        <v>0.0</v>
      </c>
      <c r="AL152" s="408">
        <v>0.0</v>
      </c>
      <c r="AM152" s="408">
        <v>0.0</v>
      </c>
      <c r="AN152" s="408">
        <v>0.0</v>
      </c>
      <c r="AO152" s="408">
        <v>0.0</v>
      </c>
      <c r="AP152" s="408">
        <v>0.0</v>
      </c>
      <c r="AQ152" s="408">
        <v>0.0</v>
      </c>
      <c r="AR152" s="408">
        <v>0.0</v>
      </c>
      <c r="AS152" s="408">
        <v>0.0</v>
      </c>
      <c r="AT152" s="408">
        <v>0.0</v>
      </c>
      <c r="AU152" s="408">
        <v>0.0</v>
      </c>
      <c r="AV152" s="408">
        <v>0.0</v>
      </c>
      <c r="AW152" s="408">
        <v>0.0</v>
      </c>
      <c r="AX152" s="408">
        <v>0.0</v>
      </c>
      <c r="AY152" s="408">
        <v>0.0</v>
      </c>
      <c r="AZ152" s="408">
        <v>0.0</v>
      </c>
      <c r="BA152" s="408">
        <v>0.0</v>
      </c>
      <c r="BB152" s="408">
        <v>0.0</v>
      </c>
      <c r="BC152" s="408">
        <v>0.0</v>
      </c>
      <c r="BD152" s="408">
        <v>0.0</v>
      </c>
      <c r="BE152" s="408">
        <v>0.0</v>
      </c>
      <c r="BF152" s="408">
        <v>0.0</v>
      </c>
      <c r="BG152" s="408">
        <v>0.0</v>
      </c>
      <c r="BH152" s="408">
        <f>AD$98</f>
        <v>28758.34418</v>
      </c>
      <c r="BI152" s="24"/>
      <c r="BJ152" s="24"/>
      <c r="BK152" s="24"/>
      <c r="BL152" s="405">
        <v>28.0</v>
      </c>
      <c r="BM152" s="408">
        <v>0.0</v>
      </c>
      <c r="BN152" s="408">
        <v>0.0</v>
      </c>
      <c r="BO152" s="408">
        <v>0.0</v>
      </c>
      <c r="BP152" s="408">
        <v>0.0</v>
      </c>
      <c r="BQ152" s="408">
        <v>0.0</v>
      </c>
      <c r="BR152" s="408">
        <v>0.0</v>
      </c>
      <c r="BS152" s="408">
        <v>0.0</v>
      </c>
      <c r="BT152" s="408">
        <v>0.0</v>
      </c>
      <c r="BU152" s="408">
        <v>0.0</v>
      </c>
      <c r="BV152" s="408">
        <v>0.0</v>
      </c>
      <c r="BW152" s="408">
        <v>0.0</v>
      </c>
      <c r="BX152" s="408">
        <v>0.0</v>
      </c>
      <c r="BY152" s="408">
        <v>0.0</v>
      </c>
      <c r="BZ152" s="408">
        <v>0.0</v>
      </c>
      <c r="CA152" s="408">
        <v>0.0</v>
      </c>
      <c r="CB152" s="408">
        <v>0.0</v>
      </c>
      <c r="CC152" s="408">
        <v>0.0</v>
      </c>
      <c r="CD152" s="408">
        <v>0.0</v>
      </c>
      <c r="CE152" s="408">
        <v>0.0</v>
      </c>
      <c r="CF152" s="408">
        <v>0.0</v>
      </c>
      <c r="CG152" s="408">
        <v>0.0</v>
      </c>
      <c r="CH152" s="408">
        <v>0.0</v>
      </c>
      <c r="CI152" s="408">
        <v>0.0</v>
      </c>
      <c r="CJ152" s="408">
        <v>0.0</v>
      </c>
      <c r="CK152" s="408">
        <v>0.0</v>
      </c>
      <c r="CL152" s="408">
        <v>0.0</v>
      </c>
      <c r="CM152" s="408">
        <v>0.0</v>
      </c>
      <c r="CN152" s="408">
        <f>AD$101</f>
        <v>0</v>
      </c>
      <c r="CO152" s="34"/>
      <c r="CP152" s="34"/>
      <c r="CQ152" s="34"/>
      <c r="CR152" s="405">
        <v>28.0</v>
      </c>
      <c r="CS152" s="408">
        <v>0.0</v>
      </c>
      <c r="CT152" s="408">
        <v>0.0</v>
      </c>
      <c r="CU152" s="408">
        <v>0.0</v>
      </c>
      <c r="CV152" s="408">
        <v>0.0</v>
      </c>
      <c r="CW152" s="408">
        <v>0.0</v>
      </c>
      <c r="CX152" s="408">
        <v>0.0</v>
      </c>
      <c r="CY152" s="408">
        <v>0.0</v>
      </c>
      <c r="CZ152" s="408">
        <v>0.0</v>
      </c>
      <c r="DA152" s="408">
        <v>0.0</v>
      </c>
      <c r="DB152" s="408">
        <v>0.0</v>
      </c>
      <c r="DC152" s="408">
        <v>0.0</v>
      </c>
      <c r="DD152" s="408">
        <v>0.0</v>
      </c>
      <c r="DE152" s="408">
        <v>0.0</v>
      </c>
      <c r="DF152" s="408">
        <v>0.0</v>
      </c>
      <c r="DG152" s="408">
        <v>0.0</v>
      </c>
      <c r="DH152" s="408">
        <v>0.0</v>
      </c>
      <c r="DI152" s="408">
        <v>0.0</v>
      </c>
      <c r="DJ152" s="408">
        <v>0.0</v>
      </c>
      <c r="DK152" s="408">
        <v>0.0</v>
      </c>
      <c r="DL152" s="408">
        <v>0.0</v>
      </c>
      <c r="DM152" s="408">
        <v>0.0</v>
      </c>
      <c r="DN152" s="408">
        <v>0.0</v>
      </c>
      <c r="DO152" s="408">
        <v>0.0</v>
      </c>
      <c r="DP152" s="408">
        <v>0.0</v>
      </c>
      <c r="DQ152" s="408">
        <v>0.0</v>
      </c>
      <c r="DR152" s="408">
        <v>0.0</v>
      </c>
      <c r="DS152" s="408">
        <v>0.0</v>
      </c>
      <c r="DT152" s="408">
        <f>AD$102</f>
        <v>0</v>
      </c>
      <c r="DU152" s="409"/>
    </row>
    <row r="153">
      <c r="AF153" s="24"/>
      <c r="AG153" s="24"/>
      <c r="AH153" s="24"/>
      <c r="AI153" s="24"/>
      <c r="AJ153" s="24"/>
      <c r="AK153" s="24"/>
      <c r="AL153" s="24"/>
      <c r="AM153" s="24"/>
      <c r="AN153" s="24"/>
      <c r="AO153" s="24"/>
      <c r="AP153" s="24"/>
      <c r="AQ153" s="24"/>
      <c r="AR153" s="24"/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  <c r="BG153" s="24"/>
      <c r="BH153" s="24"/>
      <c r="BI153" s="24"/>
      <c r="BJ153" s="24"/>
      <c r="BK153" s="24"/>
      <c r="BL153" s="24"/>
      <c r="BM153" s="24"/>
      <c r="BN153" s="24"/>
      <c r="BO153" s="24"/>
      <c r="BP153" s="24"/>
      <c r="BQ153" s="24"/>
      <c r="BR153" s="24"/>
      <c r="BS153" s="24"/>
      <c r="BT153" s="24"/>
      <c r="BU153" s="24"/>
      <c r="BV153" s="24"/>
      <c r="BW153" s="24"/>
      <c r="BX153" s="24"/>
      <c r="BY153" s="24"/>
      <c r="BZ153" s="24"/>
      <c r="CA153" s="24"/>
      <c r="CB153" s="24"/>
      <c r="CC153" s="24"/>
      <c r="CD153" s="24"/>
      <c r="CE153" s="24"/>
      <c r="CF153" s="24"/>
      <c r="CG153" s="24"/>
      <c r="CH153" s="24"/>
      <c r="CI153" s="24"/>
      <c r="CJ153" s="24"/>
      <c r="CK153" s="24"/>
      <c r="CL153" s="24"/>
      <c r="CM153" s="24"/>
      <c r="CN153" s="24"/>
      <c r="CO153" s="402"/>
      <c r="CP153" s="402"/>
      <c r="CQ153" s="402"/>
      <c r="CR153" s="402"/>
      <c r="CS153" s="402"/>
      <c r="CT153" s="402"/>
      <c r="CU153" s="402"/>
      <c r="CV153" s="402"/>
      <c r="CW153" s="402"/>
      <c r="CX153" s="402"/>
      <c r="CY153" s="402"/>
      <c r="CZ153" s="402"/>
      <c r="DA153" s="402"/>
      <c r="DB153" s="402"/>
      <c r="DC153" s="402"/>
      <c r="DD153" s="402"/>
      <c r="DE153" s="402"/>
      <c r="DF153" s="402"/>
      <c r="DG153" s="402"/>
      <c r="DH153" s="402"/>
      <c r="DI153" s="402"/>
      <c r="DJ153" s="402"/>
      <c r="DK153" s="402"/>
      <c r="DL153" s="402"/>
      <c r="DM153" s="402"/>
      <c r="DN153" s="402"/>
      <c r="DO153" s="402"/>
      <c r="DP153" s="402"/>
      <c r="DQ153" s="402"/>
      <c r="DR153" s="402"/>
      <c r="DS153" s="402"/>
      <c r="DT153" s="402"/>
      <c r="DU153" s="402"/>
    </row>
    <row r="154">
      <c r="BI154" s="24"/>
      <c r="BJ154" s="24"/>
      <c r="BK154" s="24"/>
      <c r="CO154" s="402"/>
      <c r="CP154" s="402"/>
      <c r="CQ154" s="402"/>
      <c r="CR154" s="402"/>
      <c r="CS154" s="402"/>
      <c r="CT154" s="402"/>
      <c r="CU154" s="402"/>
      <c r="CV154" s="402"/>
      <c r="CW154" s="402"/>
      <c r="CX154" s="402"/>
      <c r="CY154" s="402"/>
      <c r="CZ154" s="402"/>
      <c r="DA154" s="402"/>
      <c r="DB154" s="402"/>
      <c r="DC154" s="402"/>
      <c r="DD154" s="402"/>
      <c r="DE154" s="402"/>
      <c r="DF154" s="402"/>
      <c r="DG154" s="402"/>
      <c r="DH154" s="402"/>
      <c r="DI154" s="402"/>
      <c r="DJ154" s="402"/>
      <c r="DK154" s="402"/>
      <c r="DL154" s="402"/>
      <c r="DM154" s="402"/>
      <c r="DN154" s="402"/>
      <c r="DO154" s="402"/>
      <c r="DP154" s="402"/>
      <c r="DQ154" s="402"/>
      <c r="DR154" s="402"/>
      <c r="DS154" s="402"/>
      <c r="DT154" s="402"/>
      <c r="DU154" s="402"/>
    </row>
    <row r="155">
      <c r="B155" s="25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  <c r="AA155" s="24"/>
      <c r="AB155" s="24"/>
      <c r="AC155" s="24"/>
      <c r="AD155" s="24"/>
      <c r="BJ155" s="24"/>
      <c r="BK155" s="24"/>
      <c r="CO155" s="34"/>
      <c r="CP155" s="34"/>
      <c r="CQ155" s="34"/>
      <c r="CR155" s="34"/>
      <c r="CS155" s="34"/>
      <c r="CT155" s="34"/>
      <c r="CU155" s="34"/>
      <c r="CV155" s="34"/>
      <c r="CW155" s="34"/>
      <c r="CX155" s="34"/>
      <c r="CY155" s="34"/>
      <c r="CZ155" s="34"/>
      <c r="DA155" s="34"/>
      <c r="DB155" s="34"/>
      <c r="DC155" s="34"/>
      <c r="DD155" s="34"/>
      <c r="DE155" s="34"/>
      <c r="DF155" s="34"/>
      <c r="DG155" s="34"/>
      <c r="DH155" s="34"/>
      <c r="DI155" s="34"/>
      <c r="DJ155" s="34"/>
      <c r="DK155" s="34"/>
      <c r="DL155" s="34"/>
      <c r="DM155" s="34"/>
      <c r="DN155" s="34"/>
      <c r="DO155" s="34"/>
      <c r="DP155" s="34"/>
      <c r="DQ155" s="34"/>
      <c r="DR155" s="34"/>
      <c r="DS155" s="34"/>
      <c r="DT155" s="34"/>
      <c r="DU155" s="34"/>
    </row>
    <row r="156">
      <c r="B156" s="398" t="s">
        <v>107</v>
      </c>
      <c r="C156" s="399"/>
      <c r="D156" s="399"/>
      <c r="E156" s="399"/>
      <c r="F156" s="399"/>
      <c r="G156" s="399"/>
      <c r="H156" s="399"/>
      <c r="I156" s="399"/>
      <c r="J156" s="399"/>
      <c r="K156" s="399"/>
      <c r="L156" s="399"/>
      <c r="M156" s="399"/>
      <c r="N156" s="399"/>
      <c r="O156" s="399"/>
      <c r="P156" s="399"/>
      <c r="Q156" s="399"/>
      <c r="R156" s="399"/>
      <c r="S156" s="399"/>
      <c r="T156" s="399"/>
      <c r="U156" s="399"/>
      <c r="V156" s="399"/>
      <c r="W156" s="399"/>
      <c r="X156" s="399"/>
      <c r="Y156" s="399"/>
      <c r="Z156" s="399"/>
      <c r="AA156" s="399"/>
      <c r="AB156" s="399"/>
      <c r="AC156" s="399"/>
      <c r="AD156" s="399"/>
      <c r="AF156" s="410" t="s">
        <v>108</v>
      </c>
      <c r="AG156" s="411"/>
      <c r="AH156" s="412"/>
      <c r="AI156" s="24"/>
      <c r="AJ156" s="24"/>
      <c r="AK156" s="24"/>
      <c r="AL156" s="24"/>
      <c r="AM156" s="24"/>
      <c r="AN156" s="24"/>
      <c r="AO156" s="24"/>
      <c r="AP156" s="24"/>
      <c r="AQ156" s="24"/>
      <c r="AR156" s="24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  <c r="BG156" s="24"/>
      <c r="BH156" s="24"/>
      <c r="BI156" s="24"/>
      <c r="BJ156" s="24"/>
      <c r="BK156" s="24"/>
      <c r="CP156" s="34"/>
      <c r="CQ156" s="34"/>
    </row>
    <row r="157">
      <c r="B157" s="404"/>
      <c r="C157" s="405">
        <v>1.0</v>
      </c>
      <c r="D157" s="405">
        <v>2.0</v>
      </c>
      <c r="E157" s="405">
        <v>3.0</v>
      </c>
      <c r="F157" s="405">
        <v>4.0</v>
      </c>
      <c r="G157" s="405">
        <v>5.0</v>
      </c>
      <c r="H157" s="405">
        <v>6.0</v>
      </c>
      <c r="I157" s="405">
        <v>7.0</v>
      </c>
      <c r="J157" s="405">
        <v>8.0</v>
      </c>
      <c r="K157" s="405">
        <v>9.0</v>
      </c>
      <c r="L157" s="405">
        <v>10.0</v>
      </c>
      <c r="M157" s="405">
        <v>11.0</v>
      </c>
      <c r="N157" s="405">
        <v>12.0</v>
      </c>
      <c r="O157" s="405">
        <v>13.0</v>
      </c>
      <c r="P157" s="405">
        <v>14.0</v>
      </c>
      <c r="Q157" s="405">
        <v>15.0</v>
      </c>
      <c r="R157" s="405">
        <v>16.0</v>
      </c>
      <c r="S157" s="405">
        <v>17.0</v>
      </c>
      <c r="T157" s="405">
        <v>18.0</v>
      </c>
      <c r="U157" s="405">
        <v>19.0</v>
      </c>
      <c r="V157" s="405">
        <v>20.0</v>
      </c>
      <c r="W157" s="405">
        <v>21.0</v>
      </c>
      <c r="X157" s="405">
        <v>22.0</v>
      </c>
      <c r="Y157" s="405">
        <v>23.0</v>
      </c>
      <c r="Z157" s="405">
        <v>24.0</v>
      </c>
      <c r="AA157" s="405">
        <v>25.0</v>
      </c>
      <c r="AB157" s="405">
        <v>26.0</v>
      </c>
      <c r="AC157" s="405">
        <v>27.0</v>
      </c>
      <c r="AD157" s="405">
        <v>28.0</v>
      </c>
      <c r="AG157" s="413" t="s">
        <v>109</v>
      </c>
      <c r="AH157" s="411"/>
      <c r="AI157" s="411"/>
      <c r="AJ157" s="411"/>
      <c r="AK157" s="411"/>
      <c r="AL157" s="411"/>
      <c r="AM157" s="411"/>
      <c r="AN157" s="411"/>
      <c r="AO157" s="411"/>
      <c r="AP157" s="411"/>
      <c r="AQ157" s="411"/>
      <c r="AR157" s="411"/>
      <c r="AS157" s="411"/>
      <c r="AT157" s="411"/>
      <c r="AU157" s="414" t="s">
        <v>110</v>
      </c>
      <c r="AV157" s="411"/>
      <c r="AW157" s="411"/>
      <c r="AX157" s="411"/>
      <c r="AY157" s="411"/>
      <c r="AZ157" s="411"/>
      <c r="BA157" s="411"/>
      <c r="BB157" s="411"/>
      <c r="BC157" s="411"/>
      <c r="BD157" s="411"/>
      <c r="BE157" s="411"/>
      <c r="BF157" s="411"/>
      <c r="BG157" s="411"/>
      <c r="BH157" s="412"/>
      <c r="BI157" s="24"/>
      <c r="BJ157" s="24"/>
      <c r="BK157" s="24"/>
      <c r="BL157" s="415" t="s">
        <v>111</v>
      </c>
      <c r="BM157" s="416"/>
      <c r="BN157" s="416"/>
      <c r="BO157" s="416"/>
      <c r="BP157" s="416"/>
      <c r="BQ157" s="416"/>
      <c r="BR157" s="416"/>
      <c r="BS157" s="416"/>
      <c r="BT157" s="416"/>
      <c r="BU157" s="416"/>
      <c r="BV157" s="416"/>
      <c r="BW157" s="416"/>
      <c r="BX157" s="416"/>
      <c r="BY157" s="416"/>
      <c r="BZ157" s="416"/>
      <c r="CA157" s="416"/>
      <c r="CB157" s="416"/>
      <c r="CC157" s="416"/>
      <c r="CD157" s="416"/>
      <c r="CE157" s="416"/>
      <c r="CF157" s="416"/>
      <c r="CG157" s="416"/>
      <c r="CH157" s="416"/>
      <c r="CI157" s="416"/>
      <c r="CJ157" s="416"/>
      <c r="CK157" s="416"/>
      <c r="CL157" s="416"/>
      <c r="CM157" s="416"/>
      <c r="CN157" s="416"/>
      <c r="CO157" s="24"/>
      <c r="CP157" s="34"/>
      <c r="CQ157" s="34"/>
      <c r="CR157" s="415" t="s">
        <v>112</v>
      </c>
      <c r="CS157" s="416"/>
      <c r="CT157" s="416"/>
      <c r="CU157" s="416"/>
      <c r="CV157" s="416"/>
      <c r="CW157" s="416"/>
      <c r="CX157" s="416"/>
      <c r="CY157" s="416"/>
      <c r="CZ157" s="416"/>
      <c r="DA157" s="416"/>
      <c r="DB157" s="416"/>
      <c r="DC157" s="416"/>
      <c r="DD157" s="416"/>
      <c r="DE157" s="416"/>
      <c r="DF157" s="416"/>
      <c r="DG157" s="416"/>
      <c r="DH157" s="416"/>
      <c r="DI157" s="416"/>
      <c r="DJ157" s="416"/>
      <c r="DK157" s="416"/>
      <c r="DL157" s="416"/>
      <c r="DM157" s="416"/>
      <c r="DN157" s="416"/>
      <c r="DO157" s="416"/>
      <c r="DP157" s="416"/>
      <c r="DQ157" s="416"/>
      <c r="DR157" s="416"/>
      <c r="DS157" s="416"/>
      <c r="DT157" s="416"/>
      <c r="DU157" s="24"/>
    </row>
    <row r="158">
      <c r="B158" s="405">
        <v>1.0</v>
      </c>
      <c r="C158" s="407">
        <v>1.0</v>
      </c>
      <c r="D158" s="407">
        <v>0.0</v>
      </c>
      <c r="E158" s="407">
        <v>0.0</v>
      </c>
      <c r="F158" s="407">
        <v>0.0</v>
      </c>
      <c r="G158" s="407">
        <v>0.0</v>
      </c>
      <c r="H158" s="407">
        <v>0.0</v>
      </c>
      <c r="I158" s="407">
        <v>0.0</v>
      </c>
      <c r="J158" s="407">
        <v>0.0</v>
      </c>
      <c r="K158" s="407">
        <v>0.0</v>
      </c>
      <c r="L158" s="407">
        <v>0.0</v>
      </c>
      <c r="M158" s="407">
        <v>0.0</v>
      </c>
      <c r="N158" s="407">
        <v>0.0</v>
      </c>
      <c r="O158" s="407">
        <v>0.0</v>
      </c>
      <c r="P158" s="407">
        <v>0.0</v>
      </c>
      <c r="Q158" s="407">
        <v>0.0</v>
      </c>
      <c r="R158" s="407">
        <v>0.0</v>
      </c>
      <c r="S158" s="407">
        <v>0.0</v>
      </c>
      <c r="T158" s="407">
        <v>0.0</v>
      </c>
      <c r="U158" s="407">
        <v>0.0</v>
      </c>
      <c r="V158" s="407">
        <v>0.0</v>
      </c>
      <c r="W158" s="407">
        <v>0.0</v>
      </c>
      <c r="X158" s="407">
        <v>0.0</v>
      </c>
      <c r="Y158" s="407">
        <v>0.0</v>
      </c>
      <c r="Z158" s="407">
        <v>0.0</v>
      </c>
      <c r="AA158" s="407">
        <v>0.0</v>
      </c>
      <c r="AB158" s="407">
        <v>0.0</v>
      </c>
      <c r="AC158" s="407">
        <v>0.0</v>
      </c>
      <c r="AD158" s="407">
        <v>0.0</v>
      </c>
      <c r="AF158" s="404"/>
      <c r="AG158" s="262" t="s">
        <v>113</v>
      </c>
      <c r="AH158" s="262" t="s">
        <v>114</v>
      </c>
      <c r="AI158" s="262" t="s">
        <v>115</v>
      </c>
      <c r="AJ158" s="262" t="s">
        <v>116</v>
      </c>
      <c r="AK158" s="262" t="s">
        <v>117</v>
      </c>
      <c r="AL158" s="262" t="s">
        <v>118</v>
      </c>
      <c r="AM158" s="262" t="s">
        <v>119</v>
      </c>
      <c r="AN158" s="262" t="s">
        <v>120</v>
      </c>
      <c r="AO158" s="262" t="s">
        <v>121</v>
      </c>
      <c r="AP158" s="262" t="s">
        <v>122</v>
      </c>
      <c r="AQ158" s="262" t="s">
        <v>123</v>
      </c>
      <c r="AR158" s="262" t="s">
        <v>124</v>
      </c>
      <c r="AS158" s="262" t="s">
        <v>125</v>
      </c>
      <c r="AT158" s="262" t="s">
        <v>126</v>
      </c>
      <c r="AU158" s="266" t="s">
        <v>127</v>
      </c>
      <c r="AV158" s="266" t="s">
        <v>128</v>
      </c>
      <c r="AW158" s="417" t="s">
        <v>129</v>
      </c>
      <c r="AX158" s="417" t="s">
        <v>130</v>
      </c>
      <c r="AY158" s="417" t="s">
        <v>131</v>
      </c>
      <c r="AZ158" s="417" t="s">
        <v>132</v>
      </c>
      <c r="BA158" s="417" t="s">
        <v>133</v>
      </c>
      <c r="BB158" s="417" t="s">
        <v>134</v>
      </c>
      <c r="BC158" s="417" t="s">
        <v>135</v>
      </c>
      <c r="BD158" s="417" t="s">
        <v>136</v>
      </c>
      <c r="BE158" s="417" t="s">
        <v>137</v>
      </c>
      <c r="BF158" s="417" t="s">
        <v>138</v>
      </c>
      <c r="BG158" s="417" t="s">
        <v>139</v>
      </c>
      <c r="BH158" s="417" t="s">
        <v>140</v>
      </c>
      <c r="BI158" s="418" t="s">
        <v>141</v>
      </c>
      <c r="BJ158" s="418"/>
      <c r="BK158" s="24"/>
      <c r="BL158" s="404"/>
      <c r="BM158" s="405">
        <v>1.0</v>
      </c>
      <c r="BN158" s="405">
        <v>2.0</v>
      </c>
      <c r="BO158" s="405">
        <v>3.0</v>
      </c>
      <c r="BP158" s="405">
        <v>4.0</v>
      </c>
      <c r="BQ158" s="405">
        <v>5.0</v>
      </c>
      <c r="BR158" s="405">
        <v>6.0</v>
      </c>
      <c r="BS158" s="405">
        <v>7.0</v>
      </c>
      <c r="BT158" s="405">
        <v>8.0</v>
      </c>
      <c r="BU158" s="405">
        <v>9.0</v>
      </c>
      <c r="BV158" s="405">
        <v>10.0</v>
      </c>
      <c r="BW158" s="405">
        <v>11.0</v>
      </c>
      <c r="BX158" s="405">
        <v>12.0</v>
      </c>
      <c r="BY158" s="405">
        <v>13.0</v>
      </c>
      <c r="BZ158" s="405">
        <v>14.0</v>
      </c>
      <c r="CA158" s="405">
        <v>15.0</v>
      </c>
      <c r="CB158" s="405">
        <v>16.0</v>
      </c>
      <c r="CC158" s="405">
        <v>17.0</v>
      </c>
      <c r="CD158" s="405">
        <v>18.0</v>
      </c>
      <c r="CE158" s="405">
        <v>19.0</v>
      </c>
      <c r="CF158" s="405">
        <v>20.0</v>
      </c>
      <c r="CG158" s="405">
        <v>21.0</v>
      </c>
      <c r="CH158" s="405">
        <v>22.0</v>
      </c>
      <c r="CI158" s="405">
        <v>23.0</v>
      </c>
      <c r="CJ158" s="405">
        <v>24.0</v>
      </c>
      <c r="CK158" s="405">
        <v>25.0</v>
      </c>
      <c r="CL158" s="405">
        <v>26.0</v>
      </c>
      <c r="CM158" s="405">
        <v>27.0</v>
      </c>
      <c r="CN158" s="405">
        <v>28.0</v>
      </c>
      <c r="CO158" s="419" t="s">
        <v>142</v>
      </c>
      <c r="CP158" s="34"/>
      <c r="CQ158" s="34"/>
      <c r="CR158" s="404"/>
      <c r="CS158" s="405">
        <v>1.0</v>
      </c>
      <c r="CT158" s="405">
        <v>2.0</v>
      </c>
      <c r="CU158" s="405">
        <v>3.0</v>
      </c>
      <c r="CV158" s="405">
        <v>4.0</v>
      </c>
      <c r="CW158" s="405">
        <v>5.0</v>
      </c>
      <c r="CX158" s="405">
        <v>6.0</v>
      </c>
      <c r="CY158" s="405">
        <v>7.0</v>
      </c>
      <c r="CZ158" s="405">
        <v>8.0</v>
      </c>
      <c r="DA158" s="405">
        <v>9.0</v>
      </c>
      <c r="DB158" s="405">
        <v>10.0</v>
      </c>
      <c r="DC158" s="405">
        <v>11.0</v>
      </c>
      <c r="DD158" s="405">
        <v>12.0</v>
      </c>
      <c r="DE158" s="405">
        <v>13.0</v>
      </c>
      <c r="DF158" s="405">
        <v>14.0</v>
      </c>
      <c r="DG158" s="405">
        <v>15.0</v>
      </c>
      <c r="DH158" s="405">
        <v>16.0</v>
      </c>
      <c r="DI158" s="405">
        <v>17.0</v>
      </c>
      <c r="DJ158" s="405">
        <v>18.0</v>
      </c>
      <c r="DK158" s="405">
        <v>19.0</v>
      </c>
      <c r="DL158" s="405">
        <v>20.0</v>
      </c>
      <c r="DM158" s="405">
        <v>21.0</v>
      </c>
      <c r="DN158" s="405">
        <v>22.0</v>
      </c>
      <c r="DO158" s="405">
        <v>23.0</v>
      </c>
      <c r="DP158" s="405">
        <v>24.0</v>
      </c>
      <c r="DQ158" s="405">
        <v>25.0</v>
      </c>
      <c r="DR158" s="405">
        <v>26.0</v>
      </c>
      <c r="DS158" s="405">
        <v>27.0</v>
      </c>
      <c r="DT158" s="405">
        <v>28.0</v>
      </c>
      <c r="DU158" s="419" t="s">
        <v>142</v>
      </c>
    </row>
    <row r="159">
      <c r="B159" s="405">
        <v>2.0</v>
      </c>
      <c r="C159" s="407">
        <v>0.0</v>
      </c>
      <c r="D159" s="407">
        <v>1.0</v>
      </c>
      <c r="E159" s="407">
        <v>0.0</v>
      </c>
      <c r="F159" s="407">
        <v>0.0</v>
      </c>
      <c r="G159" s="407">
        <v>0.0</v>
      </c>
      <c r="H159" s="407">
        <v>0.0</v>
      </c>
      <c r="I159" s="407">
        <v>0.0</v>
      </c>
      <c r="J159" s="407">
        <v>0.0</v>
      </c>
      <c r="K159" s="407">
        <v>0.0</v>
      </c>
      <c r="L159" s="407">
        <v>0.0</v>
      </c>
      <c r="M159" s="407">
        <v>0.0</v>
      </c>
      <c r="N159" s="407">
        <v>0.0</v>
      </c>
      <c r="O159" s="407">
        <v>0.0</v>
      </c>
      <c r="P159" s="407">
        <v>0.0</v>
      </c>
      <c r="Q159" s="407">
        <v>0.0</v>
      </c>
      <c r="R159" s="407">
        <v>0.0</v>
      </c>
      <c r="S159" s="407">
        <v>0.0</v>
      </c>
      <c r="T159" s="407">
        <v>0.0</v>
      </c>
      <c r="U159" s="407">
        <v>0.0</v>
      </c>
      <c r="V159" s="407">
        <v>0.0</v>
      </c>
      <c r="W159" s="407">
        <v>0.0</v>
      </c>
      <c r="X159" s="407">
        <v>0.0</v>
      </c>
      <c r="Y159" s="407">
        <v>0.0</v>
      </c>
      <c r="Z159" s="407">
        <v>0.0</v>
      </c>
      <c r="AA159" s="407">
        <v>0.0</v>
      </c>
      <c r="AB159" s="407">
        <v>0.0</v>
      </c>
      <c r="AC159" s="407">
        <v>0.0</v>
      </c>
      <c r="AD159" s="407">
        <v>0.0</v>
      </c>
      <c r="AF159" s="262" t="s">
        <v>143</v>
      </c>
      <c r="AG159" s="420">
        <f t="array" ref="AG159:BH186">MMULT(MMULT($AG$125:$BH$152,$C$220:$AD$247),$C$251:$AD$278)</f>
        <v>209114315</v>
      </c>
      <c r="AH159" s="420">
        <v>4.52478281517603E7</v>
      </c>
      <c r="AI159" s="420">
        <v>7.193802283297163E7</v>
      </c>
      <c r="AJ159" s="420">
        <v>6869109.53292882</v>
      </c>
      <c r="AK159" s="420">
        <v>2.2570931195396088E7</v>
      </c>
      <c r="AL159" s="420">
        <v>7050.915873812615</v>
      </c>
      <c r="AM159" s="420">
        <v>52417.32254475126</v>
      </c>
      <c r="AN159" s="420">
        <v>1.2358197122381125E7</v>
      </c>
      <c r="AO159" s="420">
        <v>15450.862545495875</v>
      </c>
      <c r="AP159" s="420">
        <v>1.6873124030722197E7</v>
      </c>
      <c r="AQ159" s="420">
        <v>2.2635629606258824E7</v>
      </c>
      <c r="AR159" s="420">
        <v>9219.102385831902</v>
      </c>
      <c r="AS159" s="420">
        <v>1024.7258803584673</v>
      </c>
      <c r="AT159" s="420">
        <v>1.584989075850829E7</v>
      </c>
      <c r="AU159" s="420">
        <v>1.0169256118822537E7</v>
      </c>
      <c r="AV159" s="420">
        <v>2.6203232370179176E7</v>
      </c>
      <c r="AW159" s="420">
        <v>5.875823525563997E7</v>
      </c>
      <c r="AX159" s="420">
        <v>4.5053196528675385E7</v>
      </c>
      <c r="AY159" s="420">
        <v>1.5220101398311028E8</v>
      </c>
      <c r="AZ159" s="420">
        <v>344984.24470610544</v>
      </c>
      <c r="BA159" s="420">
        <v>1313937.9449063172</v>
      </c>
      <c r="BB159" s="420">
        <v>1.3497545336066794E8</v>
      </c>
      <c r="BC159" s="420">
        <v>3177143.70788044</v>
      </c>
      <c r="BD159" s="420">
        <v>5.3615104367498845E7</v>
      </c>
      <c r="BE159" s="420">
        <v>1.5393813127841467E8</v>
      </c>
      <c r="BF159" s="420">
        <v>620917.3796947722</v>
      </c>
      <c r="BG159" s="420">
        <v>346130.63829094253</v>
      </c>
      <c r="BH159" s="420">
        <v>6.412409390878036E7</v>
      </c>
      <c r="BI159" s="406">
        <f t="shared" ref="BI159:BI186" si="57">SUM($AG159:$BH159)</f>
        <v>1128383042</v>
      </c>
      <c r="BJ159" s="24"/>
      <c r="BK159" s="24"/>
      <c r="BL159" s="405">
        <v>1.0</v>
      </c>
      <c r="BM159" s="420">
        <f t="array" ref="BM159:CN186">MMULT(MMULT(BM125:CN152,C220:AD247),C251:AD278)</f>
        <v>1229.778079</v>
      </c>
      <c r="BN159" s="420">
        <v>266.09745580015107</v>
      </c>
      <c r="BO159" s="420">
        <v>423.05952866827744</v>
      </c>
      <c r="BP159" s="420">
        <v>40.39647083599996</v>
      </c>
      <c r="BQ159" s="420">
        <v>132.73714145993776</v>
      </c>
      <c r="BR159" s="420">
        <v>0.0414656537500451</v>
      </c>
      <c r="BS159" s="420">
        <v>0.3082604566617542</v>
      </c>
      <c r="BT159" s="420">
        <v>72.67718577591954</v>
      </c>
      <c r="BU159" s="420">
        <v>0.09086480790822994</v>
      </c>
      <c r="BV159" s="420">
        <v>99.22896986163731</v>
      </c>
      <c r="BW159" s="420">
        <v>133.11762563405426</v>
      </c>
      <c r="BX159" s="420">
        <v>0.05421651800398147</v>
      </c>
      <c r="BY159" s="420">
        <v>0.006026299179297737</v>
      </c>
      <c r="BZ159" s="420">
        <v>93.2114485451895</v>
      </c>
      <c r="CA159" s="420">
        <v>59.80426666055402</v>
      </c>
      <c r="CB159" s="420">
        <v>154.09830155955413</v>
      </c>
      <c r="CC159" s="420">
        <v>345.55066060611045</v>
      </c>
      <c r="CD159" s="420">
        <v>264.9528488248186</v>
      </c>
      <c r="CE159" s="420">
        <v>895.0772721128551</v>
      </c>
      <c r="CF159" s="420">
        <v>2.028814057097679</v>
      </c>
      <c r="CG159" s="420">
        <v>7.727123234427507</v>
      </c>
      <c r="CH159" s="420">
        <v>793.7756617683849</v>
      </c>
      <c r="CI159" s="420">
        <v>18.684429549698805</v>
      </c>
      <c r="CJ159" s="420">
        <v>315.30447863266073</v>
      </c>
      <c r="CK159" s="420">
        <v>905.2930661429374</v>
      </c>
      <c r="CL159" s="420">
        <v>3.651546201172696</v>
      </c>
      <c r="CM159" s="420">
        <v>2.035555870544451</v>
      </c>
      <c r="CN159" s="420">
        <v>377.10667984740826</v>
      </c>
      <c r="CO159" s="406">
        <f t="shared" ref="CO159:CO186" si="58">SUM(BM159:CN159)</f>
        <v>6635.895444</v>
      </c>
      <c r="CP159" s="34"/>
      <c r="CQ159" s="34"/>
      <c r="CR159" s="405">
        <v>1.0</v>
      </c>
      <c r="CS159" s="420">
        <f t="array" ref="CS159:DT186">MMULT(MMULT(CS125:DT152,C220:AD247),C251:AD278)</f>
        <v>0</v>
      </c>
      <c r="CT159" s="420">
        <v>0.0</v>
      </c>
      <c r="CU159" s="420">
        <v>0.0</v>
      </c>
      <c r="CV159" s="420">
        <v>0.0</v>
      </c>
      <c r="CW159" s="420">
        <v>0.0</v>
      </c>
      <c r="CX159" s="420">
        <v>0.0</v>
      </c>
      <c r="CY159" s="420">
        <v>0.0</v>
      </c>
      <c r="CZ159" s="420">
        <v>0.0</v>
      </c>
      <c r="DA159" s="420">
        <v>0.0</v>
      </c>
      <c r="DB159" s="420">
        <v>0.0</v>
      </c>
      <c r="DC159" s="420">
        <v>0.0</v>
      </c>
      <c r="DD159" s="420">
        <v>0.0</v>
      </c>
      <c r="DE159" s="420">
        <v>0.0</v>
      </c>
      <c r="DF159" s="420">
        <v>0.0</v>
      </c>
      <c r="DG159" s="420">
        <v>0.0</v>
      </c>
      <c r="DH159" s="420">
        <v>0.0</v>
      </c>
      <c r="DI159" s="420">
        <v>0.0</v>
      </c>
      <c r="DJ159" s="420">
        <v>0.0</v>
      </c>
      <c r="DK159" s="420">
        <v>0.0</v>
      </c>
      <c r="DL159" s="420">
        <v>0.0</v>
      </c>
      <c r="DM159" s="420">
        <v>0.0</v>
      </c>
      <c r="DN159" s="420">
        <v>0.0</v>
      </c>
      <c r="DO159" s="420">
        <v>0.0</v>
      </c>
      <c r="DP159" s="420">
        <v>0.0</v>
      </c>
      <c r="DQ159" s="420">
        <v>0.0</v>
      </c>
      <c r="DR159" s="420">
        <v>0.0</v>
      </c>
      <c r="DS159" s="420">
        <v>0.0</v>
      </c>
      <c r="DT159" s="420">
        <v>0.0</v>
      </c>
      <c r="DU159" s="406">
        <f t="shared" ref="DU159:DU186" si="59">SUM(CS159:DT159)</f>
        <v>0</v>
      </c>
    </row>
    <row r="160">
      <c r="B160" s="405">
        <v>3.0</v>
      </c>
      <c r="C160" s="407">
        <v>0.0</v>
      </c>
      <c r="D160" s="407">
        <v>0.0</v>
      </c>
      <c r="E160" s="407">
        <v>1.0</v>
      </c>
      <c r="F160" s="407">
        <v>0.0</v>
      </c>
      <c r="G160" s="407">
        <v>0.0</v>
      </c>
      <c r="H160" s="407">
        <v>0.0</v>
      </c>
      <c r="I160" s="407">
        <v>0.0</v>
      </c>
      <c r="J160" s="407">
        <v>0.0</v>
      </c>
      <c r="K160" s="407">
        <v>0.0</v>
      </c>
      <c r="L160" s="407">
        <v>0.0</v>
      </c>
      <c r="M160" s="407">
        <v>0.0</v>
      </c>
      <c r="N160" s="407">
        <v>0.0</v>
      </c>
      <c r="O160" s="407">
        <v>0.0</v>
      </c>
      <c r="P160" s="407">
        <v>0.0</v>
      </c>
      <c r="Q160" s="407">
        <v>0.0</v>
      </c>
      <c r="R160" s="407">
        <v>0.0</v>
      </c>
      <c r="S160" s="407">
        <v>0.0</v>
      </c>
      <c r="T160" s="407">
        <v>0.0</v>
      </c>
      <c r="U160" s="407">
        <v>0.0</v>
      </c>
      <c r="V160" s="407">
        <v>0.0</v>
      </c>
      <c r="W160" s="407">
        <v>0.0</v>
      </c>
      <c r="X160" s="407">
        <v>0.0</v>
      </c>
      <c r="Y160" s="407">
        <v>0.0</v>
      </c>
      <c r="Z160" s="407">
        <v>0.0</v>
      </c>
      <c r="AA160" s="407">
        <v>0.0</v>
      </c>
      <c r="AB160" s="407">
        <v>0.0</v>
      </c>
      <c r="AC160" s="407">
        <v>0.0</v>
      </c>
      <c r="AD160" s="407">
        <v>0.0</v>
      </c>
      <c r="AF160" s="262" t="s">
        <v>144</v>
      </c>
      <c r="AG160" s="420">
        <v>6445.389956594583</v>
      </c>
      <c r="AH160" s="420">
        <v>5.848111732646889E7</v>
      </c>
      <c r="AI160" s="420">
        <v>3588804.1111611146</v>
      </c>
      <c r="AJ160" s="420">
        <v>426680.3885574426</v>
      </c>
      <c r="AK160" s="420">
        <v>6611687.917075151</v>
      </c>
      <c r="AL160" s="420">
        <v>4208.237833011387</v>
      </c>
      <c r="AM160" s="420">
        <v>9024.383201690738</v>
      </c>
      <c r="AN160" s="420">
        <v>1354543.5713213112</v>
      </c>
      <c r="AO160" s="420">
        <v>1003.4928695025429</v>
      </c>
      <c r="AP160" s="420">
        <v>2486405.9185706484</v>
      </c>
      <c r="AQ160" s="420">
        <v>5632006.527254139</v>
      </c>
      <c r="AR160" s="420">
        <v>5583.1516009573215</v>
      </c>
      <c r="AS160" s="420">
        <v>172.8181766320451</v>
      </c>
      <c r="AT160" s="420">
        <v>5613242.612057516</v>
      </c>
      <c r="AU160" s="420">
        <v>668718.0800170142</v>
      </c>
      <c r="AV160" s="420">
        <v>3636628.643384714</v>
      </c>
      <c r="AW160" s="420">
        <v>3902759.216634323</v>
      </c>
      <c r="AX160" s="420">
        <v>4826232.384071531</v>
      </c>
      <c r="AY160" s="420">
        <v>1.2590428496176595E7</v>
      </c>
      <c r="AZ160" s="420">
        <v>47470.415374702716</v>
      </c>
      <c r="BA160" s="420">
        <v>240115.8930555847</v>
      </c>
      <c r="BB160" s="420">
        <v>2.004746861114297E7</v>
      </c>
      <c r="BC160" s="420">
        <v>574279.3431753808</v>
      </c>
      <c r="BD160" s="420">
        <v>1.2449335889573164E7</v>
      </c>
      <c r="BE160" s="420">
        <v>2.6476374721652057E7</v>
      </c>
      <c r="BF160" s="420">
        <v>161931.41896009503</v>
      </c>
      <c r="BG160" s="420">
        <v>66917.06661984659</v>
      </c>
      <c r="BH160" s="420">
        <v>2.3906670316881876E7</v>
      </c>
      <c r="BI160" s="406">
        <f t="shared" si="57"/>
        <v>193816256.3</v>
      </c>
      <c r="BJ160" s="24"/>
      <c r="BK160" s="24"/>
      <c r="BL160" s="405">
        <v>2.0</v>
      </c>
      <c r="BM160" s="420">
        <v>0.0</v>
      </c>
      <c r="BN160" s="420">
        <v>0.0</v>
      </c>
      <c r="BO160" s="420">
        <v>0.0</v>
      </c>
      <c r="BP160" s="420">
        <v>0.0</v>
      </c>
      <c r="BQ160" s="420">
        <v>0.0</v>
      </c>
      <c r="BR160" s="420">
        <v>0.0</v>
      </c>
      <c r="BS160" s="420">
        <v>0.0</v>
      </c>
      <c r="BT160" s="420">
        <v>0.0</v>
      </c>
      <c r="BU160" s="420">
        <v>0.0</v>
      </c>
      <c r="BV160" s="420">
        <v>0.0</v>
      </c>
      <c r="BW160" s="420">
        <v>0.0</v>
      </c>
      <c r="BX160" s="420">
        <v>0.0</v>
      </c>
      <c r="BY160" s="420">
        <v>0.0</v>
      </c>
      <c r="BZ160" s="420">
        <v>0.0</v>
      </c>
      <c r="CA160" s="420">
        <v>0.0</v>
      </c>
      <c r="CB160" s="420">
        <v>0.0</v>
      </c>
      <c r="CC160" s="420">
        <v>0.0</v>
      </c>
      <c r="CD160" s="420">
        <v>0.0</v>
      </c>
      <c r="CE160" s="420">
        <v>0.0</v>
      </c>
      <c r="CF160" s="420">
        <v>0.0</v>
      </c>
      <c r="CG160" s="420">
        <v>0.0</v>
      </c>
      <c r="CH160" s="420">
        <v>0.0</v>
      </c>
      <c r="CI160" s="420">
        <v>0.0</v>
      </c>
      <c r="CJ160" s="420">
        <v>0.0</v>
      </c>
      <c r="CK160" s="420">
        <v>0.0</v>
      </c>
      <c r="CL160" s="420">
        <v>0.0</v>
      </c>
      <c r="CM160" s="420">
        <v>0.0</v>
      </c>
      <c r="CN160" s="420">
        <v>0.0</v>
      </c>
      <c r="CO160" s="406">
        <f t="shared" si="58"/>
        <v>0</v>
      </c>
      <c r="CP160" s="34"/>
      <c r="CQ160" s="34"/>
      <c r="CR160" s="405">
        <v>2.0</v>
      </c>
      <c r="CS160" s="420">
        <v>0.0</v>
      </c>
      <c r="CT160" s="420">
        <v>0.0</v>
      </c>
      <c r="CU160" s="420">
        <v>0.0</v>
      </c>
      <c r="CV160" s="420">
        <v>0.0</v>
      </c>
      <c r="CW160" s="420">
        <v>0.0</v>
      </c>
      <c r="CX160" s="420">
        <v>0.0</v>
      </c>
      <c r="CY160" s="420">
        <v>0.0</v>
      </c>
      <c r="CZ160" s="420">
        <v>0.0</v>
      </c>
      <c r="DA160" s="420">
        <v>0.0</v>
      </c>
      <c r="DB160" s="420">
        <v>0.0</v>
      </c>
      <c r="DC160" s="420">
        <v>0.0</v>
      </c>
      <c r="DD160" s="420">
        <v>0.0</v>
      </c>
      <c r="DE160" s="420">
        <v>0.0</v>
      </c>
      <c r="DF160" s="420">
        <v>0.0</v>
      </c>
      <c r="DG160" s="420">
        <v>0.0</v>
      </c>
      <c r="DH160" s="420">
        <v>0.0</v>
      </c>
      <c r="DI160" s="420">
        <v>0.0</v>
      </c>
      <c r="DJ160" s="420">
        <v>0.0</v>
      </c>
      <c r="DK160" s="420">
        <v>0.0</v>
      </c>
      <c r="DL160" s="420">
        <v>0.0</v>
      </c>
      <c r="DM160" s="420">
        <v>0.0</v>
      </c>
      <c r="DN160" s="420">
        <v>0.0</v>
      </c>
      <c r="DO160" s="420">
        <v>0.0</v>
      </c>
      <c r="DP160" s="420">
        <v>0.0</v>
      </c>
      <c r="DQ160" s="420">
        <v>0.0</v>
      </c>
      <c r="DR160" s="420">
        <v>0.0</v>
      </c>
      <c r="DS160" s="420">
        <v>0.0</v>
      </c>
      <c r="DT160" s="420">
        <v>0.0</v>
      </c>
      <c r="DU160" s="406">
        <f t="shared" si="59"/>
        <v>0</v>
      </c>
    </row>
    <row r="161">
      <c r="B161" s="405">
        <v>4.0</v>
      </c>
      <c r="C161" s="407">
        <v>0.0</v>
      </c>
      <c r="D161" s="407">
        <v>0.0</v>
      </c>
      <c r="E161" s="407">
        <v>0.0</v>
      </c>
      <c r="F161" s="407">
        <v>1.0</v>
      </c>
      <c r="G161" s="407">
        <v>0.0</v>
      </c>
      <c r="H161" s="407">
        <v>0.0</v>
      </c>
      <c r="I161" s="407">
        <v>0.0</v>
      </c>
      <c r="J161" s="407">
        <v>0.0</v>
      </c>
      <c r="K161" s="407">
        <v>0.0</v>
      </c>
      <c r="L161" s="407">
        <v>0.0</v>
      </c>
      <c r="M161" s="407">
        <v>0.0</v>
      </c>
      <c r="N161" s="407">
        <v>0.0</v>
      </c>
      <c r="O161" s="407">
        <v>0.0</v>
      </c>
      <c r="P161" s="407">
        <v>0.0</v>
      </c>
      <c r="Q161" s="407">
        <v>0.0</v>
      </c>
      <c r="R161" s="407">
        <v>0.0</v>
      </c>
      <c r="S161" s="407">
        <v>0.0</v>
      </c>
      <c r="T161" s="407">
        <v>0.0</v>
      </c>
      <c r="U161" s="407">
        <v>0.0</v>
      </c>
      <c r="V161" s="407">
        <v>0.0</v>
      </c>
      <c r="W161" s="407">
        <v>0.0</v>
      </c>
      <c r="X161" s="407">
        <v>0.0</v>
      </c>
      <c r="Y161" s="407">
        <v>0.0</v>
      </c>
      <c r="Z161" s="407">
        <v>0.0</v>
      </c>
      <c r="AA161" s="407">
        <v>0.0</v>
      </c>
      <c r="AB161" s="407">
        <v>0.0</v>
      </c>
      <c r="AC161" s="407">
        <v>0.0</v>
      </c>
      <c r="AD161" s="407">
        <v>0.0</v>
      </c>
      <c r="AF161" s="262" t="s">
        <v>145</v>
      </c>
      <c r="AG161" s="420">
        <v>323484.4489952528</v>
      </c>
      <c r="AH161" s="420">
        <v>1112245.0524151628</v>
      </c>
      <c r="AI161" s="420">
        <v>2.911868208231896E9</v>
      </c>
      <c r="AJ161" s="420">
        <v>2.7075551966915333E8</v>
      </c>
      <c r="AK161" s="420">
        <v>6749230.541646107</v>
      </c>
      <c r="AL161" s="420">
        <v>55199.93990538545</v>
      </c>
      <c r="AM161" s="420">
        <v>543562.8821535818</v>
      </c>
      <c r="AN161" s="420">
        <v>4.9871530823379576E7</v>
      </c>
      <c r="AO161" s="420">
        <v>547934.0208067216</v>
      </c>
      <c r="AP161" s="420">
        <v>3.0539198887636715E8</v>
      </c>
      <c r="AQ161" s="420">
        <v>1.468242701440923E8</v>
      </c>
      <c r="AR161" s="420">
        <v>71288.87364501019</v>
      </c>
      <c r="AS161" s="420">
        <v>9231.858383049406</v>
      </c>
      <c r="AT161" s="420">
        <v>5.013538317246018E7</v>
      </c>
      <c r="AU161" s="420">
        <v>9961345.744749786</v>
      </c>
      <c r="AV161" s="420">
        <v>1.164618475497622E7</v>
      </c>
      <c r="AW161" s="420">
        <v>2.308107524434396E7</v>
      </c>
      <c r="AX161" s="420">
        <v>1.7102889865870357E8</v>
      </c>
      <c r="AY161" s="420">
        <v>7.91793949783447E7</v>
      </c>
      <c r="AZ161" s="420">
        <v>1289200.333364129</v>
      </c>
      <c r="BA161" s="420">
        <v>2048383.5591289473</v>
      </c>
      <c r="BB161" s="420">
        <v>3.3865849531432146E8</v>
      </c>
      <c r="BC161" s="420">
        <v>9443269.870939871</v>
      </c>
      <c r="BD161" s="420">
        <v>1.524797171167095E8</v>
      </c>
      <c r="BE161" s="420">
        <v>2.6748782104951206E8</v>
      </c>
      <c r="BF161" s="420">
        <v>2315565.722311367</v>
      </c>
      <c r="BG161" s="420">
        <v>858931.034481441</v>
      </c>
      <c r="BH161" s="420">
        <v>8.230953134095056E7</v>
      </c>
      <c r="BI161" s="406">
        <f t="shared" si="57"/>
        <v>4896046893</v>
      </c>
      <c r="BJ161" s="24"/>
      <c r="BK161" s="24"/>
      <c r="BL161" s="405">
        <v>3.0</v>
      </c>
      <c r="BM161" s="420">
        <v>0.0</v>
      </c>
      <c r="BN161" s="420">
        <v>0.0</v>
      </c>
      <c r="BO161" s="420">
        <v>0.0</v>
      </c>
      <c r="BP161" s="420">
        <v>0.0</v>
      </c>
      <c r="BQ161" s="420">
        <v>0.0</v>
      </c>
      <c r="BR161" s="420">
        <v>0.0</v>
      </c>
      <c r="BS161" s="420">
        <v>0.0</v>
      </c>
      <c r="BT161" s="420">
        <v>0.0</v>
      </c>
      <c r="BU161" s="420">
        <v>0.0</v>
      </c>
      <c r="BV161" s="420">
        <v>0.0</v>
      </c>
      <c r="BW161" s="420">
        <v>0.0</v>
      </c>
      <c r="BX161" s="420">
        <v>0.0</v>
      </c>
      <c r="BY161" s="420">
        <v>0.0</v>
      </c>
      <c r="BZ161" s="420">
        <v>0.0</v>
      </c>
      <c r="CA161" s="420">
        <v>0.0</v>
      </c>
      <c r="CB161" s="420">
        <v>0.0</v>
      </c>
      <c r="CC161" s="420">
        <v>0.0</v>
      </c>
      <c r="CD161" s="420">
        <v>0.0</v>
      </c>
      <c r="CE161" s="420">
        <v>0.0</v>
      </c>
      <c r="CF161" s="420">
        <v>0.0</v>
      </c>
      <c r="CG161" s="420">
        <v>0.0</v>
      </c>
      <c r="CH161" s="420">
        <v>0.0</v>
      </c>
      <c r="CI161" s="420">
        <v>0.0</v>
      </c>
      <c r="CJ161" s="420">
        <v>0.0</v>
      </c>
      <c r="CK161" s="420">
        <v>0.0</v>
      </c>
      <c r="CL161" s="420">
        <v>0.0</v>
      </c>
      <c r="CM161" s="420">
        <v>0.0</v>
      </c>
      <c r="CN161" s="420">
        <v>0.0</v>
      </c>
      <c r="CO161" s="406">
        <f t="shared" si="58"/>
        <v>0</v>
      </c>
      <c r="CP161" s="34"/>
      <c r="CQ161" s="34"/>
      <c r="CR161" s="405">
        <v>3.0</v>
      </c>
      <c r="CS161" s="420">
        <v>0.8497028111577721</v>
      </c>
      <c r="CT161" s="420">
        <v>2.9215554276841194</v>
      </c>
      <c r="CU161" s="420">
        <v>7648.660113153992</v>
      </c>
      <c r="CV161" s="420">
        <v>711.1987204143445</v>
      </c>
      <c r="CW161" s="420">
        <v>17.728333408919916</v>
      </c>
      <c r="CX161" s="420">
        <v>0.14499474166077894</v>
      </c>
      <c r="CY161" s="420">
        <v>1.427787055734779</v>
      </c>
      <c r="CZ161" s="420">
        <v>130.99850725123724</v>
      </c>
      <c r="DA161" s="420">
        <v>1.4392688095349062</v>
      </c>
      <c r="DB161" s="420">
        <v>802.1789988956173</v>
      </c>
      <c r="DC161" s="420">
        <v>385.66612854225406</v>
      </c>
      <c r="DD161" s="420">
        <v>0.18725585272671116</v>
      </c>
      <c r="DE161" s="420">
        <v>0.024249499611657194</v>
      </c>
      <c r="DF161" s="420">
        <v>131.69157328096674</v>
      </c>
      <c r="DG161" s="420">
        <v>26.165658066464328</v>
      </c>
      <c r="DH161" s="420">
        <v>30.59125703353767</v>
      </c>
      <c r="DI161" s="420">
        <v>60.627503364005406</v>
      </c>
      <c r="DJ161" s="420">
        <v>449.2448908468265</v>
      </c>
      <c r="DK161" s="420">
        <v>207.98203656417007</v>
      </c>
      <c r="DL161" s="420">
        <v>3.3863672606441533</v>
      </c>
      <c r="DM161" s="420">
        <v>5.380528411573725</v>
      </c>
      <c r="DN161" s="420">
        <v>889.56076987572</v>
      </c>
      <c r="DO161" s="420">
        <v>24.804818224745183</v>
      </c>
      <c r="DP161" s="420">
        <v>400.52139965625145</v>
      </c>
      <c r="DQ161" s="420">
        <v>702.615393729709</v>
      </c>
      <c r="DR161" s="420">
        <v>6.082340927917124</v>
      </c>
      <c r="DS161" s="420">
        <v>2.256170634651573</v>
      </c>
      <c r="DT161" s="420">
        <v>216.2040258278716</v>
      </c>
      <c r="DU161" s="406">
        <f t="shared" si="59"/>
        <v>12860.54035</v>
      </c>
    </row>
    <row r="162">
      <c r="B162" s="405">
        <v>5.0</v>
      </c>
      <c r="C162" s="407">
        <v>0.0</v>
      </c>
      <c r="D162" s="407">
        <v>0.0</v>
      </c>
      <c r="E162" s="407">
        <v>0.0</v>
      </c>
      <c r="F162" s="407">
        <v>0.0</v>
      </c>
      <c r="G162" s="407">
        <v>1.0</v>
      </c>
      <c r="H162" s="407">
        <v>0.0</v>
      </c>
      <c r="I162" s="407">
        <v>0.0</v>
      </c>
      <c r="J162" s="407">
        <v>0.0</v>
      </c>
      <c r="K162" s="407">
        <v>0.0</v>
      </c>
      <c r="L162" s="407">
        <v>0.0</v>
      </c>
      <c r="M162" s="407">
        <v>0.0</v>
      </c>
      <c r="N162" s="407">
        <v>0.0</v>
      </c>
      <c r="O162" s="407">
        <v>0.0</v>
      </c>
      <c r="P162" s="407">
        <v>0.0</v>
      </c>
      <c r="Q162" s="407">
        <v>0.0</v>
      </c>
      <c r="R162" s="407">
        <v>0.0</v>
      </c>
      <c r="S162" s="407">
        <v>0.0</v>
      </c>
      <c r="T162" s="407">
        <v>0.0</v>
      </c>
      <c r="U162" s="407">
        <v>0.0</v>
      </c>
      <c r="V162" s="407">
        <v>0.0</v>
      </c>
      <c r="W162" s="407">
        <v>0.0</v>
      </c>
      <c r="X162" s="407">
        <v>0.0</v>
      </c>
      <c r="Y162" s="407">
        <v>0.0</v>
      </c>
      <c r="Z162" s="407">
        <v>0.0</v>
      </c>
      <c r="AA162" s="407">
        <v>0.0</v>
      </c>
      <c r="AB162" s="407">
        <v>0.0</v>
      </c>
      <c r="AC162" s="407">
        <v>0.0</v>
      </c>
      <c r="AD162" s="407">
        <v>0.0</v>
      </c>
      <c r="AF162" s="262" t="s">
        <v>146</v>
      </c>
      <c r="AG162" s="420">
        <v>34591.17416568279</v>
      </c>
      <c r="AH162" s="420">
        <v>93655.93713820117</v>
      </c>
      <c r="AI162" s="420">
        <v>1629852.616036847</v>
      </c>
      <c r="AJ162" s="420">
        <v>1.0339844176981385E8</v>
      </c>
      <c r="AK162" s="420">
        <v>212541.70872782494</v>
      </c>
      <c r="AL162" s="420">
        <v>4665.302587694616</v>
      </c>
      <c r="AM162" s="420">
        <v>35204.93044848585</v>
      </c>
      <c r="AN162" s="420">
        <v>4194341.758957138</v>
      </c>
      <c r="AO162" s="420">
        <v>2872.431942931889</v>
      </c>
      <c r="AP162" s="420">
        <v>5769353.24503778</v>
      </c>
      <c r="AQ162" s="420">
        <v>2.324977170654107E7</v>
      </c>
      <c r="AR162" s="420">
        <v>6224.546090334937</v>
      </c>
      <c r="AS162" s="420">
        <v>672.6654687005581</v>
      </c>
      <c r="AT162" s="420">
        <v>8628601.820812726</v>
      </c>
      <c r="AU162" s="420">
        <v>1193291.1988725318</v>
      </c>
      <c r="AV162" s="420">
        <v>1234620.2798478925</v>
      </c>
      <c r="AW162" s="420">
        <v>2844944.262953961</v>
      </c>
      <c r="AX162" s="420">
        <v>2.819185758870182E7</v>
      </c>
      <c r="AY162" s="420">
        <v>1.4497132206029912E7</v>
      </c>
      <c r="AZ162" s="420">
        <v>84772.91439566748</v>
      </c>
      <c r="BA162" s="420">
        <v>289059.88992594567</v>
      </c>
      <c r="BB162" s="420">
        <v>3.1404270226812575E7</v>
      </c>
      <c r="BC162" s="420">
        <v>549716.3435844949</v>
      </c>
      <c r="BD162" s="420">
        <v>1.5710353523985876E7</v>
      </c>
      <c r="BE162" s="420">
        <v>3.501890385293736E7</v>
      </c>
      <c r="BF162" s="420">
        <v>128235.15110169689</v>
      </c>
      <c r="BG162" s="420">
        <v>93084.33476846285</v>
      </c>
      <c r="BH162" s="420">
        <v>1.8432990414797604E7</v>
      </c>
      <c r="BI162" s="406">
        <f t="shared" si="57"/>
        <v>296934023.8</v>
      </c>
      <c r="BJ162" s="24"/>
      <c r="BK162" s="24"/>
      <c r="BL162" s="405">
        <v>4.0</v>
      </c>
      <c r="BM162" s="420">
        <v>0.0</v>
      </c>
      <c r="BN162" s="420">
        <v>0.0</v>
      </c>
      <c r="BO162" s="420">
        <v>0.0</v>
      </c>
      <c r="BP162" s="420">
        <v>0.0</v>
      </c>
      <c r="BQ162" s="420">
        <v>0.0</v>
      </c>
      <c r="BR162" s="420">
        <v>0.0</v>
      </c>
      <c r="BS162" s="420">
        <v>0.0</v>
      </c>
      <c r="BT162" s="420">
        <v>0.0</v>
      </c>
      <c r="BU162" s="420">
        <v>0.0</v>
      </c>
      <c r="BV162" s="420">
        <v>0.0</v>
      </c>
      <c r="BW162" s="420">
        <v>0.0</v>
      </c>
      <c r="BX162" s="420">
        <v>0.0</v>
      </c>
      <c r="BY162" s="420">
        <v>0.0</v>
      </c>
      <c r="BZ162" s="420">
        <v>0.0</v>
      </c>
      <c r="CA162" s="420">
        <v>0.0</v>
      </c>
      <c r="CB162" s="420">
        <v>0.0</v>
      </c>
      <c r="CC162" s="420">
        <v>0.0</v>
      </c>
      <c r="CD162" s="420">
        <v>0.0</v>
      </c>
      <c r="CE162" s="420">
        <v>0.0</v>
      </c>
      <c r="CF162" s="420">
        <v>0.0</v>
      </c>
      <c r="CG162" s="420">
        <v>0.0</v>
      </c>
      <c r="CH162" s="420">
        <v>0.0</v>
      </c>
      <c r="CI162" s="420">
        <v>0.0</v>
      </c>
      <c r="CJ162" s="420">
        <v>0.0</v>
      </c>
      <c r="CK162" s="420">
        <v>0.0</v>
      </c>
      <c r="CL162" s="420">
        <v>0.0</v>
      </c>
      <c r="CM162" s="420">
        <v>0.0</v>
      </c>
      <c r="CN162" s="420">
        <v>0.0</v>
      </c>
      <c r="CO162" s="406">
        <f t="shared" si="58"/>
        <v>0</v>
      </c>
      <c r="CP162" s="34"/>
      <c r="CQ162" s="34"/>
      <c r="CR162" s="405">
        <v>4.0</v>
      </c>
      <c r="CS162" s="420">
        <v>0.0</v>
      </c>
      <c r="CT162" s="420">
        <v>0.0</v>
      </c>
      <c r="CU162" s="420">
        <v>0.0</v>
      </c>
      <c r="CV162" s="420">
        <v>0.0</v>
      </c>
      <c r="CW162" s="420">
        <v>0.0</v>
      </c>
      <c r="CX162" s="420">
        <v>0.0</v>
      </c>
      <c r="CY162" s="420">
        <v>0.0</v>
      </c>
      <c r="CZ162" s="420">
        <v>0.0</v>
      </c>
      <c r="DA162" s="420">
        <v>0.0</v>
      </c>
      <c r="DB162" s="420">
        <v>0.0</v>
      </c>
      <c r="DC162" s="420">
        <v>0.0</v>
      </c>
      <c r="DD162" s="420">
        <v>0.0</v>
      </c>
      <c r="DE162" s="420">
        <v>0.0</v>
      </c>
      <c r="DF162" s="420">
        <v>0.0</v>
      </c>
      <c r="DG162" s="420">
        <v>0.0</v>
      </c>
      <c r="DH162" s="420">
        <v>0.0</v>
      </c>
      <c r="DI162" s="420">
        <v>0.0</v>
      </c>
      <c r="DJ162" s="420">
        <v>0.0</v>
      </c>
      <c r="DK162" s="420">
        <v>0.0</v>
      </c>
      <c r="DL162" s="420">
        <v>0.0</v>
      </c>
      <c r="DM162" s="420">
        <v>0.0</v>
      </c>
      <c r="DN162" s="420">
        <v>0.0</v>
      </c>
      <c r="DO162" s="420">
        <v>0.0</v>
      </c>
      <c r="DP162" s="420">
        <v>0.0</v>
      </c>
      <c r="DQ162" s="420">
        <v>0.0</v>
      </c>
      <c r="DR162" s="420">
        <v>0.0</v>
      </c>
      <c r="DS162" s="420">
        <v>0.0</v>
      </c>
      <c r="DT162" s="420">
        <v>0.0</v>
      </c>
      <c r="DU162" s="406">
        <f t="shared" si="59"/>
        <v>0</v>
      </c>
    </row>
    <row r="163">
      <c r="B163" s="405">
        <v>6.0</v>
      </c>
      <c r="C163" s="407">
        <v>0.0</v>
      </c>
      <c r="D163" s="407">
        <v>0.0</v>
      </c>
      <c r="E163" s="407">
        <v>0.0</v>
      </c>
      <c r="F163" s="407">
        <v>0.0</v>
      </c>
      <c r="G163" s="407">
        <v>0.0</v>
      </c>
      <c r="H163" s="407">
        <v>1.0</v>
      </c>
      <c r="I163" s="407">
        <v>0.0</v>
      </c>
      <c r="J163" s="407">
        <v>0.0</v>
      </c>
      <c r="K163" s="407">
        <v>0.0</v>
      </c>
      <c r="L163" s="407">
        <v>0.0</v>
      </c>
      <c r="M163" s="407">
        <v>0.0</v>
      </c>
      <c r="N163" s="407">
        <v>0.0</v>
      </c>
      <c r="O163" s="407">
        <v>0.0</v>
      </c>
      <c r="P163" s="407">
        <v>0.0</v>
      </c>
      <c r="Q163" s="407">
        <v>0.0</v>
      </c>
      <c r="R163" s="407">
        <v>0.0</v>
      </c>
      <c r="S163" s="407">
        <v>0.0</v>
      </c>
      <c r="T163" s="407">
        <v>0.0</v>
      </c>
      <c r="U163" s="407">
        <v>0.0</v>
      </c>
      <c r="V163" s="407">
        <v>0.0</v>
      </c>
      <c r="W163" s="407">
        <v>0.0</v>
      </c>
      <c r="X163" s="407">
        <v>0.0</v>
      </c>
      <c r="Y163" s="407">
        <v>0.0</v>
      </c>
      <c r="Z163" s="407">
        <v>0.0</v>
      </c>
      <c r="AA163" s="407">
        <v>0.0</v>
      </c>
      <c r="AB163" s="407">
        <v>0.0</v>
      </c>
      <c r="AC163" s="407">
        <v>0.0</v>
      </c>
      <c r="AD163" s="407">
        <v>0.0</v>
      </c>
      <c r="AF163" s="262" t="s">
        <v>147</v>
      </c>
      <c r="AG163" s="420">
        <v>7429.171839058148</v>
      </c>
      <c r="AH163" s="420">
        <v>282145.70305671677</v>
      </c>
      <c r="AI163" s="420">
        <v>5036692.333359104</v>
      </c>
      <c r="AJ163" s="420">
        <v>798501.6624269217</v>
      </c>
      <c r="AK163" s="420">
        <v>1.6916442776697645E8</v>
      </c>
      <c r="AL163" s="420">
        <v>1572.647171324803</v>
      </c>
      <c r="AM163" s="420">
        <v>10894.004749364654</v>
      </c>
      <c r="AN163" s="420">
        <v>1846930.9333576425</v>
      </c>
      <c r="AO163" s="420">
        <v>1276.805207287573</v>
      </c>
      <c r="AP163" s="420">
        <v>2600675.8260862916</v>
      </c>
      <c r="AQ163" s="420">
        <v>7779822.726963321</v>
      </c>
      <c r="AR163" s="420">
        <v>2088.5524767051347</v>
      </c>
      <c r="AS163" s="420">
        <v>218.8624713172077</v>
      </c>
      <c r="AT163" s="420">
        <v>6809793.543336722</v>
      </c>
      <c r="AU163" s="420">
        <v>712145.0599749227</v>
      </c>
      <c r="AV163" s="420">
        <v>3615709.4620859944</v>
      </c>
      <c r="AW163" s="420">
        <v>5627585.2500783065</v>
      </c>
      <c r="AX163" s="420">
        <v>9193096.590042178</v>
      </c>
      <c r="AY163" s="420">
        <v>2.410444805635372E7</v>
      </c>
      <c r="AZ163" s="420">
        <v>49666.77525250228</v>
      </c>
      <c r="BA163" s="420">
        <v>201462.7754814472</v>
      </c>
      <c r="BB163" s="420">
        <v>2.4825011652299043E7</v>
      </c>
      <c r="BC163" s="420">
        <v>579339.6069608564</v>
      </c>
      <c r="BD163" s="420">
        <v>1.1862529858251497E7</v>
      </c>
      <c r="BE163" s="420">
        <v>2.77476688565412E7</v>
      </c>
      <c r="BF163" s="420">
        <v>105520.88573406018</v>
      </c>
      <c r="BG163" s="420">
        <v>67088.1992142881</v>
      </c>
      <c r="BH163" s="420">
        <v>1.6402124238092164E7</v>
      </c>
      <c r="BI163" s="406">
        <f t="shared" si="57"/>
        <v>319435867.8</v>
      </c>
      <c r="BJ163" s="24"/>
      <c r="BK163" s="24"/>
      <c r="BL163" s="405">
        <v>5.0</v>
      </c>
      <c r="BM163" s="420">
        <v>0.0</v>
      </c>
      <c r="BN163" s="420">
        <v>0.0</v>
      </c>
      <c r="BO163" s="420">
        <v>0.0</v>
      </c>
      <c r="BP163" s="420">
        <v>0.0</v>
      </c>
      <c r="BQ163" s="420">
        <v>0.0</v>
      </c>
      <c r="BR163" s="420">
        <v>0.0</v>
      </c>
      <c r="BS163" s="420">
        <v>0.0</v>
      </c>
      <c r="BT163" s="420">
        <v>0.0</v>
      </c>
      <c r="BU163" s="420">
        <v>0.0</v>
      </c>
      <c r="BV163" s="420">
        <v>0.0</v>
      </c>
      <c r="BW163" s="420">
        <v>0.0</v>
      </c>
      <c r="BX163" s="420">
        <v>0.0</v>
      </c>
      <c r="BY163" s="420">
        <v>0.0</v>
      </c>
      <c r="BZ163" s="420">
        <v>0.0</v>
      </c>
      <c r="CA163" s="420">
        <v>0.0</v>
      </c>
      <c r="CB163" s="420">
        <v>0.0</v>
      </c>
      <c r="CC163" s="420">
        <v>0.0</v>
      </c>
      <c r="CD163" s="420">
        <v>0.0</v>
      </c>
      <c r="CE163" s="420">
        <v>0.0</v>
      </c>
      <c r="CF163" s="420">
        <v>0.0</v>
      </c>
      <c r="CG163" s="420">
        <v>0.0</v>
      </c>
      <c r="CH163" s="420">
        <v>0.0</v>
      </c>
      <c r="CI163" s="420">
        <v>0.0</v>
      </c>
      <c r="CJ163" s="420">
        <v>0.0</v>
      </c>
      <c r="CK163" s="420">
        <v>0.0</v>
      </c>
      <c r="CL163" s="420">
        <v>0.0</v>
      </c>
      <c r="CM163" s="420">
        <v>0.0</v>
      </c>
      <c r="CN163" s="420">
        <v>0.0</v>
      </c>
      <c r="CO163" s="406">
        <f t="shared" si="58"/>
        <v>0</v>
      </c>
      <c r="CP163" s="34"/>
      <c r="CQ163" s="34"/>
      <c r="CR163" s="405">
        <v>5.0</v>
      </c>
      <c r="CS163" s="420">
        <v>0.0</v>
      </c>
      <c r="CT163" s="420">
        <v>0.0</v>
      </c>
      <c r="CU163" s="420">
        <v>0.0</v>
      </c>
      <c r="CV163" s="420">
        <v>0.0</v>
      </c>
      <c r="CW163" s="420">
        <v>0.0</v>
      </c>
      <c r="CX163" s="420">
        <v>0.0</v>
      </c>
      <c r="CY163" s="420">
        <v>0.0</v>
      </c>
      <c r="CZ163" s="420">
        <v>0.0</v>
      </c>
      <c r="DA163" s="420">
        <v>0.0</v>
      </c>
      <c r="DB163" s="420">
        <v>0.0</v>
      </c>
      <c r="DC163" s="420">
        <v>0.0</v>
      </c>
      <c r="DD163" s="420">
        <v>0.0</v>
      </c>
      <c r="DE163" s="420">
        <v>0.0</v>
      </c>
      <c r="DF163" s="420">
        <v>0.0</v>
      </c>
      <c r="DG163" s="420">
        <v>0.0</v>
      </c>
      <c r="DH163" s="420">
        <v>0.0</v>
      </c>
      <c r="DI163" s="420">
        <v>0.0</v>
      </c>
      <c r="DJ163" s="420">
        <v>0.0</v>
      </c>
      <c r="DK163" s="420">
        <v>0.0</v>
      </c>
      <c r="DL163" s="420">
        <v>0.0</v>
      </c>
      <c r="DM163" s="420">
        <v>0.0</v>
      </c>
      <c r="DN163" s="420">
        <v>0.0</v>
      </c>
      <c r="DO163" s="420">
        <v>0.0</v>
      </c>
      <c r="DP163" s="420">
        <v>0.0</v>
      </c>
      <c r="DQ163" s="420">
        <v>0.0</v>
      </c>
      <c r="DR163" s="420">
        <v>0.0</v>
      </c>
      <c r="DS163" s="420">
        <v>0.0</v>
      </c>
      <c r="DT163" s="420">
        <v>0.0</v>
      </c>
      <c r="DU163" s="406">
        <f t="shared" si="59"/>
        <v>0</v>
      </c>
    </row>
    <row r="164">
      <c r="B164" s="405">
        <v>7.0</v>
      </c>
      <c r="C164" s="407">
        <v>0.0</v>
      </c>
      <c r="D164" s="407">
        <v>0.0</v>
      </c>
      <c r="E164" s="407">
        <v>0.0</v>
      </c>
      <c r="F164" s="407">
        <v>0.0</v>
      </c>
      <c r="G164" s="407">
        <v>0.0</v>
      </c>
      <c r="H164" s="407">
        <v>0.0</v>
      </c>
      <c r="I164" s="407">
        <v>1.0</v>
      </c>
      <c r="J164" s="407">
        <v>0.0</v>
      </c>
      <c r="K164" s="407">
        <v>0.0</v>
      </c>
      <c r="L164" s="407">
        <v>0.0</v>
      </c>
      <c r="M164" s="407">
        <v>0.0</v>
      </c>
      <c r="N164" s="407">
        <v>0.0</v>
      </c>
      <c r="O164" s="407">
        <v>0.0</v>
      </c>
      <c r="P164" s="407">
        <v>0.0</v>
      </c>
      <c r="Q164" s="407">
        <v>0.0</v>
      </c>
      <c r="R164" s="407">
        <v>0.0</v>
      </c>
      <c r="S164" s="407">
        <v>0.0</v>
      </c>
      <c r="T164" s="407">
        <v>0.0</v>
      </c>
      <c r="U164" s="407">
        <v>0.0</v>
      </c>
      <c r="V164" s="407">
        <v>0.0</v>
      </c>
      <c r="W164" s="407">
        <v>0.0</v>
      </c>
      <c r="X164" s="407">
        <v>0.0</v>
      </c>
      <c r="Y164" s="407">
        <v>0.0</v>
      </c>
      <c r="Z164" s="407">
        <v>0.0</v>
      </c>
      <c r="AA164" s="407">
        <v>0.0</v>
      </c>
      <c r="AB164" s="407">
        <v>0.0</v>
      </c>
      <c r="AC164" s="407">
        <v>0.0</v>
      </c>
      <c r="AD164" s="407">
        <v>0.0</v>
      </c>
      <c r="AF164" s="262" t="s">
        <v>148</v>
      </c>
      <c r="AG164" s="420">
        <v>3374934.064923759</v>
      </c>
      <c r="AH164" s="420">
        <v>1899221.2153261437</v>
      </c>
      <c r="AI164" s="420">
        <v>3158441.4628975308</v>
      </c>
      <c r="AJ164" s="420">
        <v>4425103.846679436</v>
      </c>
      <c r="AK164" s="420">
        <v>3572243.5835644463</v>
      </c>
      <c r="AL164" s="420">
        <v>4.2394975630155765E7</v>
      </c>
      <c r="AM164" s="420">
        <v>908696.9025808744</v>
      </c>
      <c r="AN164" s="420">
        <v>1.1790757926664416E8</v>
      </c>
      <c r="AO164" s="420">
        <v>32003.17177398096</v>
      </c>
      <c r="AP164" s="420">
        <v>1.3176842708438428E8</v>
      </c>
      <c r="AQ164" s="420">
        <v>6.42112320150263E8</v>
      </c>
      <c r="AR164" s="420">
        <v>8673129.583969114</v>
      </c>
      <c r="AS164" s="420">
        <v>19837.830987516263</v>
      </c>
      <c r="AT164" s="420">
        <v>1.0071961322386023E7</v>
      </c>
      <c r="AU164" s="420">
        <v>3468094.6554140383</v>
      </c>
      <c r="AV164" s="420">
        <v>3960039.082988499</v>
      </c>
      <c r="AW164" s="420">
        <v>4967972.306443837</v>
      </c>
      <c r="AX164" s="420">
        <v>1.1249196795985762E7</v>
      </c>
      <c r="AY164" s="420">
        <v>1.0146016323756786E7</v>
      </c>
      <c r="AZ164" s="420">
        <v>936420.1069972076</v>
      </c>
      <c r="BA164" s="420">
        <v>723053.0400729603</v>
      </c>
      <c r="BB164" s="420">
        <v>1.4556246319789636E8</v>
      </c>
      <c r="BC164" s="420">
        <v>1629042.7203644374</v>
      </c>
      <c r="BD164" s="420">
        <v>4.2574212661359414E7</v>
      </c>
      <c r="BE164" s="420">
        <v>8.09284858017261E7</v>
      </c>
      <c r="BF164" s="420">
        <v>1698695.664184765</v>
      </c>
      <c r="BG164" s="420">
        <v>442949.9796322116</v>
      </c>
      <c r="BH164" s="420">
        <v>9104647.656271815</v>
      </c>
      <c r="BI164" s="406">
        <f t="shared" si="57"/>
        <v>1287710165</v>
      </c>
      <c r="BJ164" s="24"/>
      <c r="BK164" s="24"/>
      <c r="BL164" s="405">
        <v>6.0</v>
      </c>
      <c r="BM164" s="420">
        <v>0.0</v>
      </c>
      <c r="BN164" s="420">
        <v>0.0</v>
      </c>
      <c r="BO164" s="420">
        <v>0.0</v>
      </c>
      <c r="BP164" s="420">
        <v>0.0</v>
      </c>
      <c r="BQ164" s="420">
        <v>0.0</v>
      </c>
      <c r="BR164" s="420">
        <v>0.0</v>
      </c>
      <c r="BS164" s="420">
        <v>0.0</v>
      </c>
      <c r="BT164" s="420">
        <v>0.0</v>
      </c>
      <c r="BU164" s="420">
        <v>0.0</v>
      </c>
      <c r="BV164" s="420">
        <v>0.0</v>
      </c>
      <c r="BW164" s="420">
        <v>0.0</v>
      </c>
      <c r="BX164" s="420">
        <v>0.0</v>
      </c>
      <c r="BY164" s="420">
        <v>0.0</v>
      </c>
      <c r="BZ164" s="420">
        <v>0.0</v>
      </c>
      <c r="CA164" s="420">
        <v>0.0</v>
      </c>
      <c r="CB164" s="420">
        <v>0.0</v>
      </c>
      <c r="CC164" s="420">
        <v>0.0</v>
      </c>
      <c r="CD164" s="420">
        <v>0.0</v>
      </c>
      <c r="CE164" s="420">
        <v>0.0</v>
      </c>
      <c r="CF164" s="420">
        <v>0.0</v>
      </c>
      <c r="CG164" s="420">
        <v>0.0</v>
      </c>
      <c r="CH164" s="420">
        <v>0.0</v>
      </c>
      <c r="CI164" s="420">
        <v>0.0</v>
      </c>
      <c r="CJ164" s="420">
        <v>0.0</v>
      </c>
      <c r="CK164" s="420">
        <v>0.0</v>
      </c>
      <c r="CL164" s="420">
        <v>0.0</v>
      </c>
      <c r="CM164" s="420">
        <v>0.0</v>
      </c>
      <c r="CN164" s="420">
        <v>0.0</v>
      </c>
      <c r="CO164" s="406">
        <f t="shared" si="58"/>
        <v>0</v>
      </c>
      <c r="CP164" s="34"/>
      <c r="CQ164" s="34"/>
      <c r="CR164" s="405">
        <v>6.0</v>
      </c>
      <c r="CS164" s="420">
        <v>0.0</v>
      </c>
      <c r="CT164" s="420">
        <v>0.0</v>
      </c>
      <c r="CU164" s="420">
        <v>0.0</v>
      </c>
      <c r="CV164" s="420">
        <v>0.0</v>
      </c>
      <c r="CW164" s="420">
        <v>0.0</v>
      </c>
      <c r="CX164" s="420">
        <v>0.0</v>
      </c>
      <c r="CY164" s="420">
        <v>0.0</v>
      </c>
      <c r="CZ164" s="420">
        <v>0.0</v>
      </c>
      <c r="DA164" s="420">
        <v>0.0</v>
      </c>
      <c r="DB164" s="420">
        <v>0.0</v>
      </c>
      <c r="DC164" s="420">
        <v>0.0</v>
      </c>
      <c r="DD164" s="420">
        <v>0.0</v>
      </c>
      <c r="DE164" s="420">
        <v>0.0</v>
      </c>
      <c r="DF164" s="420">
        <v>0.0</v>
      </c>
      <c r="DG164" s="420">
        <v>0.0</v>
      </c>
      <c r="DH164" s="420">
        <v>0.0</v>
      </c>
      <c r="DI164" s="420">
        <v>0.0</v>
      </c>
      <c r="DJ164" s="420">
        <v>0.0</v>
      </c>
      <c r="DK164" s="420">
        <v>0.0</v>
      </c>
      <c r="DL164" s="420">
        <v>0.0</v>
      </c>
      <c r="DM164" s="420">
        <v>0.0</v>
      </c>
      <c r="DN164" s="420">
        <v>0.0</v>
      </c>
      <c r="DO164" s="420">
        <v>0.0</v>
      </c>
      <c r="DP164" s="420">
        <v>0.0</v>
      </c>
      <c r="DQ164" s="420">
        <v>0.0</v>
      </c>
      <c r="DR164" s="420">
        <v>0.0</v>
      </c>
      <c r="DS164" s="420">
        <v>0.0</v>
      </c>
      <c r="DT164" s="420">
        <v>0.0</v>
      </c>
      <c r="DU164" s="406">
        <f t="shared" si="59"/>
        <v>0</v>
      </c>
    </row>
    <row r="165">
      <c r="B165" s="405">
        <v>8.0</v>
      </c>
      <c r="C165" s="407">
        <v>0.0</v>
      </c>
      <c r="D165" s="407">
        <v>0.0</v>
      </c>
      <c r="E165" s="407">
        <v>0.0</v>
      </c>
      <c r="F165" s="407">
        <v>0.0</v>
      </c>
      <c r="G165" s="407">
        <v>0.0</v>
      </c>
      <c r="H165" s="407">
        <v>0.0</v>
      </c>
      <c r="I165" s="407">
        <v>0.0</v>
      </c>
      <c r="J165" s="407">
        <v>1.0</v>
      </c>
      <c r="K165" s="407">
        <v>0.0</v>
      </c>
      <c r="L165" s="407">
        <v>0.0</v>
      </c>
      <c r="M165" s="407">
        <v>0.0</v>
      </c>
      <c r="N165" s="407">
        <v>0.0</v>
      </c>
      <c r="O165" s="407">
        <v>0.0</v>
      </c>
      <c r="P165" s="407">
        <v>0.0</v>
      </c>
      <c r="Q165" s="407">
        <v>0.0</v>
      </c>
      <c r="R165" s="407">
        <v>0.0</v>
      </c>
      <c r="S165" s="407">
        <v>0.0</v>
      </c>
      <c r="T165" s="407">
        <v>0.0</v>
      </c>
      <c r="U165" s="407">
        <v>0.0</v>
      </c>
      <c r="V165" s="407">
        <v>0.0</v>
      </c>
      <c r="W165" s="407">
        <v>0.0</v>
      </c>
      <c r="X165" s="407">
        <v>0.0</v>
      </c>
      <c r="Y165" s="407">
        <v>0.0</v>
      </c>
      <c r="Z165" s="407">
        <v>0.0</v>
      </c>
      <c r="AA165" s="407">
        <v>0.0</v>
      </c>
      <c r="AB165" s="407">
        <v>0.0</v>
      </c>
      <c r="AC165" s="407">
        <v>0.0</v>
      </c>
      <c r="AD165" s="407">
        <v>0.0</v>
      </c>
      <c r="AF165" s="262" t="s">
        <v>149</v>
      </c>
      <c r="AG165" s="420">
        <v>1700554.4519200865</v>
      </c>
      <c r="AH165" s="420">
        <v>1702049.5205500305</v>
      </c>
      <c r="AI165" s="420">
        <v>3856649.073860228</v>
      </c>
      <c r="AJ165" s="420">
        <v>2038078.4350377866</v>
      </c>
      <c r="AK165" s="420">
        <v>2435932.687097972</v>
      </c>
      <c r="AL165" s="420">
        <v>258545.695771953</v>
      </c>
      <c r="AM165" s="420">
        <v>2.3774065713857663E8</v>
      </c>
      <c r="AN165" s="420">
        <v>1.949898418223977E8</v>
      </c>
      <c r="AO165" s="420">
        <v>402154.8107831759</v>
      </c>
      <c r="AP165" s="420">
        <v>8.84350434196412E7</v>
      </c>
      <c r="AQ165" s="420">
        <v>1.2308201556929217E8</v>
      </c>
      <c r="AR165" s="420">
        <v>334576.9983433523</v>
      </c>
      <c r="AS165" s="420">
        <v>14733.193318616964</v>
      </c>
      <c r="AT165" s="420">
        <v>1.4422796935525976E7</v>
      </c>
      <c r="AU165" s="420">
        <v>1.4063985777834982E7</v>
      </c>
      <c r="AV165" s="420">
        <v>7940436.11630599</v>
      </c>
      <c r="AW165" s="420">
        <v>7807629.620225774</v>
      </c>
      <c r="AX165" s="420">
        <v>1.8242135644643698E7</v>
      </c>
      <c r="AY165" s="420">
        <v>2.0273147001420826E7</v>
      </c>
      <c r="AZ165" s="420">
        <v>626404.3190613121</v>
      </c>
      <c r="BA165" s="420">
        <v>1379873.5729627945</v>
      </c>
      <c r="BB165" s="420">
        <v>2.8399921773836154E8</v>
      </c>
      <c r="BC165" s="420">
        <v>3186808.7991868537</v>
      </c>
      <c r="BD165" s="420">
        <v>7.143409468032345E7</v>
      </c>
      <c r="BE165" s="420">
        <v>1.1151738399016695E8</v>
      </c>
      <c r="BF165" s="420">
        <v>1135796.012363002</v>
      </c>
      <c r="BG165" s="420">
        <v>835024.1603603442</v>
      </c>
      <c r="BH165" s="420">
        <v>2.2362525196369648E7</v>
      </c>
      <c r="BI165" s="406">
        <f t="shared" si="57"/>
        <v>1236218092</v>
      </c>
      <c r="BJ165" s="24"/>
      <c r="BK165" s="24"/>
      <c r="BL165" s="405">
        <v>7.0</v>
      </c>
      <c r="BM165" s="420">
        <v>0.0</v>
      </c>
      <c r="BN165" s="420">
        <v>0.0</v>
      </c>
      <c r="BO165" s="420">
        <v>0.0</v>
      </c>
      <c r="BP165" s="420">
        <v>0.0</v>
      </c>
      <c r="BQ165" s="420">
        <v>0.0</v>
      </c>
      <c r="BR165" s="420">
        <v>0.0</v>
      </c>
      <c r="BS165" s="420">
        <v>0.0</v>
      </c>
      <c r="BT165" s="420">
        <v>0.0</v>
      </c>
      <c r="BU165" s="420">
        <v>0.0</v>
      </c>
      <c r="BV165" s="420">
        <v>0.0</v>
      </c>
      <c r="BW165" s="420">
        <v>0.0</v>
      </c>
      <c r="BX165" s="420">
        <v>0.0</v>
      </c>
      <c r="BY165" s="420">
        <v>0.0</v>
      </c>
      <c r="BZ165" s="420">
        <v>0.0</v>
      </c>
      <c r="CA165" s="420">
        <v>0.0</v>
      </c>
      <c r="CB165" s="420">
        <v>0.0</v>
      </c>
      <c r="CC165" s="420">
        <v>0.0</v>
      </c>
      <c r="CD165" s="420">
        <v>0.0</v>
      </c>
      <c r="CE165" s="420">
        <v>0.0</v>
      </c>
      <c r="CF165" s="420">
        <v>0.0</v>
      </c>
      <c r="CG165" s="420">
        <v>0.0</v>
      </c>
      <c r="CH165" s="420">
        <v>0.0</v>
      </c>
      <c r="CI165" s="420">
        <v>0.0</v>
      </c>
      <c r="CJ165" s="420">
        <v>0.0</v>
      </c>
      <c r="CK165" s="420">
        <v>0.0</v>
      </c>
      <c r="CL165" s="420">
        <v>0.0</v>
      </c>
      <c r="CM165" s="420">
        <v>0.0</v>
      </c>
      <c r="CN165" s="420">
        <v>0.0</v>
      </c>
      <c r="CO165" s="406">
        <f t="shared" si="58"/>
        <v>0</v>
      </c>
      <c r="CP165" s="34"/>
      <c r="CQ165" s="34"/>
      <c r="CR165" s="405">
        <v>7.0</v>
      </c>
      <c r="CS165" s="420">
        <v>0.0</v>
      </c>
      <c r="CT165" s="420">
        <v>0.0</v>
      </c>
      <c r="CU165" s="420">
        <v>0.0</v>
      </c>
      <c r="CV165" s="420">
        <v>0.0</v>
      </c>
      <c r="CW165" s="420">
        <v>0.0</v>
      </c>
      <c r="CX165" s="420">
        <v>0.0</v>
      </c>
      <c r="CY165" s="420">
        <v>0.0</v>
      </c>
      <c r="CZ165" s="420">
        <v>0.0</v>
      </c>
      <c r="DA165" s="420">
        <v>0.0</v>
      </c>
      <c r="DB165" s="420">
        <v>0.0</v>
      </c>
      <c r="DC165" s="420">
        <v>0.0</v>
      </c>
      <c r="DD165" s="420">
        <v>0.0</v>
      </c>
      <c r="DE165" s="420">
        <v>0.0</v>
      </c>
      <c r="DF165" s="420">
        <v>0.0</v>
      </c>
      <c r="DG165" s="420">
        <v>0.0</v>
      </c>
      <c r="DH165" s="420">
        <v>0.0</v>
      </c>
      <c r="DI165" s="420">
        <v>0.0</v>
      </c>
      <c r="DJ165" s="420">
        <v>0.0</v>
      </c>
      <c r="DK165" s="420">
        <v>0.0</v>
      </c>
      <c r="DL165" s="420">
        <v>0.0</v>
      </c>
      <c r="DM165" s="420">
        <v>0.0</v>
      </c>
      <c r="DN165" s="420">
        <v>0.0</v>
      </c>
      <c r="DO165" s="420">
        <v>0.0</v>
      </c>
      <c r="DP165" s="420">
        <v>0.0</v>
      </c>
      <c r="DQ165" s="420">
        <v>0.0</v>
      </c>
      <c r="DR165" s="420">
        <v>0.0</v>
      </c>
      <c r="DS165" s="420">
        <v>0.0</v>
      </c>
      <c r="DT165" s="420">
        <v>0.0</v>
      </c>
      <c r="DU165" s="406">
        <f t="shared" si="59"/>
        <v>0</v>
      </c>
    </row>
    <row r="166">
      <c r="B166" s="405">
        <v>9.0</v>
      </c>
      <c r="C166" s="407">
        <v>0.0</v>
      </c>
      <c r="D166" s="407">
        <v>0.0</v>
      </c>
      <c r="E166" s="407">
        <v>0.0</v>
      </c>
      <c r="F166" s="407">
        <v>0.0</v>
      </c>
      <c r="G166" s="407">
        <v>0.0</v>
      </c>
      <c r="H166" s="407">
        <v>0.0</v>
      </c>
      <c r="I166" s="407">
        <v>0.0</v>
      </c>
      <c r="J166" s="407">
        <v>0.0</v>
      </c>
      <c r="K166" s="407">
        <v>1.0</v>
      </c>
      <c r="L166" s="407">
        <v>0.0</v>
      </c>
      <c r="M166" s="407">
        <v>0.0</v>
      </c>
      <c r="N166" s="407">
        <v>0.0</v>
      </c>
      <c r="O166" s="407">
        <v>0.0</v>
      </c>
      <c r="P166" s="407">
        <v>0.0</v>
      </c>
      <c r="Q166" s="407">
        <v>0.0</v>
      </c>
      <c r="R166" s="407">
        <v>0.0</v>
      </c>
      <c r="S166" s="407">
        <v>0.0</v>
      </c>
      <c r="T166" s="407">
        <v>0.0</v>
      </c>
      <c r="U166" s="407">
        <v>0.0</v>
      </c>
      <c r="V166" s="407">
        <v>0.0</v>
      </c>
      <c r="W166" s="407">
        <v>0.0</v>
      </c>
      <c r="X166" s="407">
        <v>0.0</v>
      </c>
      <c r="Y166" s="407">
        <v>0.0</v>
      </c>
      <c r="Z166" s="407">
        <v>0.0</v>
      </c>
      <c r="AA166" s="407">
        <v>0.0</v>
      </c>
      <c r="AB166" s="407">
        <v>0.0</v>
      </c>
      <c r="AC166" s="407">
        <v>0.0</v>
      </c>
      <c r="AD166" s="407">
        <v>0.0</v>
      </c>
      <c r="AF166" s="262" t="s">
        <v>150</v>
      </c>
      <c r="AG166" s="420">
        <v>8949431.434045054</v>
      </c>
      <c r="AH166" s="420">
        <v>1.5335023070407998E7</v>
      </c>
      <c r="AI166" s="420">
        <v>3.21004948461306E7</v>
      </c>
      <c r="AJ166" s="420">
        <v>2.2431078592548534E7</v>
      </c>
      <c r="AK166" s="420">
        <v>2.4104438724027853E7</v>
      </c>
      <c r="AL166" s="420">
        <v>1030164.4868832775</v>
      </c>
      <c r="AM166" s="420">
        <v>1.1543158485000586E7</v>
      </c>
      <c r="AN166" s="420">
        <v>9.886383011246548E9</v>
      </c>
      <c r="AO166" s="420">
        <v>160172.85427030406</v>
      </c>
      <c r="AP166" s="420">
        <v>7.430593316664791E8</v>
      </c>
      <c r="AQ166" s="420">
        <v>2.4766595374947767E9</v>
      </c>
      <c r="AR166" s="420">
        <v>1297459.6373259737</v>
      </c>
      <c r="AS166" s="420">
        <v>445833.62276775297</v>
      </c>
      <c r="AT166" s="420">
        <v>7.108698571177304E7</v>
      </c>
      <c r="AU166" s="420">
        <v>9.517463610467103E7</v>
      </c>
      <c r="AV166" s="420">
        <v>9.81818693698509E7</v>
      </c>
      <c r="AW166" s="420">
        <v>8.490339910378553E7</v>
      </c>
      <c r="AX166" s="420">
        <v>2.0244366812413004E8</v>
      </c>
      <c r="AY166" s="420">
        <v>1.8988285870574203E8</v>
      </c>
      <c r="AZ166" s="420">
        <v>7701351.337564542</v>
      </c>
      <c r="BA166" s="420">
        <v>2.192150780429863E7</v>
      </c>
      <c r="BB166" s="420">
        <v>6.31715899107865E9</v>
      </c>
      <c r="BC166" s="420">
        <v>5.036128305773316E7</v>
      </c>
      <c r="BD166" s="420">
        <v>9.184297290447458E8</v>
      </c>
      <c r="BE166" s="420">
        <v>1.93608829265279E9</v>
      </c>
      <c r="BF166" s="420">
        <v>1.3434016709296813E7</v>
      </c>
      <c r="BG166" s="420">
        <v>9898124.375211976</v>
      </c>
      <c r="BH166" s="420">
        <v>1.7614206919371748E8</v>
      </c>
      <c r="BI166" s="406">
        <f t="shared" si="57"/>
        <v>23416307919</v>
      </c>
      <c r="BJ166" s="24"/>
      <c r="BK166" s="24"/>
      <c r="BL166" s="405">
        <v>8.0</v>
      </c>
      <c r="BM166" s="420">
        <v>0.0</v>
      </c>
      <c r="BN166" s="420">
        <v>0.0</v>
      </c>
      <c r="BO166" s="420">
        <v>0.0</v>
      </c>
      <c r="BP166" s="420">
        <v>0.0</v>
      </c>
      <c r="BQ166" s="420">
        <v>0.0</v>
      </c>
      <c r="BR166" s="420">
        <v>0.0</v>
      </c>
      <c r="BS166" s="420">
        <v>0.0</v>
      </c>
      <c r="BT166" s="420">
        <v>0.0</v>
      </c>
      <c r="BU166" s="420">
        <v>0.0</v>
      </c>
      <c r="BV166" s="420">
        <v>0.0</v>
      </c>
      <c r="BW166" s="420">
        <v>0.0</v>
      </c>
      <c r="BX166" s="420">
        <v>0.0</v>
      </c>
      <c r="BY166" s="420">
        <v>0.0</v>
      </c>
      <c r="BZ166" s="420">
        <v>0.0</v>
      </c>
      <c r="CA166" s="420">
        <v>0.0</v>
      </c>
      <c r="CB166" s="420">
        <v>0.0</v>
      </c>
      <c r="CC166" s="420">
        <v>0.0</v>
      </c>
      <c r="CD166" s="420">
        <v>0.0</v>
      </c>
      <c r="CE166" s="420">
        <v>0.0</v>
      </c>
      <c r="CF166" s="420">
        <v>0.0</v>
      </c>
      <c r="CG166" s="420">
        <v>0.0</v>
      </c>
      <c r="CH166" s="420">
        <v>0.0</v>
      </c>
      <c r="CI166" s="420">
        <v>0.0</v>
      </c>
      <c r="CJ166" s="420">
        <v>0.0</v>
      </c>
      <c r="CK166" s="420">
        <v>0.0</v>
      </c>
      <c r="CL166" s="420">
        <v>0.0</v>
      </c>
      <c r="CM166" s="420">
        <v>0.0</v>
      </c>
      <c r="CN166" s="420">
        <v>0.0</v>
      </c>
      <c r="CO166" s="406">
        <f t="shared" si="58"/>
        <v>0</v>
      </c>
      <c r="CP166" s="34"/>
      <c r="CQ166" s="34"/>
      <c r="CR166" s="405">
        <v>8.0</v>
      </c>
      <c r="CS166" s="420">
        <v>0.0</v>
      </c>
      <c r="CT166" s="420">
        <v>0.0</v>
      </c>
      <c r="CU166" s="420">
        <v>0.0</v>
      </c>
      <c r="CV166" s="420">
        <v>0.0</v>
      </c>
      <c r="CW166" s="420">
        <v>0.0</v>
      </c>
      <c r="CX166" s="420">
        <v>0.0</v>
      </c>
      <c r="CY166" s="420">
        <v>0.0</v>
      </c>
      <c r="CZ166" s="420">
        <v>0.0</v>
      </c>
      <c r="DA166" s="420">
        <v>0.0</v>
      </c>
      <c r="DB166" s="420">
        <v>0.0</v>
      </c>
      <c r="DC166" s="420">
        <v>0.0</v>
      </c>
      <c r="DD166" s="420">
        <v>0.0</v>
      </c>
      <c r="DE166" s="420">
        <v>0.0</v>
      </c>
      <c r="DF166" s="420">
        <v>0.0</v>
      </c>
      <c r="DG166" s="420">
        <v>0.0</v>
      </c>
      <c r="DH166" s="420">
        <v>0.0</v>
      </c>
      <c r="DI166" s="420">
        <v>0.0</v>
      </c>
      <c r="DJ166" s="420">
        <v>0.0</v>
      </c>
      <c r="DK166" s="420">
        <v>0.0</v>
      </c>
      <c r="DL166" s="420">
        <v>0.0</v>
      </c>
      <c r="DM166" s="420">
        <v>0.0</v>
      </c>
      <c r="DN166" s="420">
        <v>0.0</v>
      </c>
      <c r="DO166" s="420">
        <v>0.0</v>
      </c>
      <c r="DP166" s="420">
        <v>0.0</v>
      </c>
      <c r="DQ166" s="420">
        <v>0.0</v>
      </c>
      <c r="DR166" s="420">
        <v>0.0</v>
      </c>
      <c r="DS166" s="420">
        <v>0.0</v>
      </c>
      <c r="DT166" s="420">
        <v>0.0</v>
      </c>
      <c r="DU166" s="406">
        <f t="shared" si="59"/>
        <v>0</v>
      </c>
    </row>
    <row r="167">
      <c r="B167" s="405">
        <v>10.0</v>
      </c>
      <c r="C167" s="407">
        <v>0.0</v>
      </c>
      <c r="D167" s="407">
        <v>0.0</v>
      </c>
      <c r="E167" s="407">
        <v>0.0</v>
      </c>
      <c r="F167" s="407">
        <v>0.0</v>
      </c>
      <c r="G167" s="407">
        <v>0.0</v>
      </c>
      <c r="H167" s="407">
        <v>0.0</v>
      </c>
      <c r="I167" s="407">
        <v>0.0</v>
      </c>
      <c r="J167" s="407">
        <v>0.0</v>
      </c>
      <c r="K167" s="407">
        <v>0.0</v>
      </c>
      <c r="L167" s="407">
        <v>1.0</v>
      </c>
      <c r="M167" s="407">
        <v>0.0</v>
      </c>
      <c r="N167" s="407">
        <v>0.0</v>
      </c>
      <c r="O167" s="407">
        <v>0.0</v>
      </c>
      <c r="P167" s="407">
        <v>0.0</v>
      </c>
      <c r="Q167" s="407">
        <v>0.0</v>
      </c>
      <c r="R167" s="407">
        <v>0.0</v>
      </c>
      <c r="S167" s="407">
        <v>0.0</v>
      </c>
      <c r="T167" s="407">
        <v>0.0</v>
      </c>
      <c r="U167" s="407">
        <v>0.0</v>
      </c>
      <c r="V167" s="407">
        <v>0.0</v>
      </c>
      <c r="W167" s="407">
        <v>0.0</v>
      </c>
      <c r="X167" s="407">
        <v>0.0</v>
      </c>
      <c r="Y167" s="407">
        <v>0.0</v>
      </c>
      <c r="Z167" s="407">
        <v>0.0</v>
      </c>
      <c r="AA167" s="407">
        <v>0.0</v>
      </c>
      <c r="AB167" s="407">
        <v>0.0</v>
      </c>
      <c r="AC167" s="407">
        <v>0.0</v>
      </c>
      <c r="AD167" s="407">
        <v>0.0</v>
      </c>
      <c r="AF167" s="262" t="s">
        <v>151</v>
      </c>
      <c r="AG167" s="420">
        <v>29245.421206082963</v>
      </c>
      <c r="AH167" s="420">
        <v>11972.900281841115</v>
      </c>
      <c r="AI167" s="420">
        <v>1178244.294179502</v>
      </c>
      <c r="AJ167" s="420">
        <v>118438.99045324665</v>
      </c>
      <c r="AK167" s="420">
        <v>1061478.8472267557</v>
      </c>
      <c r="AL167" s="420">
        <v>4161.265892849803</v>
      </c>
      <c r="AM167" s="420">
        <v>3916.0496289990483</v>
      </c>
      <c r="AN167" s="420">
        <v>377978.99650675146</v>
      </c>
      <c r="AO167" s="420">
        <v>2179030.1179300887</v>
      </c>
      <c r="AP167" s="420">
        <v>422251.39830267243</v>
      </c>
      <c r="AQ167" s="420">
        <v>1276268.7667573588</v>
      </c>
      <c r="AR167" s="420">
        <v>5525.031477563677</v>
      </c>
      <c r="AS167" s="420">
        <v>51.71458404840769</v>
      </c>
      <c r="AT167" s="420">
        <v>962647.1793083526</v>
      </c>
      <c r="AU167" s="420">
        <v>549496.7828547846</v>
      </c>
      <c r="AV167" s="420">
        <v>210254.72853876807</v>
      </c>
      <c r="AW167" s="420">
        <v>569027.4487893014</v>
      </c>
      <c r="AX167" s="420">
        <v>711429.22705637</v>
      </c>
      <c r="AY167" s="420">
        <v>2981346.4382131863</v>
      </c>
      <c r="AZ167" s="420">
        <v>6338.55043168155</v>
      </c>
      <c r="BA167" s="420">
        <v>17123.1890283255</v>
      </c>
      <c r="BB167" s="420">
        <v>3396840.53607055</v>
      </c>
      <c r="BC167" s="420">
        <v>62318.22255146544</v>
      </c>
      <c r="BD167" s="420">
        <v>1209846.4230186786</v>
      </c>
      <c r="BE167" s="420">
        <v>2366259.6611710326</v>
      </c>
      <c r="BF167" s="420">
        <v>9873.070212699966</v>
      </c>
      <c r="BG167" s="420">
        <v>7042.013121248685</v>
      </c>
      <c r="BH167" s="420">
        <v>1011923.2145242381</v>
      </c>
      <c r="BI167" s="406">
        <f t="shared" si="57"/>
        <v>20740330.48</v>
      </c>
      <c r="BJ167" s="24"/>
      <c r="BK167" s="24"/>
      <c r="BL167" s="405">
        <v>9.0</v>
      </c>
      <c r="BM167" s="420">
        <v>0.0</v>
      </c>
      <c r="BN167" s="420">
        <v>0.0</v>
      </c>
      <c r="BO167" s="420">
        <v>0.0</v>
      </c>
      <c r="BP167" s="420">
        <v>0.0</v>
      </c>
      <c r="BQ167" s="420">
        <v>0.0</v>
      </c>
      <c r="BR167" s="420">
        <v>0.0</v>
      </c>
      <c r="BS167" s="420">
        <v>0.0</v>
      </c>
      <c r="BT167" s="420">
        <v>0.0</v>
      </c>
      <c r="BU167" s="420">
        <v>0.0</v>
      </c>
      <c r="BV167" s="420">
        <v>0.0</v>
      </c>
      <c r="BW167" s="420">
        <v>0.0</v>
      </c>
      <c r="BX167" s="420">
        <v>0.0</v>
      </c>
      <c r="BY167" s="420">
        <v>0.0</v>
      </c>
      <c r="BZ167" s="420">
        <v>0.0</v>
      </c>
      <c r="CA167" s="420">
        <v>0.0</v>
      </c>
      <c r="CB167" s="420">
        <v>0.0</v>
      </c>
      <c r="CC167" s="420">
        <v>0.0</v>
      </c>
      <c r="CD167" s="420">
        <v>0.0</v>
      </c>
      <c r="CE167" s="420">
        <v>0.0</v>
      </c>
      <c r="CF167" s="420">
        <v>0.0</v>
      </c>
      <c r="CG167" s="420">
        <v>0.0</v>
      </c>
      <c r="CH167" s="420">
        <v>0.0</v>
      </c>
      <c r="CI167" s="420">
        <v>0.0</v>
      </c>
      <c r="CJ167" s="420">
        <v>0.0</v>
      </c>
      <c r="CK167" s="420">
        <v>0.0</v>
      </c>
      <c r="CL167" s="420">
        <v>0.0</v>
      </c>
      <c r="CM167" s="420">
        <v>0.0</v>
      </c>
      <c r="CN167" s="420">
        <v>0.0</v>
      </c>
      <c r="CO167" s="406">
        <f t="shared" si="58"/>
        <v>0</v>
      </c>
      <c r="CP167" s="34"/>
      <c r="CQ167" s="34"/>
      <c r="CR167" s="405">
        <v>9.0</v>
      </c>
      <c r="CS167" s="420">
        <v>0.0</v>
      </c>
      <c r="CT167" s="420">
        <v>0.0</v>
      </c>
      <c r="CU167" s="420">
        <v>0.0</v>
      </c>
      <c r="CV167" s="420">
        <v>0.0</v>
      </c>
      <c r="CW167" s="420">
        <v>0.0</v>
      </c>
      <c r="CX167" s="420">
        <v>0.0</v>
      </c>
      <c r="CY167" s="420">
        <v>0.0</v>
      </c>
      <c r="CZ167" s="420">
        <v>0.0</v>
      </c>
      <c r="DA167" s="420">
        <v>0.0</v>
      </c>
      <c r="DB167" s="420">
        <v>0.0</v>
      </c>
      <c r="DC167" s="420">
        <v>0.0</v>
      </c>
      <c r="DD167" s="420">
        <v>0.0</v>
      </c>
      <c r="DE167" s="420">
        <v>0.0</v>
      </c>
      <c r="DF167" s="420">
        <v>0.0</v>
      </c>
      <c r="DG167" s="420">
        <v>0.0</v>
      </c>
      <c r="DH167" s="420">
        <v>0.0</v>
      </c>
      <c r="DI167" s="420">
        <v>0.0</v>
      </c>
      <c r="DJ167" s="420">
        <v>0.0</v>
      </c>
      <c r="DK167" s="420">
        <v>0.0</v>
      </c>
      <c r="DL167" s="420">
        <v>0.0</v>
      </c>
      <c r="DM167" s="420">
        <v>0.0</v>
      </c>
      <c r="DN167" s="420">
        <v>0.0</v>
      </c>
      <c r="DO167" s="420">
        <v>0.0</v>
      </c>
      <c r="DP167" s="420">
        <v>0.0</v>
      </c>
      <c r="DQ167" s="420">
        <v>0.0</v>
      </c>
      <c r="DR167" s="420">
        <v>0.0</v>
      </c>
      <c r="DS167" s="420">
        <v>0.0</v>
      </c>
      <c r="DT167" s="420">
        <v>0.0</v>
      </c>
      <c r="DU167" s="406">
        <f t="shared" si="59"/>
        <v>0</v>
      </c>
    </row>
    <row r="168">
      <c r="B168" s="405">
        <v>11.0</v>
      </c>
      <c r="C168" s="407">
        <v>0.0</v>
      </c>
      <c r="D168" s="407">
        <v>0.0</v>
      </c>
      <c r="E168" s="407">
        <v>0.0</v>
      </c>
      <c r="F168" s="407">
        <v>0.0</v>
      </c>
      <c r="G168" s="407">
        <v>0.0</v>
      </c>
      <c r="H168" s="407">
        <v>0.0</v>
      </c>
      <c r="I168" s="407">
        <v>0.0</v>
      </c>
      <c r="J168" s="407">
        <v>0.0</v>
      </c>
      <c r="K168" s="407">
        <v>0.0</v>
      </c>
      <c r="L168" s="407">
        <v>0.0</v>
      </c>
      <c r="M168" s="407">
        <v>1.0</v>
      </c>
      <c r="N168" s="407">
        <v>0.0</v>
      </c>
      <c r="O168" s="407">
        <v>0.0</v>
      </c>
      <c r="P168" s="407">
        <v>0.0</v>
      </c>
      <c r="Q168" s="407">
        <v>0.0</v>
      </c>
      <c r="R168" s="407">
        <v>0.0</v>
      </c>
      <c r="S168" s="407">
        <v>0.0</v>
      </c>
      <c r="T168" s="407">
        <v>0.0</v>
      </c>
      <c r="U168" s="407">
        <v>0.0</v>
      </c>
      <c r="V168" s="407">
        <v>0.0</v>
      </c>
      <c r="W168" s="407">
        <v>0.0</v>
      </c>
      <c r="X168" s="407">
        <v>0.0</v>
      </c>
      <c r="Y168" s="407">
        <v>0.0</v>
      </c>
      <c r="Z168" s="407">
        <v>0.0</v>
      </c>
      <c r="AA168" s="407">
        <v>0.0</v>
      </c>
      <c r="AB168" s="407">
        <v>0.0</v>
      </c>
      <c r="AC168" s="407">
        <v>0.0</v>
      </c>
      <c r="AD168" s="407">
        <v>0.0</v>
      </c>
      <c r="AF168" s="262" t="s">
        <v>152</v>
      </c>
      <c r="AG168" s="420">
        <v>7567536.139958559</v>
      </c>
      <c r="AH168" s="420">
        <v>2.044205025388094E7</v>
      </c>
      <c r="AI168" s="420">
        <v>3.062304290410033E7</v>
      </c>
      <c r="AJ168" s="420">
        <v>4.155672815156729E7</v>
      </c>
      <c r="AK168" s="420">
        <v>4.684106091674306E7</v>
      </c>
      <c r="AL168" s="420">
        <v>1224555.9368270605</v>
      </c>
      <c r="AM168" s="420">
        <v>1.6306147913397616E7</v>
      </c>
      <c r="AN168" s="420">
        <v>9.70292610323689E8</v>
      </c>
      <c r="AO168" s="420">
        <v>603651.5067216218</v>
      </c>
      <c r="AP168" s="420">
        <v>1.309495473727303E10</v>
      </c>
      <c r="AQ168" s="420">
        <v>1.92422162743848E9</v>
      </c>
      <c r="AR168" s="420">
        <v>1527353.236809641</v>
      </c>
      <c r="AS168" s="420">
        <v>178364.52447362815</v>
      </c>
      <c r="AT168" s="420">
        <v>1.1568823449134755E8</v>
      </c>
      <c r="AU168" s="420">
        <v>7.832455398465833E7</v>
      </c>
      <c r="AV168" s="420">
        <v>9.812636590784375E7</v>
      </c>
      <c r="AW168" s="420">
        <v>8.532764433313929E7</v>
      </c>
      <c r="AX168" s="420">
        <v>2.1512231670064697E8</v>
      </c>
      <c r="AY168" s="420">
        <v>1.8630182571292704E8</v>
      </c>
      <c r="AZ168" s="420">
        <v>1.5172521155839404E7</v>
      </c>
      <c r="BA168" s="420">
        <v>1.5268984881739909E7</v>
      </c>
      <c r="BB168" s="420">
        <v>2.8396429467230434E9</v>
      </c>
      <c r="BC168" s="420">
        <v>3.557547671116501E7</v>
      </c>
      <c r="BD168" s="420">
        <v>1.3902229717685447E9</v>
      </c>
      <c r="BE168" s="420">
        <v>1.6375337999017398E9</v>
      </c>
      <c r="BF168" s="420">
        <v>1.3876854482918063E7</v>
      </c>
      <c r="BG168" s="420">
        <v>1.0000134046721753E7</v>
      </c>
      <c r="BH168" s="420">
        <v>1.826821162270295E8</v>
      </c>
      <c r="BI168" s="406">
        <f t="shared" si="57"/>
        <v>23075206214</v>
      </c>
      <c r="BJ168" s="24"/>
      <c r="BK168" s="24"/>
      <c r="BL168" s="405">
        <v>10.0</v>
      </c>
      <c r="BM168" s="420">
        <v>0.0</v>
      </c>
      <c r="BN168" s="420">
        <v>0.0</v>
      </c>
      <c r="BO168" s="420">
        <v>0.0</v>
      </c>
      <c r="BP168" s="420">
        <v>0.0</v>
      </c>
      <c r="BQ168" s="420">
        <v>0.0</v>
      </c>
      <c r="BR168" s="420">
        <v>0.0</v>
      </c>
      <c r="BS168" s="420">
        <v>0.0</v>
      </c>
      <c r="BT168" s="420">
        <v>0.0</v>
      </c>
      <c r="BU168" s="420">
        <v>0.0</v>
      </c>
      <c r="BV168" s="420">
        <v>0.0</v>
      </c>
      <c r="BW168" s="420">
        <v>0.0</v>
      </c>
      <c r="BX168" s="420">
        <v>0.0</v>
      </c>
      <c r="BY168" s="420">
        <v>0.0</v>
      </c>
      <c r="BZ168" s="420">
        <v>0.0</v>
      </c>
      <c r="CA168" s="420">
        <v>0.0</v>
      </c>
      <c r="CB168" s="420">
        <v>0.0</v>
      </c>
      <c r="CC168" s="420">
        <v>0.0</v>
      </c>
      <c r="CD168" s="420">
        <v>0.0</v>
      </c>
      <c r="CE168" s="420">
        <v>0.0</v>
      </c>
      <c r="CF168" s="420">
        <v>0.0</v>
      </c>
      <c r="CG168" s="420">
        <v>0.0</v>
      </c>
      <c r="CH168" s="420">
        <v>0.0</v>
      </c>
      <c r="CI168" s="420">
        <v>0.0</v>
      </c>
      <c r="CJ168" s="420">
        <v>0.0</v>
      </c>
      <c r="CK168" s="420">
        <v>0.0</v>
      </c>
      <c r="CL168" s="420">
        <v>0.0</v>
      </c>
      <c r="CM168" s="420">
        <v>0.0</v>
      </c>
      <c r="CN168" s="420">
        <v>0.0</v>
      </c>
      <c r="CO168" s="406">
        <f t="shared" si="58"/>
        <v>0</v>
      </c>
      <c r="CP168" s="34"/>
      <c r="CQ168" s="34"/>
      <c r="CR168" s="405">
        <v>10.0</v>
      </c>
      <c r="CS168" s="420">
        <v>0.0</v>
      </c>
      <c r="CT168" s="420">
        <v>0.0</v>
      </c>
      <c r="CU168" s="420">
        <v>0.0</v>
      </c>
      <c r="CV168" s="420">
        <v>0.0</v>
      </c>
      <c r="CW168" s="420">
        <v>0.0</v>
      </c>
      <c r="CX168" s="420">
        <v>0.0</v>
      </c>
      <c r="CY168" s="420">
        <v>0.0</v>
      </c>
      <c r="CZ168" s="420">
        <v>0.0</v>
      </c>
      <c r="DA168" s="420">
        <v>0.0</v>
      </c>
      <c r="DB168" s="420">
        <v>0.0</v>
      </c>
      <c r="DC168" s="420">
        <v>0.0</v>
      </c>
      <c r="DD168" s="420">
        <v>0.0</v>
      </c>
      <c r="DE168" s="420">
        <v>0.0</v>
      </c>
      <c r="DF168" s="420">
        <v>0.0</v>
      </c>
      <c r="DG168" s="420">
        <v>0.0</v>
      </c>
      <c r="DH168" s="420">
        <v>0.0</v>
      </c>
      <c r="DI168" s="420">
        <v>0.0</v>
      </c>
      <c r="DJ168" s="420">
        <v>0.0</v>
      </c>
      <c r="DK168" s="420">
        <v>0.0</v>
      </c>
      <c r="DL168" s="420">
        <v>0.0</v>
      </c>
      <c r="DM168" s="420">
        <v>0.0</v>
      </c>
      <c r="DN168" s="420">
        <v>0.0</v>
      </c>
      <c r="DO168" s="420">
        <v>0.0</v>
      </c>
      <c r="DP168" s="420">
        <v>0.0</v>
      </c>
      <c r="DQ168" s="420">
        <v>0.0</v>
      </c>
      <c r="DR168" s="420">
        <v>0.0</v>
      </c>
      <c r="DS168" s="420">
        <v>0.0</v>
      </c>
      <c r="DT168" s="420">
        <v>0.0</v>
      </c>
      <c r="DU168" s="406">
        <f t="shared" si="59"/>
        <v>0</v>
      </c>
    </row>
    <row r="169">
      <c r="B169" s="405">
        <v>12.0</v>
      </c>
      <c r="C169" s="407">
        <v>0.0</v>
      </c>
      <c r="D169" s="407">
        <v>0.0</v>
      </c>
      <c r="E169" s="407">
        <v>0.0</v>
      </c>
      <c r="F169" s="407">
        <v>0.0</v>
      </c>
      <c r="G169" s="407">
        <v>0.0</v>
      </c>
      <c r="H169" s="407">
        <v>0.0</v>
      </c>
      <c r="I169" s="407">
        <v>0.0</v>
      </c>
      <c r="J169" s="407">
        <v>0.0</v>
      </c>
      <c r="K169" s="407">
        <v>0.0</v>
      </c>
      <c r="L169" s="407">
        <v>0.0</v>
      </c>
      <c r="M169" s="407">
        <v>0.0</v>
      </c>
      <c r="N169" s="407">
        <v>1.0</v>
      </c>
      <c r="O169" s="407">
        <v>0.0</v>
      </c>
      <c r="P169" s="407">
        <v>0.0</v>
      </c>
      <c r="Q169" s="407">
        <v>0.0</v>
      </c>
      <c r="R169" s="407">
        <v>0.0</v>
      </c>
      <c r="S169" s="407">
        <v>0.0</v>
      </c>
      <c r="T169" s="407">
        <v>0.0</v>
      </c>
      <c r="U169" s="407">
        <v>0.0</v>
      </c>
      <c r="V169" s="407">
        <v>0.0</v>
      </c>
      <c r="W169" s="407">
        <v>0.0</v>
      </c>
      <c r="X169" s="407">
        <v>0.0</v>
      </c>
      <c r="Y169" s="407">
        <v>0.0</v>
      </c>
      <c r="Z169" s="407">
        <v>0.0</v>
      </c>
      <c r="AA169" s="407">
        <v>0.0</v>
      </c>
      <c r="AB169" s="407">
        <v>0.0</v>
      </c>
      <c r="AC169" s="407">
        <v>0.0</v>
      </c>
      <c r="AD169" s="407">
        <v>0.0</v>
      </c>
      <c r="AF169" s="262" t="s">
        <v>153</v>
      </c>
      <c r="AG169" s="420">
        <v>1311454.683450499</v>
      </c>
      <c r="AH169" s="420">
        <v>3896061.891293427</v>
      </c>
      <c r="AI169" s="420">
        <v>5824315.737587502</v>
      </c>
      <c r="AJ169" s="420">
        <v>7143335.876513751</v>
      </c>
      <c r="AK169" s="420">
        <v>8946702.880084194</v>
      </c>
      <c r="AL169" s="420">
        <v>231350.5640576133</v>
      </c>
      <c r="AM169" s="420">
        <v>1655167.3222644997</v>
      </c>
      <c r="AN169" s="420">
        <v>1.646275115129987E8</v>
      </c>
      <c r="AO169" s="420">
        <v>30404.291282111953</v>
      </c>
      <c r="AP169" s="420">
        <v>2.7747660986108315E8</v>
      </c>
      <c r="AQ169" s="420">
        <v>4.471018369029049E9</v>
      </c>
      <c r="AR169" s="420">
        <v>314142.8146895732</v>
      </c>
      <c r="AS169" s="420">
        <v>33194.835881325074</v>
      </c>
      <c r="AT169" s="420">
        <v>1.6988072611808024E7</v>
      </c>
      <c r="AU169" s="420">
        <v>6554537.8702838095</v>
      </c>
      <c r="AV169" s="420">
        <v>7586477.526243984</v>
      </c>
      <c r="AW169" s="420">
        <v>7085160.560932173</v>
      </c>
      <c r="AX169" s="420">
        <v>1.7713465802552804E7</v>
      </c>
      <c r="AY169" s="420">
        <v>1.787597341167497E7</v>
      </c>
      <c r="AZ169" s="420">
        <v>958652.1696874044</v>
      </c>
      <c r="BA169" s="420">
        <v>1533763.155831897</v>
      </c>
      <c r="BB169" s="420">
        <v>2.764015542153838E8</v>
      </c>
      <c r="BC169" s="420">
        <v>3159026.017494792</v>
      </c>
      <c r="BD169" s="420">
        <v>9.195501840164183E7</v>
      </c>
      <c r="BE169" s="420">
        <v>2.1435432797563127E8</v>
      </c>
      <c r="BF169" s="420">
        <v>1537305.6244983745</v>
      </c>
      <c r="BG169" s="420">
        <v>810470.5165590774</v>
      </c>
      <c r="BH169" s="420">
        <v>1.801661843642668E7</v>
      </c>
      <c r="BI169" s="406">
        <f t="shared" si="57"/>
        <v>5625039046</v>
      </c>
      <c r="BJ169" s="24"/>
      <c r="BK169" s="24"/>
      <c r="BL169" s="405">
        <v>11.0</v>
      </c>
      <c r="BM169" s="420">
        <v>0.0</v>
      </c>
      <c r="BN169" s="420">
        <v>0.0</v>
      </c>
      <c r="BO169" s="420">
        <v>0.0</v>
      </c>
      <c r="BP169" s="420">
        <v>0.0</v>
      </c>
      <c r="BQ169" s="420">
        <v>0.0</v>
      </c>
      <c r="BR169" s="420">
        <v>0.0</v>
      </c>
      <c r="BS169" s="420">
        <v>0.0</v>
      </c>
      <c r="BT169" s="420">
        <v>0.0</v>
      </c>
      <c r="BU169" s="420">
        <v>0.0</v>
      </c>
      <c r="BV169" s="420">
        <v>0.0</v>
      </c>
      <c r="BW169" s="420">
        <v>0.0</v>
      </c>
      <c r="BX169" s="420">
        <v>0.0</v>
      </c>
      <c r="BY169" s="420">
        <v>0.0</v>
      </c>
      <c r="BZ169" s="420">
        <v>0.0</v>
      </c>
      <c r="CA169" s="420">
        <v>0.0</v>
      </c>
      <c r="CB169" s="420">
        <v>0.0</v>
      </c>
      <c r="CC169" s="420">
        <v>0.0</v>
      </c>
      <c r="CD169" s="420">
        <v>0.0</v>
      </c>
      <c r="CE169" s="420">
        <v>0.0</v>
      </c>
      <c r="CF169" s="420">
        <v>0.0</v>
      </c>
      <c r="CG169" s="420">
        <v>0.0</v>
      </c>
      <c r="CH169" s="420">
        <v>0.0</v>
      </c>
      <c r="CI169" s="420">
        <v>0.0</v>
      </c>
      <c r="CJ169" s="420">
        <v>0.0</v>
      </c>
      <c r="CK169" s="420">
        <v>0.0</v>
      </c>
      <c r="CL169" s="420">
        <v>0.0</v>
      </c>
      <c r="CM169" s="420">
        <v>0.0</v>
      </c>
      <c r="CN169" s="420">
        <v>0.0</v>
      </c>
      <c r="CO169" s="406">
        <f t="shared" si="58"/>
        <v>0</v>
      </c>
      <c r="CP169" s="34"/>
      <c r="CQ169" s="34"/>
      <c r="CR169" s="405">
        <v>11.0</v>
      </c>
      <c r="CS169" s="420">
        <v>0.0</v>
      </c>
      <c r="CT169" s="420">
        <v>0.0</v>
      </c>
      <c r="CU169" s="420">
        <v>0.0</v>
      </c>
      <c r="CV169" s="420">
        <v>0.0</v>
      </c>
      <c r="CW169" s="420">
        <v>0.0</v>
      </c>
      <c r="CX169" s="420">
        <v>0.0</v>
      </c>
      <c r="CY169" s="420">
        <v>0.0</v>
      </c>
      <c r="CZ169" s="420">
        <v>0.0</v>
      </c>
      <c r="DA169" s="420">
        <v>0.0</v>
      </c>
      <c r="DB169" s="420">
        <v>0.0</v>
      </c>
      <c r="DC169" s="420">
        <v>0.0</v>
      </c>
      <c r="DD169" s="420">
        <v>0.0</v>
      </c>
      <c r="DE169" s="420">
        <v>0.0</v>
      </c>
      <c r="DF169" s="420">
        <v>0.0</v>
      </c>
      <c r="DG169" s="420">
        <v>0.0</v>
      </c>
      <c r="DH169" s="420">
        <v>0.0</v>
      </c>
      <c r="DI169" s="420">
        <v>0.0</v>
      </c>
      <c r="DJ169" s="420">
        <v>0.0</v>
      </c>
      <c r="DK169" s="420">
        <v>0.0</v>
      </c>
      <c r="DL169" s="420">
        <v>0.0</v>
      </c>
      <c r="DM169" s="420">
        <v>0.0</v>
      </c>
      <c r="DN169" s="420">
        <v>0.0</v>
      </c>
      <c r="DO169" s="420">
        <v>0.0</v>
      </c>
      <c r="DP169" s="420">
        <v>0.0</v>
      </c>
      <c r="DQ169" s="420">
        <v>0.0</v>
      </c>
      <c r="DR169" s="420">
        <v>0.0</v>
      </c>
      <c r="DS169" s="420">
        <v>0.0</v>
      </c>
      <c r="DT169" s="420">
        <v>0.0</v>
      </c>
      <c r="DU169" s="406">
        <f t="shared" si="59"/>
        <v>0</v>
      </c>
    </row>
    <row r="170">
      <c r="B170" s="405">
        <v>13.0</v>
      </c>
      <c r="C170" s="407">
        <v>0.0</v>
      </c>
      <c r="D170" s="407">
        <v>0.0</v>
      </c>
      <c r="E170" s="407">
        <v>0.0</v>
      </c>
      <c r="F170" s="407">
        <v>0.0</v>
      </c>
      <c r="G170" s="407">
        <v>0.0</v>
      </c>
      <c r="H170" s="407">
        <v>0.0</v>
      </c>
      <c r="I170" s="407">
        <v>0.0</v>
      </c>
      <c r="J170" s="407">
        <v>0.0</v>
      </c>
      <c r="K170" s="407">
        <v>0.0</v>
      </c>
      <c r="L170" s="407">
        <v>0.0</v>
      </c>
      <c r="M170" s="407">
        <v>0.0</v>
      </c>
      <c r="N170" s="407">
        <v>0.0</v>
      </c>
      <c r="O170" s="407">
        <v>1.0</v>
      </c>
      <c r="P170" s="407">
        <v>0.0</v>
      </c>
      <c r="Q170" s="407">
        <v>0.0</v>
      </c>
      <c r="R170" s="407">
        <v>0.0</v>
      </c>
      <c r="S170" s="407">
        <v>0.0</v>
      </c>
      <c r="T170" s="407">
        <v>0.0</v>
      </c>
      <c r="U170" s="407">
        <v>0.0</v>
      </c>
      <c r="V170" s="407">
        <v>0.0</v>
      </c>
      <c r="W170" s="407">
        <v>0.0</v>
      </c>
      <c r="X170" s="407">
        <v>0.0</v>
      </c>
      <c r="Y170" s="407">
        <v>0.0</v>
      </c>
      <c r="Z170" s="407">
        <v>0.0</v>
      </c>
      <c r="AA170" s="407">
        <v>0.0</v>
      </c>
      <c r="AB170" s="407">
        <v>0.0</v>
      </c>
      <c r="AC170" s="407">
        <v>0.0</v>
      </c>
      <c r="AD170" s="407">
        <v>0.0</v>
      </c>
      <c r="AF170" s="262" t="s">
        <v>154</v>
      </c>
      <c r="AG170" s="420">
        <v>2116262.839629398</v>
      </c>
      <c r="AH170" s="420">
        <v>2164317.910017822</v>
      </c>
      <c r="AI170" s="420">
        <v>3904249.322400632</v>
      </c>
      <c r="AJ170" s="420">
        <v>8356484.894855614</v>
      </c>
      <c r="AK170" s="420">
        <v>4913143.834407492</v>
      </c>
      <c r="AL170" s="420">
        <v>9375448.787247404</v>
      </c>
      <c r="AM170" s="420">
        <v>1353507.832606826</v>
      </c>
      <c r="AN170" s="420">
        <v>1.926201325383856E8</v>
      </c>
      <c r="AO170" s="420">
        <v>47531.09697585101</v>
      </c>
      <c r="AP170" s="420">
        <v>1.9386064961128008E8</v>
      </c>
      <c r="AQ170" s="420">
        <v>9.147189734534049E8</v>
      </c>
      <c r="AR170" s="420">
        <v>4.853081914587841E7</v>
      </c>
      <c r="AS170" s="420">
        <v>28401.30343310304</v>
      </c>
      <c r="AT170" s="420">
        <v>1.4439892020266669E7</v>
      </c>
      <c r="AU170" s="420">
        <v>5326411.392894343</v>
      </c>
      <c r="AV170" s="420">
        <v>5857478.306995057</v>
      </c>
      <c r="AW170" s="420">
        <v>6834072.624060844</v>
      </c>
      <c r="AX170" s="420">
        <v>1.7122185242762133E7</v>
      </c>
      <c r="AY170" s="420">
        <v>1.3552820941688545E7</v>
      </c>
      <c r="AZ170" s="420">
        <v>1603546.474930611</v>
      </c>
      <c r="BA170" s="420">
        <v>1093950.9643512617</v>
      </c>
      <c r="BB170" s="420">
        <v>2.2753348364661473E8</v>
      </c>
      <c r="BC170" s="420">
        <v>2644530.4379812577</v>
      </c>
      <c r="BD170" s="420">
        <v>6.339448295398588E7</v>
      </c>
      <c r="BE170" s="420">
        <v>1.2223542423049934E8</v>
      </c>
      <c r="BF170" s="420">
        <v>2789448.493714997</v>
      </c>
      <c r="BG170" s="420">
        <v>691268.6946665031</v>
      </c>
      <c r="BH170" s="420">
        <v>1.3248723814499093E7</v>
      </c>
      <c r="BI170" s="406">
        <f t="shared" si="57"/>
        <v>1880357643</v>
      </c>
      <c r="BJ170" s="24"/>
      <c r="BK170" s="24"/>
      <c r="BL170" s="405">
        <v>12.0</v>
      </c>
      <c r="BM170" s="420">
        <v>0.0</v>
      </c>
      <c r="BN170" s="420">
        <v>0.0</v>
      </c>
      <c r="BO170" s="420">
        <v>0.0</v>
      </c>
      <c r="BP170" s="420">
        <v>0.0</v>
      </c>
      <c r="BQ170" s="420">
        <v>0.0</v>
      </c>
      <c r="BR170" s="420">
        <v>0.0</v>
      </c>
      <c r="BS170" s="420">
        <v>0.0</v>
      </c>
      <c r="BT170" s="420">
        <v>0.0</v>
      </c>
      <c r="BU170" s="420">
        <v>0.0</v>
      </c>
      <c r="BV170" s="420">
        <v>0.0</v>
      </c>
      <c r="BW170" s="420">
        <v>0.0</v>
      </c>
      <c r="BX170" s="420">
        <v>0.0</v>
      </c>
      <c r="BY170" s="420">
        <v>0.0</v>
      </c>
      <c r="BZ170" s="420">
        <v>0.0</v>
      </c>
      <c r="CA170" s="420">
        <v>0.0</v>
      </c>
      <c r="CB170" s="420">
        <v>0.0</v>
      </c>
      <c r="CC170" s="420">
        <v>0.0</v>
      </c>
      <c r="CD170" s="420">
        <v>0.0</v>
      </c>
      <c r="CE170" s="420">
        <v>0.0</v>
      </c>
      <c r="CF170" s="420">
        <v>0.0</v>
      </c>
      <c r="CG170" s="420">
        <v>0.0</v>
      </c>
      <c r="CH170" s="420">
        <v>0.0</v>
      </c>
      <c r="CI170" s="420">
        <v>0.0</v>
      </c>
      <c r="CJ170" s="420">
        <v>0.0</v>
      </c>
      <c r="CK170" s="420">
        <v>0.0</v>
      </c>
      <c r="CL170" s="420">
        <v>0.0</v>
      </c>
      <c r="CM170" s="420">
        <v>0.0</v>
      </c>
      <c r="CN170" s="420">
        <v>0.0</v>
      </c>
      <c r="CO170" s="406">
        <f t="shared" si="58"/>
        <v>0</v>
      </c>
      <c r="CP170" s="34"/>
      <c r="CQ170" s="34"/>
      <c r="CR170" s="405">
        <v>12.0</v>
      </c>
      <c r="CS170" s="420">
        <v>0.0</v>
      </c>
      <c r="CT170" s="420">
        <v>0.0</v>
      </c>
      <c r="CU170" s="420">
        <v>0.0</v>
      </c>
      <c r="CV170" s="420">
        <v>0.0</v>
      </c>
      <c r="CW170" s="420">
        <v>0.0</v>
      </c>
      <c r="CX170" s="420">
        <v>0.0</v>
      </c>
      <c r="CY170" s="420">
        <v>0.0</v>
      </c>
      <c r="CZ170" s="420">
        <v>0.0</v>
      </c>
      <c r="DA170" s="420">
        <v>0.0</v>
      </c>
      <c r="DB170" s="420">
        <v>0.0</v>
      </c>
      <c r="DC170" s="420">
        <v>0.0</v>
      </c>
      <c r="DD170" s="420">
        <v>0.0</v>
      </c>
      <c r="DE170" s="420">
        <v>0.0</v>
      </c>
      <c r="DF170" s="420">
        <v>0.0</v>
      </c>
      <c r="DG170" s="420">
        <v>0.0</v>
      </c>
      <c r="DH170" s="420">
        <v>0.0</v>
      </c>
      <c r="DI170" s="420">
        <v>0.0</v>
      </c>
      <c r="DJ170" s="420">
        <v>0.0</v>
      </c>
      <c r="DK170" s="420">
        <v>0.0</v>
      </c>
      <c r="DL170" s="420">
        <v>0.0</v>
      </c>
      <c r="DM170" s="420">
        <v>0.0</v>
      </c>
      <c r="DN170" s="420">
        <v>0.0</v>
      </c>
      <c r="DO170" s="420">
        <v>0.0</v>
      </c>
      <c r="DP170" s="420">
        <v>0.0</v>
      </c>
      <c r="DQ170" s="420">
        <v>0.0</v>
      </c>
      <c r="DR170" s="420">
        <v>0.0</v>
      </c>
      <c r="DS170" s="420">
        <v>0.0</v>
      </c>
      <c r="DT170" s="420">
        <v>0.0</v>
      </c>
      <c r="DU170" s="406">
        <f t="shared" si="59"/>
        <v>0</v>
      </c>
    </row>
    <row r="171">
      <c r="B171" s="405">
        <v>14.0</v>
      </c>
      <c r="C171" s="407">
        <v>0.0</v>
      </c>
      <c r="D171" s="407">
        <v>0.0</v>
      </c>
      <c r="E171" s="407">
        <v>0.0</v>
      </c>
      <c r="F171" s="407">
        <v>0.0</v>
      </c>
      <c r="G171" s="407">
        <v>0.0</v>
      </c>
      <c r="H171" s="407">
        <v>0.0</v>
      </c>
      <c r="I171" s="407">
        <v>0.0</v>
      </c>
      <c r="J171" s="407">
        <v>0.0</v>
      </c>
      <c r="K171" s="407">
        <v>0.0</v>
      </c>
      <c r="L171" s="407">
        <v>0.0</v>
      </c>
      <c r="M171" s="407">
        <v>0.0</v>
      </c>
      <c r="N171" s="407">
        <v>0.0</v>
      </c>
      <c r="O171" s="407">
        <v>0.0</v>
      </c>
      <c r="P171" s="407">
        <v>1.0</v>
      </c>
      <c r="Q171" s="407">
        <v>0.0</v>
      </c>
      <c r="R171" s="407">
        <v>0.0</v>
      </c>
      <c r="S171" s="407">
        <v>0.0</v>
      </c>
      <c r="T171" s="407">
        <v>0.0</v>
      </c>
      <c r="U171" s="407">
        <v>0.0</v>
      </c>
      <c r="V171" s="407">
        <v>0.0</v>
      </c>
      <c r="W171" s="407">
        <v>0.0</v>
      </c>
      <c r="X171" s="407">
        <v>0.0</v>
      </c>
      <c r="Y171" s="407">
        <v>0.0</v>
      </c>
      <c r="Z171" s="407">
        <v>0.0</v>
      </c>
      <c r="AA171" s="407">
        <v>0.0</v>
      </c>
      <c r="AB171" s="407">
        <v>0.0</v>
      </c>
      <c r="AC171" s="407">
        <v>0.0</v>
      </c>
      <c r="AD171" s="407">
        <v>0.0</v>
      </c>
      <c r="AF171" s="262" t="s">
        <v>155</v>
      </c>
      <c r="AG171" s="420">
        <v>4897.119827769521</v>
      </c>
      <c r="AH171" s="420">
        <v>14492.535612986558</v>
      </c>
      <c r="AI171" s="420">
        <v>23314.66684091429</v>
      </c>
      <c r="AJ171" s="420">
        <v>13018.057211833906</v>
      </c>
      <c r="AK171" s="420">
        <v>25460.102251068452</v>
      </c>
      <c r="AL171" s="420">
        <v>1380.7630487114602</v>
      </c>
      <c r="AM171" s="420">
        <v>3349.4950799964377</v>
      </c>
      <c r="AN171" s="420">
        <v>368647.9784026005</v>
      </c>
      <c r="AO171" s="420">
        <v>133.69397819968805</v>
      </c>
      <c r="AP171" s="420">
        <v>524422.8430578618</v>
      </c>
      <c r="AQ171" s="420">
        <v>3574301.9049882093</v>
      </c>
      <c r="AR171" s="420">
        <v>1856.1592193318477</v>
      </c>
      <c r="AS171" s="420">
        <v>68512.7451036216</v>
      </c>
      <c r="AT171" s="420">
        <v>101834.35340095412</v>
      </c>
      <c r="AU171" s="420">
        <v>11182.530971059941</v>
      </c>
      <c r="AV171" s="420">
        <v>13332.568141141186</v>
      </c>
      <c r="AW171" s="420">
        <v>13149.557966542628</v>
      </c>
      <c r="AX171" s="420">
        <v>30577.512862082847</v>
      </c>
      <c r="AY171" s="420">
        <v>33149.96191187139</v>
      </c>
      <c r="AZ171" s="420">
        <v>1467.3157223438443</v>
      </c>
      <c r="BA171" s="420">
        <v>2453.167186540756</v>
      </c>
      <c r="BB171" s="420">
        <v>482906.6948566436</v>
      </c>
      <c r="BC171" s="420">
        <v>5614.012251590887</v>
      </c>
      <c r="BD171" s="420">
        <v>181346.41313227153</v>
      </c>
      <c r="BE171" s="420">
        <v>314494.12937626475</v>
      </c>
      <c r="BF171" s="420">
        <v>2188.8385506466657</v>
      </c>
      <c r="BG171" s="420">
        <v>1348.9572483601833</v>
      </c>
      <c r="BH171" s="420">
        <v>34199.46634816875</v>
      </c>
      <c r="BI171" s="406">
        <f t="shared" si="57"/>
        <v>5853033.545</v>
      </c>
      <c r="BJ171" s="24"/>
      <c r="BK171" s="24"/>
      <c r="BL171" s="405">
        <v>13.0</v>
      </c>
      <c r="BM171" s="420">
        <v>0.0</v>
      </c>
      <c r="BN171" s="420">
        <v>0.0</v>
      </c>
      <c r="BO171" s="420">
        <v>0.0</v>
      </c>
      <c r="BP171" s="420">
        <v>0.0</v>
      </c>
      <c r="BQ171" s="420">
        <v>0.0</v>
      </c>
      <c r="BR171" s="420">
        <v>0.0</v>
      </c>
      <c r="BS171" s="420">
        <v>0.0</v>
      </c>
      <c r="BT171" s="420">
        <v>0.0</v>
      </c>
      <c r="BU171" s="420">
        <v>0.0</v>
      </c>
      <c r="BV171" s="420">
        <v>0.0</v>
      </c>
      <c r="BW171" s="420">
        <v>0.0</v>
      </c>
      <c r="BX171" s="420">
        <v>0.0</v>
      </c>
      <c r="BY171" s="420">
        <v>0.0</v>
      </c>
      <c r="BZ171" s="420">
        <v>0.0</v>
      </c>
      <c r="CA171" s="420">
        <v>0.0</v>
      </c>
      <c r="CB171" s="420">
        <v>0.0</v>
      </c>
      <c r="CC171" s="420">
        <v>0.0</v>
      </c>
      <c r="CD171" s="420">
        <v>0.0</v>
      </c>
      <c r="CE171" s="420">
        <v>0.0</v>
      </c>
      <c r="CF171" s="420">
        <v>0.0</v>
      </c>
      <c r="CG171" s="420">
        <v>0.0</v>
      </c>
      <c r="CH171" s="420">
        <v>0.0</v>
      </c>
      <c r="CI171" s="420">
        <v>0.0</v>
      </c>
      <c r="CJ171" s="420">
        <v>0.0</v>
      </c>
      <c r="CK171" s="420">
        <v>0.0</v>
      </c>
      <c r="CL171" s="420">
        <v>0.0</v>
      </c>
      <c r="CM171" s="420">
        <v>0.0</v>
      </c>
      <c r="CN171" s="420">
        <v>0.0</v>
      </c>
      <c r="CO171" s="406">
        <f t="shared" si="58"/>
        <v>0</v>
      </c>
      <c r="CP171" s="34"/>
      <c r="CQ171" s="34"/>
      <c r="CR171" s="405">
        <v>13.0</v>
      </c>
      <c r="CS171" s="420">
        <v>0.0</v>
      </c>
      <c r="CT171" s="420">
        <v>0.0</v>
      </c>
      <c r="CU171" s="420">
        <v>0.0</v>
      </c>
      <c r="CV171" s="420">
        <v>0.0</v>
      </c>
      <c r="CW171" s="420">
        <v>0.0</v>
      </c>
      <c r="CX171" s="420">
        <v>0.0</v>
      </c>
      <c r="CY171" s="420">
        <v>0.0</v>
      </c>
      <c r="CZ171" s="420">
        <v>0.0</v>
      </c>
      <c r="DA171" s="420">
        <v>0.0</v>
      </c>
      <c r="DB171" s="420">
        <v>0.0</v>
      </c>
      <c r="DC171" s="420">
        <v>0.0</v>
      </c>
      <c r="DD171" s="420">
        <v>0.0</v>
      </c>
      <c r="DE171" s="420">
        <v>0.0</v>
      </c>
      <c r="DF171" s="420">
        <v>0.0</v>
      </c>
      <c r="DG171" s="420">
        <v>0.0</v>
      </c>
      <c r="DH171" s="420">
        <v>0.0</v>
      </c>
      <c r="DI171" s="420">
        <v>0.0</v>
      </c>
      <c r="DJ171" s="420">
        <v>0.0</v>
      </c>
      <c r="DK171" s="420">
        <v>0.0</v>
      </c>
      <c r="DL171" s="420">
        <v>0.0</v>
      </c>
      <c r="DM171" s="420">
        <v>0.0</v>
      </c>
      <c r="DN171" s="420">
        <v>0.0</v>
      </c>
      <c r="DO171" s="420">
        <v>0.0</v>
      </c>
      <c r="DP171" s="420">
        <v>0.0</v>
      </c>
      <c r="DQ171" s="420">
        <v>0.0</v>
      </c>
      <c r="DR171" s="420">
        <v>0.0</v>
      </c>
      <c r="DS171" s="420">
        <v>0.0</v>
      </c>
      <c r="DT171" s="420">
        <v>0.0</v>
      </c>
      <c r="DU171" s="406">
        <f t="shared" si="59"/>
        <v>0</v>
      </c>
    </row>
    <row r="172">
      <c r="B172" s="405">
        <v>15.0</v>
      </c>
      <c r="C172" s="407">
        <v>0.0</v>
      </c>
      <c r="D172" s="407">
        <v>0.0</v>
      </c>
      <c r="E172" s="407">
        <v>0.0</v>
      </c>
      <c r="F172" s="407">
        <v>0.0</v>
      </c>
      <c r="G172" s="407">
        <v>0.0</v>
      </c>
      <c r="H172" s="407">
        <v>0.0</v>
      </c>
      <c r="I172" s="407">
        <v>0.0</v>
      </c>
      <c r="J172" s="407">
        <v>0.0</v>
      </c>
      <c r="K172" s="407">
        <v>0.0</v>
      </c>
      <c r="L172" s="407">
        <v>0.0</v>
      </c>
      <c r="M172" s="407">
        <v>0.0</v>
      </c>
      <c r="N172" s="407">
        <v>0.0</v>
      </c>
      <c r="O172" s="407">
        <v>0.0</v>
      </c>
      <c r="P172" s="407">
        <v>0.0</v>
      </c>
      <c r="Q172" s="407">
        <v>1.0</v>
      </c>
      <c r="R172" s="407">
        <v>0.0</v>
      </c>
      <c r="S172" s="407">
        <v>0.0</v>
      </c>
      <c r="T172" s="407">
        <v>0.0</v>
      </c>
      <c r="U172" s="407">
        <v>0.0</v>
      </c>
      <c r="V172" s="407">
        <v>0.0</v>
      </c>
      <c r="W172" s="407">
        <v>0.0</v>
      </c>
      <c r="X172" s="407">
        <v>0.0</v>
      </c>
      <c r="Y172" s="407">
        <v>0.0</v>
      </c>
      <c r="Z172" s="407">
        <v>0.0</v>
      </c>
      <c r="AA172" s="407">
        <v>0.0</v>
      </c>
      <c r="AB172" s="407">
        <v>0.0</v>
      </c>
      <c r="AC172" s="407">
        <v>0.0</v>
      </c>
      <c r="AD172" s="407">
        <v>0.0</v>
      </c>
      <c r="AF172" s="262" t="s">
        <v>156</v>
      </c>
      <c r="AG172" s="420">
        <v>60483.506303532995</v>
      </c>
      <c r="AH172" s="420">
        <v>370325.9045898275</v>
      </c>
      <c r="AI172" s="420">
        <v>294079.0033955163</v>
      </c>
      <c r="AJ172" s="420">
        <v>629083.4953938653</v>
      </c>
      <c r="AK172" s="420">
        <v>776183.8347481003</v>
      </c>
      <c r="AL172" s="420">
        <v>11939.844700125801</v>
      </c>
      <c r="AM172" s="420">
        <v>96082.50054176277</v>
      </c>
      <c r="AN172" s="420">
        <v>1.1612932018867705E7</v>
      </c>
      <c r="AO172" s="420">
        <v>3108.3804918023657</v>
      </c>
      <c r="AP172" s="420">
        <v>2.268158081514092E7</v>
      </c>
      <c r="AQ172" s="420">
        <v>4.0725024641603746E7</v>
      </c>
      <c r="AR172" s="420">
        <v>15854.047495863842</v>
      </c>
      <c r="AS172" s="420">
        <v>2371.639074470451</v>
      </c>
      <c r="AT172" s="420">
        <v>3.7456236619779986E8</v>
      </c>
      <c r="AU172" s="420">
        <v>5378009.562514957</v>
      </c>
      <c r="AV172" s="420">
        <v>5667310.563125499</v>
      </c>
      <c r="AW172" s="420">
        <v>5244417.305463831</v>
      </c>
      <c r="AX172" s="420">
        <v>1.0677655848092506E7</v>
      </c>
      <c r="AY172" s="420">
        <v>1.0570330694049563E7</v>
      </c>
      <c r="AZ172" s="420">
        <v>473519.9475304943</v>
      </c>
      <c r="BA172" s="420">
        <v>1290560.914265765</v>
      </c>
      <c r="BB172" s="420">
        <v>2.0900407654070646E8</v>
      </c>
      <c r="BC172" s="420">
        <v>3977796.6638506334</v>
      </c>
      <c r="BD172" s="420">
        <v>2.2543925451624972E8</v>
      </c>
      <c r="BE172" s="420">
        <v>2.1704677100318018E8</v>
      </c>
      <c r="BF172" s="420">
        <v>743814.3253219487</v>
      </c>
      <c r="BG172" s="420">
        <v>598035.3916138445</v>
      </c>
      <c r="BH172" s="420">
        <v>1.7412069174143877E7</v>
      </c>
      <c r="BI172" s="406">
        <f t="shared" si="57"/>
        <v>1165365038</v>
      </c>
      <c r="BJ172" s="24"/>
      <c r="BK172" s="24"/>
      <c r="BL172" s="405">
        <v>14.0</v>
      </c>
      <c r="BM172" s="420">
        <v>0.0</v>
      </c>
      <c r="BN172" s="420">
        <v>0.0</v>
      </c>
      <c r="BO172" s="420">
        <v>0.0</v>
      </c>
      <c r="BP172" s="420">
        <v>0.0</v>
      </c>
      <c r="BQ172" s="420">
        <v>0.0</v>
      </c>
      <c r="BR172" s="420">
        <v>0.0</v>
      </c>
      <c r="BS172" s="420">
        <v>0.0</v>
      </c>
      <c r="BT172" s="420">
        <v>0.0</v>
      </c>
      <c r="BU172" s="420">
        <v>0.0</v>
      </c>
      <c r="BV172" s="420">
        <v>0.0</v>
      </c>
      <c r="BW172" s="420">
        <v>0.0</v>
      </c>
      <c r="BX172" s="420">
        <v>0.0</v>
      </c>
      <c r="BY172" s="420">
        <v>0.0</v>
      </c>
      <c r="BZ172" s="420">
        <v>0.0</v>
      </c>
      <c r="CA172" s="420">
        <v>0.0</v>
      </c>
      <c r="CB172" s="420">
        <v>0.0</v>
      </c>
      <c r="CC172" s="420">
        <v>0.0</v>
      </c>
      <c r="CD172" s="420">
        <v>0.0</v>
      </c>
      <c r="CE172" s="420">
        <v>0.0</v>
      </c>
      <c r="CF172" s="420">
        <v>0.0</v>
      </c>
      <c r="CG172" s="420">
        <v>0.0</v>
      </c>
      <c r="CH172" s="420">
        <v>0.0</v>
      </c>
      <c r="CI172" s="420">
        <v>0.0</v>
      </c>
      <c r="CJ172" s="420">
        <v>0.0</v>
      </c>
      <c r="CK172" s="420">
        <v>0.0</v>
      </c>
      <c r="CL172" s="420">
        <v>0.0</v>
      </c>
      <c r="CM172" s="420">
        <v>0.0</v>
      </c>
      <c r="CN172" s="420">
        <v>0.0</v>
      </c>
      <c r="CO172" s="406">
        <f t="shared" si="58"/>
        <v>0</v>
      </c>
      <c r="CP172" s="34"/>
      <c r="CQ172" s="34"/>
      <c r="CR172" s="405">
        <v>14.0</v>
      </c>
      <c r="CS172" s="420">
        <v>0.0</v>
      </c>
      <c r="CT172" s="420">
        <v>0.0</v>
      </c>
      <c r="CU172" s="420">
        <v>0.0</v>
      </c>
      <c r="CV172" s="420">
        <v>0.0</v>
      </c>
      <c r="CW172" s="420">
        <v>0.0</v>
      </c>
      <c r="CX172" s="420">
        <v>0.0</v>
      </c>
      <c r="CY172" s="420">
        <v>0.0</v>
      </c>
      <c r="CZ172" s="420">
        <v>0.0</v>
      </c>
      <c r="DA172" s="420">
        <v>0.0</v>
      </c>
      <c r="DB172" s="420">
        <v>0.0</v>
      </c>
      <c r="DC172" s="420">
        <v>0.0</v>
      </c>
      <c r="DD172" s="420">
        <v>0.0</v>
      </c>
      <c r="DE172" s="420">
        <v>0.0</v>
      </c>
      <c r="DF172" s="420">
        <v>0.0</v>
      </c>
      <c r="DG172" s="420">
        <v>0.0</v>
      </c>
      <c r="DH172" s="420">
        <v>0.0</v>
      </c>
      <c r="DI172" s="420">
        <v>0.0</v>
      </c>
      <c r="DJ172" s="420">
        <v>0.0</v>
      </c>
      <c r="DK172" s="420">
        <v>0.0</v>
      </c>
      <c r="DL172" s="420">
        <v>0.0</v>
      </c>
      <c r="DM172" s="420">
        <v>0.0</v>
      </c>
      <c r="DN172" s="420">
        <v>0.0</v>
      </c>
      <c r="DO172" s="420">
        <v>0.0</v>
      </c>
      <c r="DP172" s="420">
        <v>0.0</v>
      </c>
      <c r="DQ172" s="420">
        <v>0.0</v>
      </c>
      <c r="DR172" s="420">
        <v>0.0</v>
      </c>
      <c r="DS172" s="420">
        <v>0.0</v>
      </c>
      <c r="DT172" s="420">
        <v>0.0</v>
      </c>
      <c r="DU172" s="406">
        <f t="shared" si="59"/>
        <v>0</v>
      </c>
    </row>
    <row r="173">
      <c r="B173" s="405">
        <v>16.0</v>
      </c>
      <c r="C173" s="407">
        <v>0.0</v>
      </c>
      <c r="D173" s="407">
        <v>0.0</v>
      </c>
      <c r="E173" s="407">
        <v>0.0</v>
      </c>
      <c r="F173" s="407">
        <v>0.0</v>
      </c>
      <c r="G173" s="407">
        <v>0.0</v>
      </c>
      <c r="H173" s="407">
        <v>0.0</v>
      </c>
      <c r="I173" s="407">
        <v>0.0</v>
      </c>
      <c r="J173" s="407">
        <v>0.0</v>
      </c>
      <c r="K173" s="407">
        <v>0.0</v>
      </c>
      <c r="L173" s="407">
        <v>0.0</v>
      </c>
      <c r="M173" s="407">
        <v>0.0</v>
      </c>
      <c r="N173" s="407">
        <v>0.0</v>
      </c>
      <c r="O173" s="407">
        <v>0.0</v>
      </c>
      <c r="P173" s="407">
        <v>0.0</v>
      </c>
      <c r="Q173" s="407">
        <v>0.0</v>
      </c>
      <c r="R173" s="407">
        <v>1.0</v>
      </c>
      <c r="S173" s="407">
        <v>0.0</v>
      </c>
      <c r="T173" s="407">
        <v>0.0</v>
      </c>
      <c r="U173" s="407">
        <v>0.0</v>
      </c>
      <c r="V173" s="407">
        <v>0.0</v>
      </c>
      <c r="W173" s="407">
        <v>0.0</v>
      </c>
      <c r="X173" s="407">
        <v>0.0</v>
      </c>
      <c r="Y173" s="407">
        <v>0.0</v>
      </c>
      <c r="Z173" s="407">
        <v>0.0</v>
      </c>
      <c r="AA173" s="407">
        <v>0.0</v>
      </c>
      <c r="AB173" s="407">
        <v>0.0</v>
      </c>
      <c r="AC173" s="407">
        <v>0.0</v>
      </c>
      <c r="AD173" s="407">
        <v>0.0</v>
      </c>
      <c r="AF173" s="263" t="s">
        <v>157</v>
      </c>
      <c r="AG173" s="420">
        <v>7040831.004618229</v>
      </c>
      <c r="AH173" s="420">
        <v>2.378374377691E7</v>
      </c>
      <c r="AI173" s="420">
        <v>1.7575742919548056E8</v>
      </c>
      <c r="AJ173" s="420">
        <v>2.815456163970298E7</v>
      </c>
      <c r="AK173" s="420">
        <v>2.8387892806995153E8</v>
      </c>
      <c r="AL173" s="420">
        <v>94043.96391748842</v>
      </c>
      <c r="AM173" s="420">
        <v>1555999.181097742</v>
      </c>
      <c r="AN173" s="420">
        <v>3.549065585004342E8</v>
      </c>
      <c r="AO173" s="420">
        <v>296141.0161570256</v>
      </c>
      <c r="AP173" s="420">
        <v>1.642229560407957E8</v>
      </c>
      <c r="AQ173" s="420">
        <v>4.089444216023074E8</v>
      </c>
      <c r="AR173" s="420">
        <v>121507.90488940451</v>
      </c>
      <c r="AS173" s="420">
        <v>22570.62816456726</v>
      </c>
      <c r="AT173" s="420">
        <v>8.052277573197225E7</v>
      </c>
      <c r="AU173" s="420">
        <v>7.546486761680112E11</v>
      </c>
      <c r="AV173" s="420">
        <v>7.589493765024446E10</v>
      </c>
      <c r="AW173" s="420">
        <v>4.891106514121306E10</v>
      </c>
      <c r="AX173" s="420">
        <v>4.390090902639631E10</v>
      </c>
      <c r="AY173" s="420">
        <v>3.4961905741565717E11</v>
      </c>
      <c r="AZ173" s="420">
        <v>3.2091828408981514E8</v>
      </c>
      <c r="BA173" s="420">
        <v>2.0863399535647693E9</v>
      </c>
      <c r="BB173" s="420">
        <v>3.0316804049643494E11</v>
      </c>
      <c r="BC173" s="420">
        <v>1.1737356559056934E10</v>
      </c>
      <c r="BD173" s="420">
        <v>5.5386559755800125E10</v>
      </c>
      <c r="BE173" s="420">
        <v>1.88466642041975E11</v>
      </c>
      <c r="BF173" s="420">
        <v>6.0048053795755E8</v>
      </c>
      <c r="BG173" s="420">
        <v>7.162223188598592E8</v>
      </c>
      <c r="BH173" s="420">
        <v>7.021813007244562E10</v>
      </c>
      <c r="BI173" s="406">
        <f t="shared" si="57"/>
        <v>1907204637890</v>
      </c>
      <c r="BJ173" s="24"/>
      <c r="BK173" s="24"/>
      <c r="BL173" s="405">
        <v>15.0</v>
      </c>
      <c r="BM173" s="420">
        <v>34.50123026137777</v>
      </c>
      <c r="BN173" s="420">
        <v>116.54425734498591</v>
      </c>
      <c r="BO173" s="420">
        <v>861.2403182015972</v>
      </c>
      <c r="BP173" s="420">
        <v>137.96198394797523</v>
      </c>
      <c r="BQ173" s="420">
        <v>1391.0534505472851</v>
      </c>
      <c r="BR173" s="420">
        <v>0.4608308950579482</v>
      </c>
      <c r="BS173" s="420">
        <v>7.624651976216451</v>
      </c>
      <c r="BT173" s="420">
        <v>1739.1005249330738</v>
      </c>
      <c r="BU173" s="420">
        <v>1.4511396994999937</v>
      </c>
      <c r="BV173" s="420">
        <v>804.7195021228649</v>
      </c>
      <c r="BW173" s="420">
        <v>2003.8949442974429</v>
      </c>
      <c r="BX173" s="420">
        <v>0.5954087241146964</v>
      </c>
      <c r="BY173" s="420">
        <v>0.1105997912659597</v>
      </c>
      <c r="BZ173" s="420">
        <v>394.5748484790815</v>
      </c>
      <c r="CA173" s="420">
        <v>3697902.6660118247</v>
      </c>
      <c r="CB173" s="420">
        <v>371897.6805190303</v>
      </c>
      <c r="CC173" s="420">
        <v>239672.26591000098</v>
      </c>
      <c r="CD173" s="420">
        <v>215121.67668987025</v>
      </c>
      <c r="CE173" s="420">
        <v>1713190.8997320824</v>
      </c>
      <c r="CF173" s="420">
        <v>1572.552388660735</v>
      </c>
      <c r="CG173" s="420">
        <v>10223.409011555066</v>
      </c>
      <c r="CH173" s="420">
        <v>1485573.2748304121</v>
      </c>
      <c r="CI173" s="420">
        <v>57514.97813799232</v>
      </c>
      <c r="CJ173" s="420">
        <v>271403.25485259015</v>
      </c>
      <c r="CK173" s="420">
        <v>923517.5520352391</v>
      </c>
      <c r="CL173" s="420">
        <v>2942.4534254494256</v>
      </c>
      <c r="CM173" s="420">
        <v>3509.6071934000074</v>
      </c>
      <c r="CN173" s="420">
        <v>344080.3894545657</v>
      </c>
      <c r="CO173" s="406">
        <f t="shared" si="58"/>
        <v>9345616.494</v>
      </c>
      <c r="CP173" s="34"/>
      <c r="CQ173" s="34"/>
      <c r="CR173" s="405">
        <v>15.0</v>
      </c>
      <c r="CS173" s="420">
        <v>0.0</v>
      </c>
      <c r="CT173" s="420">
        <v>0.0</v>
      </c>
      <c r="CU173" s="420">
        <v>0.0</v>
      </c>
      <c r="CV173" s="420">
        <v>0.0</v>
      </c>
      <c r="CW173" s="420">
        <v>0.0</v>
      </c>
      <c r="CX173" s="420">
        <v>0.0</v>
      </c>
      <c r="CY173" s="420">
        <v>0.0</v>
      </c>
      <c r="CZ173" s="420">
        <v>0.0</v>
      </c>
      <c r="DA173" s="420">
        <v>0.0</v>
      </c>
      <c r="DB173" s="420">
        <v>0.0</v>
      </c>
      <c r="DC173" s="420">
        <v>0.0</v>
      </c>
      <c r="DD173" s="420">
        <v>0.0</v>
      </c>
      <c r="DE173" s="420">
        <v>0.0</v>
      </c>
      <c r="DF173" s="420">
        <v>0.0</v>
      </c>
      <c r="DG173" s="420">
        <v>0.0</v>
      </c>
      <c r="DH173" s="420">
        <v>0.0</v>
      </c>
      <c r="DI173" s="420">
        <v>0.0</v>
      </c>
      <c r="DJ173" s="420">
        <v>0.0</v>
      </c>
      <c r="DK173" s="420">
        <v>0.0</v>
      </c>
      <c r="DL173" s="420">
        <v>0.0</v>
      </c>
      <c r="DM173" s="420">
        <v>0.0</v>
      </c>
      <c r="DN173" s="420">
        <v>0.0</v>
      </c>
      <c r="DO173" s="420">
        <v>0.0</v>
      </c>
      <c r="DP173" s="420">
        <v>0.0</v>
      </c>
      <c r="DQ173" s="420">
        <v>0.0</v>
      </c>
      <c r="DR173" s="420">
        <v>0.0</v>
      </c>
      <c r="DS173" s="420">
        <v>0.0</v>
      </c>
      <c r="DT173" s="420">
        <v>0.0</v>
      </c>
      <c r="DU173" s="406">
        <f t="shared" si="59"/>
        <v>0</v>
      </c>
    </row>
    <row r="174">
      <c r="B174" s="405">
        <v>17.0</v>
      </c>
      <c r="C174" s="407">
        <v>0.0</v>
      </c>
      <c r="D174" s="407">
        <v>0.0</v>
      </c>
      <c r="E174" s="407">
        <v>0.0</v>
      </c>
      <c r="F174" s="407">
        <v>0.0</v>
      </c>
      <c r="G174" s="407">
        <v>0.0</v>
      </c>
      <c r="H174" s="407">
        <v>0.0</v>
      </c>
      <c r="I174" s="407">
        <v>0.0</v>
      </c>
      <c r="J174" s="407">
        <v>0.0</v>
      </c>
      <c r="K174" s="407">
        <v>0.0</v>
      </c>
      <c r="L174" s="407">
        <v>0.0</v>
      </c>
      <c r="M174" s="407">
        <v>0.0</v>
      </c>
      <c r="N174" s="407">
        <v>0.0</v>
      </c>
      <c r="O174" s="407">
        <v>0.0</v>
      </c>
      <c r="P174" s="407">
        <v>0.0</v>
      </c>
      <c r="Q174" s="407">
        <v>0.0</v>
      </c>
      <c r="R174" s="407">
        <v>0.0</v>
      </c>
      <c r="S174" s="407">
        <v>1.0</v>
      </c>
      <c r="T174" s="407">
        <v>0.0</v>
      </c>
      <c r="U174" s="407">
        <v>0.0</v>
      </c>
      <c r="V174" s="407">
        <v>0.0</v>
      </c>
      <c r="W174" s="407">
        <v>0.0</v>
      </c>
      <c r="X174" s="407">
        <v>0.0</v>
      </c>
      <c r="Y174" s="407">
        <v>0.0</v>
      </c>
      <c r="Z174" s="407">
        <v>0.0</v>
      </c>
      <c r="AA174" s="407">
        <v>0.0</v>
      </c>
      <c r="AB174" s="407">
        <v>0.0</v>
      </c>
      <c r="AC174" s="407">
        <v>0.0</v>
      </c>
      <c r="AD174" s="407">
        <v>0.0</v>
      </c>
      <c r="AF174" s="263" t="s">
        <v>158</v>
      </c>
      <c r="AG174" s="420">
        <v>140382.34597246657</v>
      </c>
      <c r="AH174" s="420">
        <v>651127.4557081045</v>
      </c>
      <c r="AI174" s="420">
        <v>3273094.839637986</v>
      </c>
      <c r="AJ174" s="420">
        <v>1451082.9563600933</v>
      </c>
      <c r="AK174" s="420">
        <v>2.6858288216163106E7</v>
      </c>
      <c r="AL174" s="420">
        <v>9908.624451206482</v>
      </c>
      <c r="AM174" s="420">
        <v>137090.73172103643</v>
      </c>
      <c r="AN174" s="420">
        <v>3.660451426500302E7</v>
      </c>
      <c r="AO174" s="420">
        <v>16712.813126745208</v>
      </c>
      <c r="AP174" s="420">
        <v>1.7603100152764313E7</v>
      </c>
      <c r="AQ174" s="420">
        <v>6.0875731911816396E7</v>
      </c>
      <c r="AR174" s="420">
        <v>13003.30376436778</v>
      </c>
      <c r="AS174" s="420">
        <v>2396.843202991923</v>
      </c>
      <c r="AT174" s="420">
        <v>9659098.35880263</v>
      </c>
      <c r="AU174" s="420">
        <v>6.613539533508018E8</v>
      </c>
      <c r="AV174" s="420">
        <v>1.2649664672125691E11</v>
      </c>
      <c r="AW174" s="420">
        <v>3.78151726148898E9</v>
      </c>
      <c r="AX174" s="420">
        <v>6.3077892053475E9</v>
      </c>
      <c r="AY174" s="420">
        <v>9.208710346602987E9</v>
      </c>
      <c r="AZ174" s="420">
        <v>3.803444505475869E7</v>
      </c>
      <c r="BA174" s="420">
        <v>1.0179258630832002E8</v>
      </c>
      <c r="BB174" s="420">
        <v>1.3936270357751398E10</v>
      </c>
      <c r="BC174" s="420">
        <v>4.6186414189373076E8</v>
      </c>
      <c r="BD174" s="420">
        <v>7.6095177911778755E9</v>
      </c>
      <c r="BE174" s="420">
        <v>1.8465778881334694E10</v>
      </c>
      <c r="BF174" s="420">
        <v>8.430865494340393E7</v>
      </c>
      <c r="BG174" s="420">
        <v>6.242871770255095E7</v>
      </c>
      <c r="BH174" s="420">
        <v>1.8877432101906963E10</v>
      </c>
      <c r="BI174" s="406">
        <f t="shared" si="57"/>
        <v>206250740699</v>
      </c>
      <c r="BJ174" s="24"/>
      <c r="BK174" s="24"/>
      <c r="BL174" s="405">
        <v>16.0</v>
      </c>
      <c r="BM174" s="420">
        <v>0.0</v>
      </c>
      <c r="BN174" s="420">
        <v>0.0</v>
      </c>
      <c r="BO174" s="420">
        <v>0.0</v>
      </c>
      <c r="BP174" s="420">
        <v>0.0</v>
      </c>
      <c r="BQ174" s="420">
        <v>0.0</v>
      </c>
      <c r="BR174" s="420">
        <v>0.0</v>
      </c>
      <c r="BS174" s="420">
        <v>0.0</v>
      </c>
      <c r="BT174" s="420">
        <v>0.0</v>
      </c>
      <c r="BU174" s="420">
        <v>0.0</v>
      </c>
      <c r="BV174" s="420">
        <v>0.0</v>
      </c>
      <c r="BW174" s="420">
        <v>0.0</v>
      </c>
      <c r="BX174" s="420">
        <v>0.0</v>
      </c>
      <c r="BY174" s="420">
        <v>0.0</v>
      </c>
      <c r="BZ174" s="420">
        <v>0.0</v>
      </c>
      <c r="CA174" s="420">
        <v>0.0</v>
      </c>
      <c r="CB174" s="420">
        <v>0.0</v>
      </c>
      <c r="CC174" s="420">
        <v>0.0</v>
      </c>
      <c r="CD174" s="420">
        <v>0.0</v>
      </c>
      <c r="CE174" s="420">
        <v>0.0</v>
      </c>
      <c r="CF174" s="420">
        <v>0.0</v>
      </c>
      <c r="CG174" s="420">
        <v>0.0</v>
      </c>
      <c r="CH174" s="420">
        <v>0.0</v>
      </c>
      <c r="CI174" s="420">
        <v>0.0</v>
      </c>
      <c r="CJ174" s="420">
        <v>0.0</v>
      </c>
      <c r="CK174" s="420">
        <v>0.0</v>
      </c>
      <c r="CL174" s="420">
        <v>0.0</v>
      </c>
      <c r="CM174" s="420">
        <v>0.0</v>
      </c>
      <c r="CN174" s="420">
        <v>0.0</v>
      </c>
      <c r="CO174" s="406">
        <f t="shared" si="58"/>
        <v>0</v>
      </c>
      <c r="CP174" s="34"/>
      <c r="CQ174" s="34"/>
      <c r="CR174" s="405">
        <v>16.0</v>
      </c>
      <c r="CS174" s="420">
        <v>0.0</v>
      </c>
      <c r="CT174" s="420">
        <v>0.0</v>
      </c>
      <c r="CU174" s="420">
        <v>0.0</v>
      </c>
      <c r="CV174" s="420">
        <v>0.0</v>
      </c>
      <c r="CW174" s="420">
        <v>0.0</v>
      </c>
      <c r="CX174" s="420">
        <v>0.0</v>
      </c>
      <c r="CY174" s="420">
        <v>0.0</v>
      </c>
      <c r="CZ174" s="420">
        <v>0.0</v>
      </c>
      <c r="DA174" s="420">
        <v>0.0</v>
      </c>
      <c r="DB174" s="420">
        <v>0.0</v>
      </c>
      <c r="DC174" s="420">
        <v>0.0</v>
      </c>
      <c r="DD174" s="420">
        <v>0.0</v>
      </c>
      <c r="DE174" s="420">
        <v>0.0</v>
      </c>
      <c r="DF174" s="420">
        <v>0.0</v>
      </c>
      <c r="DG174" s="420">
        <v>0.0</v>
      </c>
      <c r="DH174" s="420">
        <v>0.0</v>
      </c>
      <c r="DI174" s="420">
        <v>0.0</v>
      </c>
      <c r="DJ174" s="420">
        <v>0.0</v>
      </c>
      <c r="DK174" s="420">
        <v>0.0</v>
      </c>
      <c r="DL174" s="420">
        <v>0.0</v>
      </c>
      <c r="DM174" s="420">
        <v>0.0</v>
      </c>
      <c r="DN174" s="420">
        <v>0.0</v>
      </c>
      <c r="DO174" s="420">
        <v>0.0</v>
      </c>
      <c r="DP174" s="420">
        <v>0.0</v>
      </c>
      <c r="DQ174" s="420">
        <v>0.0</v>
      </c>
      <c r="DR174" s="420">
        <v>0.0</v>
      </c>
      <c r="DS174" s="420">
        <v>0.0</v>
      </c>
      <c r="DT174" s="420">
        <v>0.0</v>
      </c>
      <c r="DU174" s="406">
        <f t="shared" si="59"/>
        <v>0</v>
      </c>
    </row>
    <row r="175">
      <c r="B175" s="405">
        <v>18.0</v>
      </c>
      <c r="C175" s="407">
        <v>0.0</v>
      </c>
      <c r="D175" s="407">
        <v>0.0</v>
      </c>
      <c r="E175" s="407">
        <v>0.0</v>
      </c>
      <c r="F175" s="407">
        <v>0.0</v>
      </c>
      <c r="G175" s="407">
        <v>0.0</v>
      </c>
      <c r="H175" s="407">
        <v>0.0</v>
      </c>
      <c r="I175" s="407">
        <v>0.0</v>
      </c>
      <c r="J175" s="407">
        <v>0.0</v>
      </c>
      <c r="K175" s="407">
        <v>0.0</v>
      </c>
      <c r="L175" s="407">
        <v>0.0</v>
      </c>
      <c r="M175" s="407">
        <v>0.0</v>
      </c>
      <c r="N175" s="407">
        <v>0.0</v>
      </c>
      <c r="O175" s="407">
        <v>0.0</v>
      </c>
      <c r="P175" s="407">
        <v>0.0</v>
      </c>
      <c r="Q175" s="407">
        <v>0.0</v>
      </c>
      <c r="R175" s="407">
        <v>0.0</v>
      </c>
      <c r="S175" s="407">
        <v>0.0</v>
      </c>
      <c r="T175" s="407">
        <v>1.0</v>
      </c>
      <c r="U175" s="407">
        <v>0.0</v>
      </c>
      <c r="V175" s="407">
        <v>0.0</v>
      </c>
      <c r="W175" s="407">
        <v>0.0</v>
      </c>
      <c r="X175" s="407">
        <v>0.0</v>
      </c>
      <c r="Y175" s="407">
        <v>0.0</v>
      </c>
      <c r="Z175" s="407">
        <v>0.0</v>
      </c>
      <c r="AA175" s="407">
        <v>0.0</v>
      </c>
      <c r="AB175" s="407">
        <v>0.0</v>
      </c>
      <c r="AC175" s="407">
        <v>0.0</v>
      </c>
      <c r="AD175" s="407">
        <v>0.0</v>
      </c>
      <c r="AF175" s="263" t="s">
        <v>159</v>
      </c>
      <c r="AG175" s="420">
        <v>1657478.9341898167</v>
      </c>
      <c r="AH175" s="420">
        <v>3709902.5813896894</v>
      </c>
      <c r="AI175" s="420">
        <v>3.700194212089338E7</v>
      </c>
      <c r="AJ175" s="420">
        <v>1.0499827763010007E8</v>
      </c>
      <c r="AK175" s="420">
        <v>2.169829147008162E7</v>
      </c>
      <c r="AL175" s="420">
        <v>117872.4828161343</v>
      </c>
      <c r="AM175" s="420">
        <v>1928109.686414091</v>
      </c>
      <c r="AN175" s="420">
        <v>3.1413983201026666E8</v>
      </c>
      <c r="AO175" s="420">
        <v>252860.70507633244</v>
      </c>
      <c r="AP175" s="420">
        <v>3.574618975412256E8</v>
      </c>
      <c r="AQ175" s="420">
        <v>6.536457635635664E8</v>
      </c>
      <c r="AR175" s="420">
        <v>153693.7023774576</v>
      </c>
      <c r="AS175" s="420">
        <v>24172.513490403715</v>
      </c>
      <c r="AT175" s="420">
        <v>8.551699743365984E7</v>
      </c>
      <c r="AU175" s="420">
        <v>1.0071437121350622E10</v>
      </c>
      <c r="AV175" s="420">
        <v>8.174223674677674E9</v>
      </c>
      <c r="AW175" s="420">
        <v>1.6817237108449907E12</v>
      </c>
      <c r="AX175" s="420">
        <v>8.793118479060707E11</v>
      </c>
      <c r="AY175" s="420">
        <v>8.434064618459622E10</v>
      </c>
      <c r="AZ175" s="420">
        <v>6.238860712263061E8</v>
      </c>
      <c r="BA175" s="420">
        <v>1.689736128392739E9</v>
      </c>
      <c r="BB175" s="420">
        <v>2.0982434489618982E11</v>
      </c>
      <c r="BC175" s="420">
        <v>1.0315274224390675E10</v>
      </c>
      <c r="BD175" s="420">
        <v>6.733696327247919E10</v>
      </c>
      <c r="BE175" s="420">
        <v>2.0892993218053662E11</v>
      </c>
      <c r="BF175" s="420">
        <v>8.12562916347151E8</v>
      </c>
      <c r="BG175" s="420">
        <v>1.3632933271511538E9</v>
      </c>
      <c r="BH175" s="420">
        <v>1.6121281140929126E11</v>
      </c>
      <c r="BI175" s="406">
        <f t="shared" si="57"/>
        <v>3327312977250</v>
      </c>
      <c r="BJ175" s="24"/>
      <c r="BK175" s="24"/>
      <c r="BL175" s="405">
        <v>17.0</v>
      </c>
      <c r="BM175" s="420">
        <v>0.0</v>
      </c>
      <c r="BN175" s="420">
        <v>0.0</v>
      </c>
      <c r="BO175" s="420">
        <v>0.0</v>
      </c>
      <c r="BP175" s="420">
        <v>0.0</v>
      </c>
      <c r="BQ175" s="420">
        <v>0.0</v>
      </c>
      <c r="BR175" s="420">
        <v>0.0</v>
      </c>
      <c r="BS175" s="420">
        <v>0.0</v>
      </c>
      <c r="BT175" s="420">
        <v>0.0</v>
      </c>
      <c r="BU175" s="420">
        <v>0.0</v>
      </c>
      <c r="BV175" s="420">
        <v>0.0</v>
      </c>
      <c r="BW175" s="420">
        <v>0.0</v>
      </c>
      <c r="BX175" s="420">
        <v>0.0</v>
      </c>
      <c r="BY175" s="420">
        <v>0.0</v>
      </c>
      <c r="BZ175" s="420">
        <v>0.0</v>
      </c>
      <c r="CA175" s="420">
        <v>0.0</v>
      </c>
      <c r="CB175" s="420">
        <v>0.0</v>
      </c>
      <c r="CC175" s="420">
        <v>0.0</v>
      </c>
      <c r="CD175" s="420">
        <v>0.0</v>
      </c>
      <c r="CE175" s="420">
        <v>0.0</v>
      </c>
      <c r="CF175" s="420">
        <v>0.0</v>
      </c>
      <c r="CG175" s="420">
        <v>0.0</v>
      </c>
      <c r="CH175" s="420">
        <v>0.0</v>
      </c>
      <c r="CI175" s="420">
        <v>0.0</v>
      </c>
      <c r="CJ175" s="420">
        <v>0.0</v>
      </c>
      <c r="CK175" s="420">
        <v>0.0</v>
      </c>
      <c r="CL175" s="420">
        <v>0.0</v>
      </c>
      <c r="CM175" s="420">
        <v>0.0</v>
      </c>
      <c r="CN175" s="420">
        <v>0.0</v>
      </c>
      <c r="CO175" s="406">
        <f t="shared" si="58"/>
        <v>0</v>
      </c>
      <c r="CP175" s="34"/>
      <c r="CQ175" s="34"/>
      <c r="CR175" s="405">
        <v>17.0</v>
      </c>
      <c r="CS175" s="420">
        <v>6.982734591212299</v>
      </c>
      <c r="CT175" s="420">
        <v>15.629317845756027</v>
      </c>
      <c r="CU175" s="420">
        <v>155.8841779885983</v>
      </c>
      <c r="CV175" s="420">
        <v>442.3435436202341</v>
      </c>
      <c r="CW175" s="420">
        <v>91.41196747239876</v>
      </c>
      <c r="CX175" s="420">
        <v>0.49658082895311106</v>
      </c>
      <c r="CY175" s="420">
        <v>8.122865350054164</v>
      </c>
      <c r="CZ175" s="420">
        <v>1323.428627783996</v>
      </c>
      <c r="DA175" s="420">
        <v>1.0652679534403253</v>
      </c>
      <c r="DB175" s="420">
        <v>1505.9386309615988</v>
      </c>
      <c r="DC175" s="420">
        <v>2753.7212024149853</v>
      </c>
      <c r="DD175" s="420">
        <v>0.6474907824799278</v>
      </c>
      <c r="DE175" s="420">
        <v>0.10183553022862002</v>
      </c>
      <c r="DF175" s="420">
        <v>360.2715448136394</v>
      </c>
      <c r="DG175" s="420">
        <v>42429.6025245415</v>
      </c>
      <c r="DH175" s="420">
        <v>34436.89885408921</v>
      </c>
      <c r="DI175" s="420">
        <v>7084874.556381178</v>
      </c>
      <c r="DJ175" s="420">
        <v>3704421.8965218933</v>
      </c>
      <c r="DK175" s="420">
        <v>355315.7360918427</v>
      </c>
      <c r="DL175" s="420">
        <v>2628.3476433182605</v>
      </c>
      <c r="DM175" s="420">
        <v>7118.629787905279</v>
      </c>
      <c r="DN175" s="420">
        <v>883961.5882667343</v>
      </c>
      <c r="DO175" s="420">
        <v>43456.85526296078</v>
      </c>
      <c r="DP175" s="420">
        <v>283681.5195722331</v>
      </c>
      <c r="DQ175" s="420">
        <v>880193.5484566449</v>
      </c>
      <c r="DR175" s="420">
        <v>3423.217675033095</v>
      </c>
      <c r="DS175" s="420">
        <v>5743.370414611301</v>
      </c>
      <c r="DT175" s="420">
        <v>679167.7719418455</v>
      </c>
      <c r="DU175" s="406">
        <f t="shared" si="59"/>
        <v>14017519.59</v>
      </c>
    </row>
    <row r="176">
      <c r="B176" s="405">
        <v>19.0</v>
      </c>
      <c r="C176" s="407">
        <v>0.0</v>
      </c>
      <c r="D176" s="407">
        <v>0.0</v>
      </c>
      <c r="E176" s="407">
        <v>0.0</v>
      </c>
      <c r="F176" s="407">
        <v>0.0</v>
      </c>
      <c r="G176" s="407">
        <v>0.0</v>
      </c>
      <c r="H176" s="407">
        <v>0.0</v>
      </c>
      <c r="I176" s="407">
        <v>0.0</v>
      </c>
      <c r="J176" s="407">
        <v>0.0</v>
      </c>
      <c r="K176" s="407">
        <v>0.0</v>
      </c>
      <c r="L176" s="407">
        <v>0.0</v>
      </c>
      <c r="M176" s="407">
        <v>0.0</v>
      </c>
      <c r="N176" s="407">
        <v>0.0</v>
      </c>
      <c r="O176" s="407">
        <v>0.0</v>
      </c>
      <c r="P176" s="407">
        <v>0.0</v>
      </c>
      <c r="Q176" s="407">
        <v>0.0</v>
      </c>
      <c r="R176" s="407">
        <v>0.0</v>
      </c>
      <c r="S176" s="407">
        <v>0.0</v>
      </c>
      <c r="T176" s="407">
        <v>0.0</v>
      </c>
      <c r="U176" s="407">
        <v>1.0</v>
      </c>
      <c r="V176" s="407">
        <v>0.0</v>
      </c>
      <c r="W176" s="407">
        <v>0.0</v>
      </c>
      <c r="X176" s="407">
        <v>0.0</v>
      </c>
      <c r="Y176" s="407">
        <v>0.0</v>
      </c>
      <c r="Z176" s="407">
        <v>0.0</v>
      </c>
      <c r="AA176" s="407">
        <v>0.0</v>
      </c>
      <c r="AB176" s="407">
        <v>0.0</v>
      </c>
      <c r="AC176" s="407">
        <v>0.0</v>
      </c>
      <c r="AD176" s="407">
        <v>0.0</v>
      </c>
      <c r="AF176" s="263" t="s">
        <v>160</v>
      </c>
      <c r="AG176" s="420">
        <v>313703.54077458516</v>
      </c>
      <c r="AH176" s="420">
        <v>807676.4984878096</v>
      </c>
      <c r="AI176" s="420">
        <v>1.309131665794059E7</v>
      </c>
      <c r="AJ176" s="420">
        <v>2.3515824499811403E7</v>
      </c>
      <c r="AK176" s="420">
        <v>5192369.590401825</v>
      </c>
      <c r="AL176" s="420">
        <v>27075.655696465266</v>
      </c>
      <c r="AM176" s="420">
        <v>371342.98993354663</v>
      </c>
      <c r="AN176" s="420">
        <v>6.318802961529375E7</v>
      </c>
      <c r="AO176" s="420">
        <v>42693.36254341428</v>
      </c>
      <c r="AP176" s="420">
        <v>1.0921862169215481E8</v>
      </c>
      <c r="AQ176" s="420">
        <v>1.4932767209839463E8</v>
      </c>
      <c r="AR176" s="420">
        <v>35221.41808319102</v>
      </c>
      <c r="AS176" s="420">
        <v>5315.0760393006785</v>
      </c>
      <c r="AT176" s="420">
        <v>2.8863758732490625E7</v>
      </c>
      <c r="AU176" s="420">
        <v>1.537280547553139E9</v>
      </c>
      <c r="AV176" s="420">
        <v>1.9949753308034937E9</v>
      </c>
      <c r="AW176" s="420">
        <v>6.026978751310724E9</v>
      </c>
      <c r="AX176" s="420">
        <v>3.8896704251752747E11</v>
      </c>
      <c r="AY176" s="420">
        <v>2.2100143725590733E10</v>
      </c>
      <c r="AZ176" s="420">
        <v>8.145080066644526E7</v>
      </c>
      <c r="BA176" s="420">
        <v>2.1454253728543591E8</v>
      </c>
      <c r="BB176" s="420">
        <v>2.985510932370689E10</v>
      </c>
      <c r="BC176" s="420">
        <v>9.892052014461433E8</v>
      </c>
      <c r="BD176" s="420">
        <v>1.1836231638742218E10</v>
      </c>
      <c r="BE176" s="420">
        <v>4.7685597654623405E10</v>
      </c>
      <c r="BF176" s="420">
        <v>1.784808165498848E8</v>
      </c>
      <c r="BG176" s="420">
        <v>1.492024436919214E8</v>
      </c>
      <c r="BH176" s="420">
        <v>3.5705775139496216E10</v>
      </c>
      <c r="BI176" s="406">
        <f t="shared" si="57"/>
        <v>547716017050</v>
      </c>
      <c r="BJ176" s="24"/>
      <c r="BK176" s="24"/>
      <c r="BL176" s="405">
        <v>18.0</v>
      </c>
      <c r="BM176" s="420">
        <v>0.0</v>
      </c>
      <c r="BN176" s="420">
        <v>0.0</v>
      </c>
      <c r="BO176" s="420">
        <v>0.0</v>
      </c>
      <c r="BP176" s="420">
        <v>0.0</v>
      </c>
      <c r="BQ176" s="420">
        <v>0.0</v>
      </c>
      <c r="BR176" s="420">
        <v>0.0</v>
      </c>
      <c r="BS176" s="420">
        <v>0.0</v>
      </c>
      <c r="BT176" s="420">
        <v>0.0</v>
      </c>
      <c r="BU176" s="420">
        <v>0.0</v>
      </c>
      <c r="BV176" s="420">
        <v>0.0</v>
      </c>
      <c r="BW176" s="420">
        <v>0.0</v>
      </c>
      <c r="BX176" s="420">
        <v>0.0</v>
      </c>
      <c r="BY176" s="420">
        <v>0.0</v>
      </c>
      <c r="BZ176" s="420">
        <v>0.0</v>
      </c>
      <c r="CA176" s="420">
        <v>0.0</v>
      </c>
      <c r="CB176" s="420">
        <v>0.0</v>
      </c>
      <c r="CC176" s="420">
        <v>0.0</v>
      </c>
      <c r="CD176" s="420">
        <v>0.0</v>
      </c>
      <c r="CE176" s="420">
        <v>0.0</v>
      </c>
      <c r="CF176" s="420">
        <v>0.0</v>
      </c>
      <c r="CG176" s="420">
        <v>0.0</v>
      </c>
      <c r="CH176" s="420">
        <v>0.0</v>
      </c>
      <c r="CI176" s="420">
        <v>0.0</v>
      </c>
      <c r="CJ176" s="420">
        <v>0.0</v>
      </c>
      <c r="CK176" s="420">
        <v>0.0</v>
      </c>
      <c r="CL176" s="420">
        <v>0.0</v>
      </c>
      <c r="CM176" s="420">
        <v>0.0</v>
      </c>
      <c r="CN176" s="420">
        <v>0.0</v>
      </c>
      <c r="CO176" s="406">
        <f t="shared" si="58"/>
        <v>0</v>
      </c>
      <c r="CP176" s="34"/>
      <c r="CQ176" s="34"/>
      <c r="CR176" s="405">
        <v>18.0</v>
      </c>
      <c r="CS176" s="420">
        <v>0.0</v>
      </c>
      <c r="CT176" s="420">
        <v>0.0</v>
      </c>
      <c r="CU176" s="420">
        <v>0.0</v>
      </c>
      <c r="CV176" s="420">
        <v>0.0</v>
      </c>
      <c r="CW176" s="420">
        <v>0.0</v>
      </c>
      <c r="CX176" s="420">
        <v>0.0</v>
      </c>
      <c r="CY176" s="420">
        <v>0.0</v>
      </c>
      <c r="CZ176" s="420">
        <v>0.0</v>
      </c>
      <c r="DA176" s="420">
        <v>0.0</v>
      </c>
      <c r="DB176" s="420">
        <v>0.0</v>
      </c>
      <c r="DC176" s="420">
        <v>0.0</v>
      </c>
      <c r="DD176" s="420">
        <v>0.0</v>
      </c>
      <c r="DE176" s="420">
        <v>0.0</v>
      </c>
      <c r="DF176" s="420">
        <v>0.0</v>
      </c>
      <c r="DG176" s="420">
        <v>0.0</v>
      </c>
      <c r="DH176" s="420">
        <v>0.0</v>
      </c>
      <c r="DI176" s="420">
        <v>0.0</v>
      </c>
      <c r="DJ176" s="420">
        <v>0.0</v>
      </c>
      <c r="DK176" s="420">
        <v>0.0</v>
      </c>
      <c r="DL176" s="420">
        <v>0.0</v>
      </c>
      <c r="DM176" s="420">
        <v>0.0</v>
      </c>
      <c r="DN176" s="420">
        <v>0.0</v>
      </c>
      <c r="DO176" s="420">
        <v>0.0</v>
      </c>
      <c r="DP176" s="420">
        <v>0.0</v>
      </c>
      <c r="DQ176" s="420">
        <v>0.0</v>
      </c>
      <c r="DR176" s="420">
        <v>0.0</v>
      </c>
      <c r="DS176" s="420">
        <v>0.0</v>
      </c>
      <c r="DT176" s="420">
        <v>0.0</v>
      </c>
      <c r="DU176" s="406">
        <f t="shared" si="59"/>
        <v>0</v>
      </c>
    </row>
    <row r="177">
      <c r="B177" s="405">
        <v>20.0</v>
      </c>
      <c r="C177" s="407">
        <v>0.0</v>
      </c>
      <c r="D177" s="407">
        <v>0.0</v>
      </c>
      <c r="E177" s="407">
        <v>0.0</v>
      </c>
      <c r="F177" s="407">
        <v>0.0</v>
      </c>
      <c r="G177" s="407">
        <v>0.0</v>
      </c>
      <c r="H177" s="407">
        <v>0.0</v>
      </c>
      <c r="I177" s="407">
        <v>0.0</v>
      </c>
      <c r="J177" s="407">
        <v>0.0</v>
      </c>
      <c r="K177" s="407">
        <v>0.0</v>
      </c>
      <c r="L177" s="407">
        <v>0.0</v>
      </c>
      <c r="M177" s="407">
        <v>0.0</v>
      </c>
      <c r="N177" s="407">
        <v>0.0</v>
      </c>
      <c r="O177" s="407">
        <v>0.0</v>
      </c>
      <c r="P177" s="407">
        <v>0.0</v>
      </c>
      <c r="Q177" s="407">
        <v>0.0</v>
      </c>
      <c r="R177" s="407">
        <v>0.0</v>
      </c>
      <c r="S177" s="407">
        <v>0.0</v>
      </c>
      <c r="T177" s="407">
        <v>0.0</v>
      </c>
      <c r="U177" s="407">
        <v>0.0</v>
      </c>
      <c r="V177" s="407">
        <v>1.0</v>
      </c>
      <c r="W177" s="407">
        <v>0.0</v>
      </c>
      <c r="X177" s="407">
        <v>0.0</v>
      </c>
      <c r="Y177" s="407">
        <v>0.0</v>
      </c>
      <c r="Z177" s="407">
        <v>0.0</v>
      </c>
      <c r="AA177" s="407">
        <v>0.0</v>
      </c>
      <c r="AB177" s="407">
        <v>0.0</v>
      </c>
      <c r="AC177" s="407">
        <v>0.0</v>
      </c>
      <c r="AD177" s="407">
        <v>0.0</v>
      </c>
      <c r="AF177" s="263" t="s">
        <v>161</v>
      </c>
      <c r="AG177" s="420">
        <v>118545.96497492203</v>
      </c>
      <c r="AH177" s="420">
        <v>693436.2922772975</v>
      </c>
      <c r="AI177" s="420">
        <v>4794658.898177479</v>
      </c>
      <c r="AJ177" s="420">
        <v>3150896.201539035</v>
      </c>
      <c r="AK177" s="420">
        <v>2.4358687497867197E7</v>
      </c>
      <c r="AL177" s="420">
        <v>9149.346555193457</v>
      </c>
      <c r="AM177" s="420">
        <v>124221.245836345</v>
      </c>
      <c r="AN177" s="420">
        <v>2.690047491688397E7</v>
      </c>
      <c r="AO177" s="420">
        <v>16064.410453592216</v>
      </c>
      <c r="AP177" s="420">
        <v>2.4202850945757464E7</v>
      </c>
      <c r="AQ177" s="420">
        <v>5.789449559934397E7</v>
      </c>
      <c r="AR177" s="420">
        <v>11956.30543627631</v>
      </c>
      <c r="AS177" s="420">
        <v>2004.2961344230807</v>
      </c>
      <c r="AT177" s="420">
        <v>1.172622094733697E7</v>
      </c>
      <c r="AU177" s="420">
        <v>6.932208391739991E8</v>
      </c>
      <c r="AV177" s="420">
        <v>3.5589589425014296E9</v>
      </c>
      <c r="AW177" s="420">
        <v>8.234147142819634E9</v>
      </c>
      <c r="AX177" s="420">
        <v>9.647886643644436E9</v>
      </c>
      <c r="AY177" s="420">
        <v>1.8511250397262567E11</v>
      </c>
      <c r="AZ177" s="420">
        <v>3.086884002769021E7</v>
      </c>
      <c r="BA177" s="420">
        <v>9.806186223677035E7</v>
      </c>
      <c r="BB177" s="420">
        <v>1.2412979554307934E10</v>
      </c>
      <c r="BC177" s="420">
        <v>6.401487564448599E8</v>
      </c>
      <c r="BD177" s="420">
        <v>4.9788078365637665E9</v>
      </c>
      <c r="BE177" s="420">
        <v>1.9876551178904533E10</v>
      </c>
      <c r="BF177" s="420">
        <v>5.173886876872227E7</v>
      </c>
      <c r="BG177" s="420">
        <v>6.1035377564350374E7</v>
      </c>
      <c r="BH177" s="420">
        <v>1.660302739351463E10</v>
      </c>
      <c r="BI177" s="406">
        <f t="shared" si="57"/>
        <v>262153940872</v>
      </c>
      <c r="BJ177" s="24"/>
      <c r="BK177" s="24"/>
      <c r="BL177" s="405">
        <v>19.0</v>
      </c>
      <c r="BM177" s="420">
        <v>0.0</v>
      </c>
      <c r="BN177" s="420">
        <v>0.0</v>
      </c>
      <c r="BO177" s="420">
        <v>0.0</v>
      </c>
      <c r="BP177" s="420">
        <v>0.0</v>
      </c>
      <c r="BQ177" s="420">
        <v>0.0</v>
      </c>
      <c r="BR177" s="420">
        <v>0.0</v>
      </c>
      <c r="BS177" s="420">
        <v>0.0</v>
      </c>
      <c r="BT177" s="420">
        <v>0.0</v>
      </c>
      <c r="BU177" s="420">
        <v>0.0</v>
      </c>
      <c r="BV177" s="420">
        <v>0.0</v>
      </c>
      <c r="BW177" s="420">
        <v>0.0</v>
      </c>
      <c r="BX177" s="420">
        <v>0.0</v>
      </c>
      <c r="BY177" s="420">
        <v>0.0</v>
      </c>
      <c r="BZ177" s="420">
        <v>0.0</v>
      </c>
      <c r="CA177" s="420">
        <v>0.0</v>
      </c>
      <c r="CB177" s="420">
        <v>0.0</v>
      </c>
      <c r="CC177" s="420">
        <v>0.0</v>
      </c>
      <c r="CD177" s="420">
        <v>0.0</v>
      </c>
      <c r="CE177" s="420">
        <v>0.0</v>
      </c>
      <c r="CF177" s="420">
        <v>0.0</v>
      </c>
      <c r="CG177" s="420">
        <v>0.0</v>
      </c>
      <c r="CH177" s="420">
        <v>0.0</v>
      </c>
      <c r="CI177" s="420">
        <v>0.0</v>
      </c>
      <c r="CJ177" s="420">
        <v>0.0</v>
      </c>
      <c r="CK177" s="420">
        <v>0.0</v>
      </c>
      <c r="CL177" s="420">
        <v>0.0</v>
      </c>
      <c r="CM177" s="420">
        <v>0.0</v>
      </c>
      <c r="CN177" s="420">
        <v>0.0</v>
      </c>
      <c r="CO177" s="406">
        <f t="shared" si="58"/>
        <v>0</v>
      </c>
      <c r="CP177" s="34"/>
      <c r="CQ177" s="34"/>
      <c r="CR177" s="405">
        <v>19.0</v>
      </c>
      <c r="CS177" s="420">
        <v>0.0</v>
      </c>
      <c r="CT177" s="420">
        <v>0.0</v>
      </c>
      <c r="CU177" s="420">
        <v>0.0</v>
      </c>
      <c r="CV177" s="420">
        <v>0.0</v>
      </c>
      <c r="CW177" s="420">
        <v>0.0</v>
      </c>
      <c r="CX177" s="420">
        <v>0.0</v>
      </c>
      <c r="CY177" s="420">
        <v>0.0</v>
      </c>
      <c r="CZ177" s="420">
        <v>0.0</v>
      </c>
      <c r="DA177" s="420">
        <v>0.0</v>
      </c>
      <c r="DB177" s="420">
        <v>0.0</v>
      </c>
      <c r="DC177" s="420">
        <v>0.0</v>
      </c>
      <c r="DD177" s="420">
        <v>0.0</v>
      </c>
      <c r="DE177" s="420">
        <v>0.0</v>
      </c>
      <c r="DF177" s="420">
        <v>0.0</v>
      </c>
      <c r="DG177" s="420">
        <v>0.0</v>
      </c>
      <c r="DH177" s="420">
        <v>0.0</v>
      </c>
      <c r="DI177" s="420">
        <v>0.0</v>
      </c>
      <c r="DJ177" s="420">
        <v>0.0</v>
      </c>
      <c r="DK177" s="420">
        <v>0.0</v>
      </c>
      <c r="DL177" s="420">
        <v>0.0</v>
      </c>
      <c r="DM177" s="420">
        <v>0.0</v>
      </c>
      <c r="DN177" s="420">
        <v>0.0</v>
      </c>
      <c r="DO177" s="420">
        <v>0.0</v>
      </c>
      <c r="DP177" s="420">
        <v>0.0</v>
      </c>
      <c r="DQ177" s="420">
        <v>0.0</v>
      </c>
      <c r="DR177" s="420">
        <v>0.0</v>
      </c>
      <c r="DS177" s="420">
        <v>0.0</v>
      </c>
      <c r="DT177" s="420">
        <v>0.0</v>
      </c>
      <c r="DU177" s="406">
        <f t="shared" si="59"/>
        <v>0</v>
      </c>
    </row>
    <row r="178">
      <c r="B178" s="405">
        <v>21.0</v>
      </c>
      <c r="C178" s="407">
        <v>0.0</v>
      </c>
      <c r="D178" s="407">
        <v>0.0</v>
      </c>
      <c r="E178" s="407">
        <v>0.0</v>
      </c>
      <c r="F178" s="407">
        <v>0.0</v>
      </c>
      <c r="G178" s="407">
        <v>0.0</v>
      </c>
      <c r="H178" s="407">
        <v>0.0</v>
      </c>
      <c r="I178" s="407">
        <v>0.0</v>
      </c>
      <c r="J178" s="407">
        <v>0.0</v>
      </c>
      <c r="K178" s="407">
        <v>0.0</v>
      </c>
      <c r="L178" s="407">
        <v>0.0</v>
      </c>
      <c r="M178" s="407">
        <v>0.0</v>
      </c>
      <c r="N178" s="407">
        <v>0.0</v>
      </c>
      <c r="O178" s="407">
        <v>0.0</v>
      </c>
      <c r="P178" s="407">
        <v>0.0</v>
      </c>
      <c r="Q178" s="407">
        <v>0.0</v>
      </c>
      <c r="R178" s="407">
        <v>0.0</v>
      </c>
      <c r="S178" s="407">
        <v>0.0</v>
      </c>
      <c r="T178" s="407">
        <v>0.0</v>
      </c>
      <c r="U178" s="407">
        <v>0.0</v>
      </c>
      <c r="V178" s="407">
        <v>0.0</v>
      </c>
      <c r="W178" s="407">
        <v>1.0</v>
      </c>
      <c r="X178" s="407">
        <v>0.0</v>
      </c>
      <c r="Y178" s="407">
        <v>0.0</v>
      </c>
      <c r="Z178" s="407">
        <v>0.0</v>
      </c>
      <c r="AA178" s="407">
        <v>0.0</v>
      </c>
      <c r="AB178" s="407">
        <v>0.0</v>
      </c>
      <c r="AC178" s="407">
        <v>0.0</v>
      </c>
      <c r="AD178" s="407">
        <v>0.0</v>
      </c>
      <c r="AF178" s="263" t="s">
        <v>162</v>
      </c>
      <c r="AG178" s="420">
        <v>2354876.5921450667</v>
      </c>
      <c r="AH178" s="420">
        <v>4419957.2367254</v>
      </c>
      <c r="AI178" s="420">
        <v>9716955.786422737</v>
      </c>
      <c r="AJ178" s="420">
        <v>1.0501646145688714E7</v>
      </c>
      <c r="AK178" s="420">
        <v>1.6308400788058802E7</v>
      </c>
      <c r="AL178" s="420">
        <v>1309792.5220141711</v>
      </c>
      <c r="AM178" s="420">
        <v>2031500.0722930082</v>
      </c>
      <c r="AN178" s="420">
        <v>5.034205547621142E8</v>
      </c>
      <c r="AO178" s="420">
        <v>363581.43099273095</v>
      </c>
      <c r="AP178" s="420">
        <v>1.952849623027754E8</v>
      </c>
      <c r="AQ178" s="420">
        <v>4.2082867835263187E8</v>
      </c>
      <c r="AR178" s="420">
        <v>1748264.6233608113</v>
      </c>
      <c r="AS178" s="420">
        <v>32041.485162722318</v>
      </c>
      <c r="AT178" s="420">
        <v>1.5020957342676064E7</v>
      </c>
      <c r="AU178" s="420">
        <v>8.555613912950278E9</v>
      </c>
      <c r="AV178" s="420">
        <v>8.642474446994705E9</v>
      </c>
      <c r="AW178" s="420">
        <v>9.764350399767921E9</v>
      </c>
      <c r="AX178" s="420">
        <v>2.3685922073715885E10</v>
      </c>
      <c r="AY178" s="420">
        <v>1.9491182672904545E10</v>
      </c>
      <c r="AZ178" s="420">
        <v>6.180877451613387E11</v>
      </c>
      <c r="BA178" s="420">
        <v>2.7404969977898326E9</v>
      </c>
      <c r="BB178" s="420">
        <v>3.557969007480873E11</v>
      </c>
      <c r="BC178" s="420">
        <v>4.132780588450162E9</v>
      </c>
      <c r="BD178" s="420">
        <v>9.881143976510278E10</v>
      </c>
      <c r="BE178" s="420">
        <v>3.494495497905769E11</v>
      </c>
      <c r="BF178" s="420">
        <v>3.6403621880925186E10</v>
      </c>
      <c r="BG178" s="420">
        <v>9.28724157588758E9</v>
      </c>
      <c r="BH178" s="420">
        <v>3.0545561437255985E10</v>
      </c>
      <c r="BI178" s="406">
        <f t="shared" si="57"/>
        <v>1576578223621</v>
      </c>
      <c r="BJ178" s="24"/>
      <c r="BK178" s="24"/>
      <c r="BL178" s="405">
        <v>20.0</v>
      </c>
      <c r="BM178" s="420">
        <v>0.0</v>
      </c>
      <c r="BN178" s="420">
        <v>0.0</v>
      </c>
      <c r="BO178" s="420">
        <v>0.0</v>
      </c>
      <c r="BP178" s="420">
        <v>0.0</v>
      </c>
      <c r="BQ178" s="420">
        <v>0.0</v>
      </c>
      <c r="BR178" s="420">
        <v>0.0</v>
      </c>
      <c r="BS178" s="420">
        <v>0.0</v>
      </c>
      <c r="BT178" s="420">
        <v>0.0</v>
      </c>
      <c r="BU178" s="420">
        <v>0.0</v>
      </c>
      <c r="BV178" s="420">
        <v>0.0</v>
      </c>
      <c r="BW178" s="420">
        <v>0.0</v>
      </c>
      <c r="BX178" s="420">
        <v>0.0</v>
      </c>
      <c r="BY178" s="420">
        <v>0.0</v>
      </c>
      <c r="BZ178" s="420">
        <v>0.0</v>
      </c>
      <c r="CA178" s="420">
        <v>0.0</v>
      </c>
      <c r="CB178" s="420">
        <v>0.0</v>
      </c>
      <c r="CC178" s="420">
        <v>0.0</v>
      </c>
      <c r="CD178" s="420">
        <v>0.0</v>
      </c>
      <c r="CE178" s="420">
        <v>0.0</v>
      </c>
      <c r="CF178" s="420">
        <v>0.0</v>
      </c>
      <c r="CG178" s="420">
        <v>0.0</v>
      </c>
      <c r="CH178" s="420">
        <v>0.0</v>
      </c>
      <c r="CI178" s="420">
        <v>0.0</v>
      </c>
      <c r="CJ178" s="420">
        <v>0.0</v>
      </c>
      <c r="CK178" s="420">
        <v>0.0</v>
      </c>
      <c r="CL178" s="420">
        <v>0.0</v>
      </c>
      <c r="CM178" s="420">
        <v>0.0</v>
      </c>
      <c r="CN178" s="420">
        <v>0.0</v>
      </c>
      <c r="CO178" s="406">
        <f t="shared" si="58"/>
        <v>0</v>
      </c>
      <c r="CP178" s="34"/>
      <c r="CQ178" s="34"/>
      <c r="CR178" s="405">
        <v>20.0</v>
      </c>
      <c r="CS178" s="420">
        <v>0.0</v>
      </c>
      <c r="CT178" s="420">
        <v>0.0</v>
      </c>
      <c r="CU178" s="420">
        <v>0.0</v>
      </c>
      <c r="CV178" s="420">
        <v>0.0</v>
      </c>
      <c r="CW178" s="420">
        <v>0.0</v>
      </c>
      <c r="CX178" s="420">
        <v>0.0</v>
      </c>
      <c r="CY178" s="420">
        <v>0.0</v>
      </c>
      <c r="CZ178" s="420">
        <v>0.0</v>
      </c>
      <c r="DA178" s="420">
        <v>0.0</v>
      </c>
      <c r="DB178" s="420">
        <v>0.0</v>
      </c>
      <c r="DC178" s="420">
        <v>0.0</v>
      </c>
      <c r="DD178" s="420">
        <v>0.0</v>
      </c>
      <c r="DE178" s="420">
        <v>0.0</v>
      </c>
      <c r="DF178" s="420">
        <v>0.0</v>
      </c>
      <c r="DG178" s="420">
        <v>0.0</v>
      </c>
      <c r="DH178" s="420">
        <v>0.0</v>
      </c>
      <c r="DI178" s="420">
        <v>0.0</v>
      </c>
      <c r="DJ178" s="420">
        <v>0.0</v>
      </c>
      <c r="DK178" s="420">
        <v>0.0</v>
      </c>
      <c r="DL178" s="420">
        <v>0.0</v>
      </c>
      <c r="DM178" s="420">
        <v>0.0</v>
      </c>
      <c r="DN178" s="420">
        <v>0.0</v>
      </c>
      <c r="DO178" s="420">
        <v>0.0</v>
      </c>
      <c r="DP178" s="420">
        <v>0.0</v>
      </c>
      <c r="DQ178" s="420">
        <v>0.0</v>
      </c>
      <c r="DR178" s="420">
        <v>0.0</v>
      </c>
      <c r="DS178" s="420">
        <v>0.0</v>
      </c>
      <c r="DT178" s="420">
        <v>0.0</v>
      </c>
      <c r="DU178" s="406">
        <f t="shared" si="59"/>
        <v>0</v>
      </c>
    </row>
    <row r="179">
      <c r="B179" s="405">
        <v>22.0</v>
      </c>
      <c r="C179" s="407">
        <v>0.0</v>
      </c>
      <c r="D179" s="407">
        <v>0.0</v>
      </c>
      <c r="E179" s="407">
        <v>0.0</v>
      </c>
      <c r="F179" s="407">
        <v>0.0</v>
      </c>
      <c r="G179" s="407">
        <v>0.0</v>
      </c>
      <c r="H179" s="407">
        <v>0.0</v>
      </c>
      <c r="I179" s="407">
        <v>0.0</v>
      </c>
      <c r="J179" s="407">
        <v>0.0</v>
      </c>
      <c r="K179" s="407">
        <v>0.0</v>
      </c>
      <c r="L179" s="407">
        <v>0.0</v>
      </c>
      <c r="M179" s="407">
        <v>0.0</v>
      </c>
      <c r="N179" s="407">
        <v>0.0</v>
      </c>
      <c r="O179" s="407">
        <v>0.0</v>
      </c>
      <c r="P179" s="407">
        <v>0.0</v>
      </c>
      <c r="Q179" s="407">
        <v>0.0</v>
      </c>
      <c r="R179" s="407">
        <v>0.0</v>
      </c>
      <c r="S179" s="407">
        <v>0.0</v>
      </c>
      <c r="T179" s="407">
        <v>0.0</v>
      </c>
      <c r="U179" s="407">
        <v>0.0</v>
      </c>
      <c r="V179" s="407">
        <v>0.0</v>
      </c>
      <c r="W179" s="407">
        <v>0.0</v>
      </c>
      <c r="X179" s="407">
        <v>1.0</v>
      </c>
      <c r="Y179" s="407">
        <v>0.0</v>
      </c>
      <c r="Z179" s="407">
        <v>0.0</v>
      </c>
      <c r="AA179" s="407">
        <v>0.0</v>
      </c>
      <c r="AB179" s="407">
        <v>0.0</v>
      </c>
      <c r="AC179" s="407">
        <v>0.0</v>
      </c>
      <c r="AD179" s="407">
        <v>0.0</v>
      </c>
      <c r="AF179" s="263" t="s">
        <v>163</v>
      </c>
      <c r="AG179" s="420">
        <v>5742750.881592073</v>
      </c>
      <c r="AH179" s="420">
        <v>7533453.5530809555</v>
      </c>
      <c r="AI179" s="420">
        <v>3.3723015097813495E7</v>
      </c>
      <c r="AJ179" s="420">
        <v>1.6046803759963632E7</v>
      </c>
      <c r="AK179" s="420">
        <v>2.7251354454515997E7</v>
      </c>
      <c r="AL179" s="420">
        <v>291870.5123073541</v>
      </c>
      <c r="AM179" s="420">
        <v>2.109454283267612E7</v>
      </c>
      <c r="AN179" s="420">
        <v>1.4771619069397633E9</v>
      </c>
      <c r="AO179" s="420">
        <v>9782650.719047964</v>
      </c>
      <c r="AP179" s="420">
        <v>3.771539091532871E8</v>
      </c>
      <c r="AQ179" s="420">
        <v>6.910573859958936E8</v>
      </c>
      <c r="AR179" s="420">
        <v>373953.2021465554</v>
      </c>
      <c r="AS179" s="420">
        <v>78724.42613747552</v>
      </c>
      <c r="AT179" s="420">
        <v>3.1141677438855078E7</v>
      </c>
      <c r="AU179" s="420">
        <v>1.0841748837436197E10</v>
      </c>
      <c r="AV179" s="420">
        <v>7.798562653779142E9</v>
      </c>
      <c r="AW179" s="420">
        <v>8.695380552881624E9</v>
      </c>
      <c r="AX179" s="420">
        <v>1.8220963171516E10</v>
      </c>
      <c r="AY179" s="420">
        <v>1.735958606095261E10</v>
      </c>
      <c r="AZ179" s="420">
        <v>5.65352468891206E8</v>
      </c>
      <c r="BA179" s="420">
        <v>9.817281522724686E10</v>
      </c>
      <c r="BB179" s="420">
        <v>8.098850437750294E11</v>
      </c>
      <c r="BC179" s="420">
        <v>9.309944826269554E9</v>
      </c>
      <c r="BD179" s="420">
        <v>1.5134354280810153E11</v>
      </c>
      <c r="BE179" s="420">
        <v>1.8129231656703375E11</v>
      </c>
      <c r="BF179" s="420">
        <v>1.0481456989195334E9</v>
      </c>
      <c r="BG179" s="420">
        <v>1.2290898442420075E9</v>
      </c>
      <c r="BH179" s="420">
        <v>1.6839213621736374E10</v>
      </c>
      <c r="BI179" s="406">
        <f t="shared" si="57"/>
        <v>1335300140113</v>
      </c>
      <c r="BJ179" s="24"/>
      <c r="BK179" s="24"/>
      <c r="BL179" s="405">
        <v>21.0</v>
      </c>
      <c r="BM179" s="420">
        <v>0.0</v>
      </c>
      <c r="BN179" s="420">
        <v>0.0</v>
      </c>
      <c r="BO179" s="420">
        <v>0.0</v>
      </c>
      <c r="BP179" s="420">
        <v>0.0</v>
      </c>
      <c r="BQ179" s="420">
        <v>0.0</v>
      </c>
      <c r="BR179" s="420">
        <v>0.0</v>
      </c>
      <c r="BS179" s="420">
        <v>0.0</v>
      </c>
      <c r="BT179" s="420">
        <v>0.0</v>
      </c>
      <c r="BU179" s="420">
        <v>0.0</v>
      </c>
      <c r="BV179" s="420">
        <v>0.0</v>
      </c>
      <c r="BW179" s="420">
        <v>0.0</v>
      </c>
      <c r="BX179" s="420">
        <v>0.0</v>
      </c>
      <c r="BY179" s="420">
        <v>0.0</v>
      </c>
      <c r="BZ179" s="420">
        <v>0.0</v>
      </c>
      <c r="CA179" s="420">
        <v>0.0</v>
      </c>
      <c r="CB179" s="420">
        <v>0.0</v>
      </c>
      <c r="CC179" s="420">
        <v>0.0</v>
      </c>
      <c r="CD179" s="420">
        <v>0.0</v>
      </c>
      <c r="CE179" s="420">
        <v>0.0</v>
      </c>
      <c r="CF179" s="420">
        <v>0.0</v>
      </c>
      <c r="CG179" s="420">
        <v>0.0</v>
      </c>
      <c r="CH179" s="420">
        <v>0.0</v>
      </c>
      <c r="CI179" s="420">
        <v>0.0</v>
      </c>
      <c r="CJ179" s="420">
        <v>0.0</v>
      </c>
      <c r="CK179" s="420">
        <v>0.0</v>
      </c>
      <c r="CL179" s="420">
        <v>0.0</v>
      </c>
      <c r="CM179" s="420">
        <v>0.0</v>
      </c>
      <c r="CN179" s="420">
        <v>0.0</v>
      </c>
      <c r="CO179" s="406">
        <f t="shared" si="58"/>
        <v>0</v>
      </c>
      <c r="CP179" s="34"/>
      <c r="CQ179" s="34"/>
      <c r="CR179" s="405">
        <v>21.0</v>
      </c>
      <c r="CS179" s="420">
        <v>0.0</v>
      </c>
      <c r="CT179" s="420">
        <v>0.0</v>
      </c>
      <c r="CU179" s="420">
        <v>0.0</v>
      </c>
      <c r="CV179" s="420">
        <v>0.0</v>
      </c>
      <c r="CW179" s="420">
        <v>0.0</v>
      </c>
      <c r="CX179" s="420">
        <v>0.0</v>
      </c>
      <c r="CY179" s="420">
        <v>0.0</v>
      </c>
      <c r="CZ179" s="420">
        <v>0.0</v>
      </c>
      <c r="DA179" s="420">
        <v>0.0</v>
      </c>
      <c r="DB179" s="420">
        <v>0.0</v>
      </c>
      <c r="DC179" s="420">
        <v>0.0</v>
      </c>
      <c r="DD179" s="420">
        <v>0.0</v>
      </c>
      <c r="DE179" s="420">
        <v>0.0</v>
      </c>
      <c r="DF179" s="420">
        <v>0.0</v>
      </c>
      <c r="DG179" s="420">
        <v>0.0</v>
      </c>
      <c r="DH179" s="420">
        <v>0.0</v>
      </c>
      <c r="DI179" s="420">
        <v>0.0</v>
      </c>
      <c r="DJ179" s="420">
        <v>0.0</v>
      </c>
      <c r="DK179" s="420">
        <v>0.0</v>
      </c>
      <c r="DL179" s="420">
        <v>0.0</v>
      </c>
      <c r="DM179" s="420">
        <v>0.0</v>
      </c>
      <c r="DN179" s="420">
        <v>0.0</v>
      </c>
      <c r="DO179" s="420">
        <v>0.0</v>
      </c>
      <c r="DP179" s="420">
        <v>0.0</v>
      </c>
      <c r="DQ179" s="420">
        <v>0.0</v>
      </c>
      <c r="DR179" s="420">
        <v>0.0</v>
      </c>
      <c r="DS179" s="420">
        <v>0.0</v>
      </c>
      <c r="DT179" s="420">
        <v>0.0</v>
      </c>
      <c r="DU179" s="406">
        <f t="shared" si="59"/>
        <v>0</v>
      </c>
    </row>
    <row r="180">
      <c r="B180" s="405">
        <v>23.0</v>
      </c>
      <c r="C180" s="407">
        <v>0.0</v>
      </c>
      <c r="D180" s="407">
        <v>0.0</v>
      </c>
      <c r="E180" s="407">
        <v>0.0</v>
      </c>
      <c r="F180" s="407">
        <v>0.0</v>
      </c>
      <c r="G180" s="407">
        <v>0.0</v>
      </c>
      <c r="H180" s="407">
        <v>0.0</v>
      </c>
      <c r="I180" s="407">
        <v>0.0</v>
      </c>
      <c r="J180" s="407">
        <v>0.0</v>
      </c>
      <c r="K180" s="407">
        <v>0.0</v>
      </c>
      <c r="L180" s="407">
        <v>0.0</v>
      </c>
      <c r="M180" s="407">
        <v>0.0</v>
      </c>
      <c r="N180" s="407">
        <v>0.0</v>
      </c>
      <c r="O180" s="407">
        <v>0.0</v>
      </c>
      <c r="P180" s="407">
        <v>0.0</v>
      </c>
      <c r="Q180" s="407">
        <v>0.0</v>
      </c>
      <c r="R180" s="407">
        <v>0.0</v>
      </c>
      <c r="S180" s="407">
        <v>0.0</v>
      </c>
      <c r="T180" s="407">
        <v>0.0</v>
      </c>
      <c r="U180" s="407">
        <v>0.0</v>
      </c>
      <c r="V180" s="407">
        <v>0.0</v>
      </c>
      <c r="W180" s="407">
        <v>0.0</v>
      </c>
      <c r="X180" s="407">
        <v>0.0</v>
      </c>
      <c r="Y180" s="407">
        <v>1.0</v>
      </c>
      <c r="Z180" s="407">
        <v>0.0</v>
      </c>
      <c r="AA180" s="407">
        <v>0.0</v>
      </c>
      <c r="AB180" s="407">
        <v>0.0</v>
      </c>
      <c r="AC180" s="407">
        <v>0.0</v>
      </c>
      <c r="AD180" s="407">
        <v>0.0</v>
      </c>
      <c r="AF180" s="263" t="s">
        <v>164</v>
      </c>
      <c r="AG180" s="420">
        <v>3.77201092759458E7</v>
      </c>
      <c r="AH180" s="420">
        <v>4.982697888913682E7</v>
      </c>
      <c r="AI180" s="420">
        <v>9.890184193820098E7</v>
      </c>
      <c r="AJ180" s="420">
        <v>9.120610092629246E7</v>
      </c>
      <c r="AK180" s="420">
        <v>1.194622223348773E8</v>
      </c>
      <c r="AL180" s="420">
        <v>1284162.4890283262</v>
      </c>
      <c r="AM180" s="420">
        <v>2.0922318713150542E7</v>
      </c>
      <c r="AN180" s="420">
        <v>6.320865930409265E9</v>
      </c>
      <c r="AO180" s="420">
        <v>2469796.8656658847</v>
      </c>
      <c r="AP180" s="420">
        <v>1.4629623624516351E9</v>
      </c>
      <c r="AQ180" s="420">
        <v>3.996309115589541E9</v>
      </c>
      <c r="AR180" s="420">
        <v>1598338.9198894056</v>
      </c>
      <c r="AS180" s="420">
        <v>362907.5315908041</v>
      </c>
      <c r="AT180" s="420">
        <v>1.4083490964008313E8</v>
      </c>
      <c r="AU180" s="420">
        <v>6.236847300059953E10</v>
      </c>
      <c r="AV180" s="420">
        <v>5.184136643630384E10</v>
      </c>
      <c r="AW180" s="420">
        <v>4.75339109064323E10</v>
      </c>
      <c r="AX180" s="420">
        <v>1.0402131469928679E11</v>
      </c>
      <c r="AY180" s="420">
        <v>9.962961018488487E10</v>
      </c>
      <c r="AZ180" s="420">
        <v>3.8485200732436724E9</v>
      </c>
      <c r="BA180" s="420">
        <v>1.7755793711955296E10</v>
      </c>
      <c r="BB180" s="420">
        <v>8.352509040383151E12</v>
      </c>
      <c r="BC180" s="420">
        <v>3.592049527913081E10</v>
      </c>
      <c r="BD180" s="420">
        <v>5.606207551789974E11</v>
      </c>
      <c r="BE180" s="420">
        <v>1.3891458948777432E12</v>
      </c>
      <c r="BF180" s="420">
        <v>6.189535841856666E9</v>
      </c>
      <c r="BG180" s="420">
        <v>6.846634626276494E9</v>
      </c>
      <c r="BH180" s="420">
        <v>1.0462887206932468E11</v>
      </c>
      <c r="BI180" s="406">
        <f t="shared" si="57"/>
        <v>10855204944365</v>
      </c>
      <c r="BJ180" s="24"/>
      <c r="BK180" s="24"/>
      <c r="BL180" s="405">
        <v>22.0</v>
      </c>
      <c r="BM180" s="420">
        <v>0.0</v>
      </c>
      <c r="BN180" s="420">
        <v>0.0</v>
      </c>
      <c r="BO180" s="420">
        <v>0.0</v>
      </c>
      <c r="BP180" s="420">
        <v>0.0</v>
      </c>
      <c r="BQ180" s="420">
        <v>0.0</v>
      </c>
      <c r="BR180" s="420">
        <v>0.0</v>
      </c>
      <c r="BS180" s="420">
        <v>0.0</v>
      </c>
      <c r="BT180" s="420">
        <v>0.0</v>
      </c>
      <c r="BU180" s="420">
        <v>0.0</v>
      </c>
      <c r="BV180" s="420">
        <v>0.0</v>
      </c>
      <c r="BW180" s="420">
        <v>0.0</v>
      </c>
      <c r="BX180" s="420">
        <v>0.0</v>
      </c>
      <c r="BY180" s="420">
        <v>0.0</v>
      </c>
      <c r="BZ180" s="420">
        <v>0.0</v>
      </c>
      <c r="CA180" s="420">
        <v>0.0</v>
      </c>
      <c r="CB180" s="420">
        <v>0.0</v>
      </c>
      <c r="CC180" s="420">
        <v>0.0</v>
      </c>
      <c r="CD180" s="420">
        <v>0.0</v>
      </c>
      <c r="CE180" s="420">
        <v>0.0</v>
      </c>
      <c r="CF180" s="420">
        <v>0.0</v>
      </c>
      <c r="CG180" s="420">
        <v>0.0</v>
      </c>
      <c r="CH180" s="420">
        <v>0.0</v>
      </c>
      <c r="CI180" s="420">
        <v>0.0</v>
      </c>
      <c r="CJ180" s="420">
        <v>0.0</v>
      </c>
      <c r="CK180" s="420">
        <v>0.0</v>
      </c>
      <c r="CL180" s="420">
        <v>0.0</v>
      </c>
      <c r="CM180" s="420">
        <v>0.0</v>
      </c>
      <c r="CN180" s="420">
        <v>0.0</v>
      </c>
      <c r="CO180" s="406">
        <f t="shared" si="58"/>
        <v>0</v>
      </c>
      <c r="CP180" s="34"/>
      <c r="CQ180" s="34"/>
      <c r="CR180" s="405">
        <v>22.0</v>
      </c>
      <c r="CS180" s="420">
        <v>0.0</v>
      </c>
      <c r="CT180" s="420">
        <v>0.0</v>
      </c>
      <c r="CU180" s="420">
        <v>0.0</v>
      </c>
      <c r="CV180" s="420">
        <v>0.0</v>
      </c>
      <c r="CW180" s="420">
        <v>0.0</v>
      </c>
      <c r="CX180" s="420">
        <v>0.0</v>
      </c>
      <c r="CY180" s="420">
        <v>0.0</v>
      </c>
      <c r="CZ180" s="420">
        <v>0.0</v>
      </c>
      <c r="DA180" s="420">
        <v>0.0</v>
      </c>
      <c r="DB180" s="420">
        <v>0.0</v>
      </c>
      <c r="DC180" s="420">
        <v>0.0</v>
      </c>
      <c r="DD180" s="420">
        <v>0.0</v>
      </c>
      <c r="DE180" s="420">
        <v>0.0</v>
      </c>
      <c r="DF180" s="420">
        <v>0.0</v>
      </c>
      <c r="DG180" s="420">
        <v>0.0</v>
      </c>
      <c r="DH180" s="420">
        <v>0.0</v>
      </c>
      <c r="DI180" s="420">
        <v>0.0</v>
      </c>
      <c r="DJ180" s="420">
        <v>0.0</v>
      </c>
      <c r="DK180" s="420">
        <v>0.0</v>
      </c>
      <c r="DL180" s="420">
        <v>0.0</v>
      </c>
      <c r="DM180" s="420">
        <v>0.0</v>
      </c>
      <c r="DN180" s="420">
        <v>0.0</v>
      </c>
      <c r="DO180" s="420">
        <v>0.0</v>
      </c>
      <c r="DP180" s="420">
        <v>0.0</v>
      </c>
      <c r="DQ180" s="420">
        <v>0.0</v>
      </c>
      <c r="DR180" s="420">
        <v>0.0</v>
      </c>
      <c r="DS180" s="420">
        <v>0.0</v>
      </c>
      <c r="DT180" s="420">
        <v>0.0</v>
      </c>
      <c r="DU180" s="406">
        <f t="shared" si="59"/>
        <v>0</v>
      </c>
    </row>
    <row r="181">
      <c r="B181" s="405">
        <v>24.0</v>
      </c>
      <c r="C181" s="407">
        <v>0.0</v>
      </c>
      <c r="D181" s="407">
        <v>0.0</v>
      </c>
      <c r="E181" s="407">
        <v>0.0</v>
      </c>
      <c r="F181" s="407">
        <v>0.0</v>
      </c>
      <c r="G181" s="407">
        <v>0.0</v>
      </c>
      <c r="H181" s="407">
        <v>0.0</v>
      </c>
      <c r="I181" s="407">
        <v>0.0</v>
      </c>
      <c r="J181" s="407">
        <v>0.0</v>
      </c>
      <c r="K181" s="407">
        <v>0.0</v>
      </c>
      <c r="L181" s="407">
        <v>0.0</v>
      </c>
      <c r="M181" s="407">
        <v>0.0</v>
      </c>
      <c r="N181" s="407">
        <v>0.0</v>
      </c>
      <c r="O181" s="407">
        <v>0.0</v>
      </c>
      <c r="P181" s="407">
        <v>0.0</v>
      </c>
      <c r="Q181" s="407">
        <v>0.0</v>
      </c>
      <c r="R181" s="407">
        <v>0.0</v>
      </c>
      <c r="S181" s="407">
        <v>0.0</v>
      </c>
      <c r="T181" s="407">
        <v>0.0</v>
      </c>
      <c r="U181" s="407">
        <v>0.0</v>
      </c>
      <c r="V181" s="407">
        <v>0.0</v>
      </c>
      <c r="W181" s="407">
        <v>0.0</v>
      </c>
      <c r="X181" s="407">
        <v>0.0</v>
      </c>
      <c r="Y181" s="407">
        <v>0.0</v>
      </c>
      <c r="Z181" s="407">
        <v>1.0</v>
      </c>
      <c r="AA181" s="407">
        <v>0.0</v>
      </c>
      <c r="AB181" s="407">
        <v>0.0</v>
      </c>
      <c r="AC181" s="407">
        <v>0.0</v>
      </c>
      <c r="AD181" s="407">
        <v>0.0</v>
      </c>
      <c r="AF181" s="263" t="s">
        <v>165</v>
      </c>
      <c r="AG181" s="420">
        <v>1628825.2341919413</v>
      </c>
      <c r="AH181" s="420">
        <v>2265436.777169881</v>
      </c>
      <c r="AI181" s="420">
        <v>1.4191852077526007E7</v>
      </c>
      <c r="AJ181" s="420">
        <v>2992339.929400749</v>
      </c>
      <c r="AK181" s="420">
        <v>2.147592955482501E7</v>
      </c>
      <c r="AL181" s="420">
        <v>21248.958306927518</v>
      </c>
      <c r="AM181" s="420">
        <v>425653.50964845665</v>
      </c>
      <c r="AN181" s="420">
        <v>8.726794690840587E7</v>
      </c>
      <c r="AO181" s="420">
        <v>105086.27454032216</v>
      </c>
      <c r="AP181" s="420">
        <v>2.644464003450736E7</v>
      </c>
      <c r="AQ181" s="420">
        <v>6.575540879744727E7</v>
      </c>
      <c r="AR181" s="420">
        <v>27460.708717319932</v>
      </c>
      <c r="AS181" s="420">
        <v>5045.286769559926</v>
      </c>
      <c r="AT181" s="420">
        <v>7271805.2475154465</v>
      </c>
      <c r="AU181" s="420">
        <v>5.421445139772902E10</v>
      </c>
      <c r="AV181" s="420">
        <v>6.040788167291689E9</v>
      </c>
      <c r="AW181" s="420">
        <v>5.721765677853677E9</v>
      </c>
      <c r="AX181" s="420">
        <v>5.88626325623308E9</v>
      </c>
      <c r="AY181" s="420">
        <v>2.640501708153941E10</v>
      </c>
      <c r="AZ181" s="420">
        <v>6.601458509657222E7</v>
      </c>
      <c r="BA181" s="420">
        <v>8.474781259472988E8</v>
      </c>
      <c r="BB181" s="420">
        <v>6.096033088997449E10</v>
      </c>
      <c r="BC181" s="420">
        <v>1.6456761137345715E11</v>
      </c>
      <c r="BD181" s="420">
        <v>1.1334309789626614E10</v>
      </c>
      <c r="BE181" s="420">
        <v>3.211151765429525E10</v>
      </c>
      <c r="BF181" s="420">
        <v>1.10385626387019E8</v>
      </c>
      <c r="BG181" s="420">
        <v>1.7152096494690832E8</v>
      </c>
      <c r="BH181" s="420">
        <v>6.683268819002245E9</v>
      </c>
      <c r="BI181" s="406">
        <f t="shared" si="57"/>
        <v>375350602089</v>
      </c>
      <c r="BJ181" s="24"/>
      <c r="BK181" s="24"/>
      <c r="BL181" s="405">
        <v>23.0</v>
      </c>
      <c r="BM181" s="420">
        <v>0.0</v>
      </c>
      <c r="BN181" s="420">
        <v>0.0</v>
      </c>
      <c r="BO181" s="420">
        <v>0.0</v>
      </c>
      <c r="BP181" s="420">
        <v>0.0</v>
      </c>
      <c r="BQ181" s="420">
        <v>0.0</v>
      </c>
      <c r="BR181" s="420">
        <v>0.0</v>
      </c>
      <c r="BS181" s="420">
        <v>0.0</v>
      </c>
      <c r="BT181" s="420">
        <v>0.0</v>
      </c>
      <c r="BU181" s="420">
        <v>0.0</v>
      </c>
      <c r="BV181" s="420">
        <v>0.0</v>
      </c>
      <c r="BW181" s="420">
        <v>0.0</v>
      </c>
      <c r="BX181" s="420">
        <v>0.0</v>
      </c>
      <c r="BY181" s="420">
        <v>0.0</v>
      </c>
      <c r="BZ181" s="420">
        <v>0.0</v>
      </c>
      <c r="CA181" s="420">
        <v>0.0</v>
      </c>
      <c r="CB181" s="420">
        <v>0.0</v>
      </c>
      <c r="CC181" s="420">
        <v>0.0</v>
      </c>
      <c r="CD181" s="420">
        <v>0.0</v>
      </c>
      <c r="CE181" s="420">
        <v>0.0</v>
      </c>
      <c r="CF181" s="420">
        <v>0.0</v>
      </c>
      <c r="CG181" s="420">
        <v>0.0</v>
      </c>
      <c r="CH181" s="420">
        <v>0.0</v>
      </c>
      <c r="CI181" s="420">
        <v>0.0</v>
      </c>
      <c r="CJ181" s="420">
        <v>0.0</v>
      </c>
      <c r="CK181" s="420">
        <v>0.0</v>
      </c>
      <c r="CL181" s="420">
        <v>0.0</v>
      </c>
      <c r="CM181" s="420">
        <v>0.0</v>
      </c>
      <c r="CN181" s="420">
        <v>0.0</v>
      </c>
      <c r="CO181" s="406">
        <f t="shared" si="58"/>
        <v>0</v>
      </c>
      <c r="CP181" s="34"/>
      <c r="CQ181" s="34"/>
      <c r="CR181" s="405">
        <v>23.0</v>
      </c>
      <c r="CS181" s="420">
        <v>0.0</v>
      </c>
      <c r="CT181" s="420">
        <v>0.0</v>
      </c>
      <c r="CU181" s="420">
        <v>0.0</v>
      </c>
      <c r="CV181" s="420">
        <v>0.0</v>
      </c>
      <c r="CW181" s="420">
        <v>0.0</v>
      </c>
      <c r="CX181" s="420">
        <v>0.0</v>
      </c>
      <c r="CY181" s="420">
        <v>0.0</v>
      </c>
      <c r="CZ181" s="420">
        <v>0.0</v>
      </c>
      <c r="DA181" s="420">
        <v>0.0</v>
      </c>
      <c r="DB181" s="420">
        <v>0.0</v>
      </c>
      <c r="DC181" s="420">
        <v>0.0</v>
      </c>
      <c r="DD181" s="420">
        <v>0.0</v>
      </c>
      <c r="DE181" s="420">
        <v>0.0</v>
      </c>
      <c r="DF181" s="420">
        <v>0.0</v>
      </c>
      <c r="DG181" s="420">
        <v>0.0</v>
      </c>
      <c r="DH181" s="420">
        <v>0.0</v>
      </c>
      <c r="DI181" s="420">
        <v>0.0</v>
      </c>
      <c r="DJ181" s="420">
        <v>0.0</v>
      </c>
      <c r="DK181" s="420">
        <v>0.0</v>
      </c>
      <c r="DL181" s="420">
        <v>0.0</v>
      </c>
      <c r="DM181" s="420">
        <v>0.0</v>
      </c>
      <c r="DN181" s="420">
        <v>0.0</v>
      </c>
      <c r="DO181" s="420">
        <v>0.0</v>
      </c>
      <c r="DP181" s="420">
        <v>0.0</v>
      </c>
      <c r="DQ181" s="420">
        <v>0.0</v>
      </c>
      <c r="DR181" s="420">
        <v>0.0</v>
      </c>
      <c r="DS181" s="420">
        <v>0.0</v>
      </c>
      <c r="DT181" s="420">
        <v>0.0</v>
      </c>
      <c r="DU181" s="406">
        <f t="shared" si="59"/>
        <v>0</v>
      </c>
    </row>
    <row r="182">
      <c r="B182" s="405">
        <v>25.0</v>
      </c>
      <c r="C182" s="407">
        <v>0.0</v>
      </c>
      <c r="D182" s="407">
        <v>0.0</v>
      </c>
      <c r="E182" s="407">
        <v>0.0</v>
      </c>
      <c r="F182" s="407">
        <v>0.0</v>
      </c>
      <c r="G182" s="407">
        <v>0.0</v>
      </c>
      <c r="H182" s="407">
        <v>0.0</v>
      </c>
      <c r="I182" s="407">
        <v>0.0</v>
      </c>
      <c r="J182" s="407">
        <v>0.0</v>
      </c>
      <c r="K182" s="407">
        <v>0.0</v>
      </c>
      <c r="L182" s="407">
        <v>0.0</v>
      </c>
      <c r="M182" s="407">
        <v>0.0</v>
      </c>
      <c r="N182" s="407">
        <v>0.0</v>
      </c>
      <c r="O182" s="407">
        <v>0.0</v>
      </c>
      <c r="P182" s="407">
        <v>0.0</v>
      </c>
      <c r="Q182" s="407">
        <v>0.0</v>
      </c>
      <c r="R182" s="407">
        <v>0.0</v>
      </c>
      <c r="S182" s="407">
        <v>0.0</v>
      </c>
      <c r="T182" s="407">
        <v>0.0</v>
      </c>
      <c r="U182" s="407">
        <v>0.0</v>
      </c>
      <c r="V182" s="407">
        <v>0.0</v>
      </c>
      <c r="W182" s="407">
        <v>0.0</v>
      </c>
      <c r="X182" s="407">
        <v>0.0</v>
      </c>
      <c r="Y182" s="407">
        <v>0.0</v>
      </c>
      <c r="Z182" s="407">
        <v>0.0</v>
      </c>
      <c r="AA182" s="407">
        <v>1.0</v>
      </c>
      <c r="AB182" s="407">
        <v>0.0</v>
      </c>
      <c r="AC182" s="407">
        <v>0.0</v>
      </c>
      <c r="AD182" s="407">
        <v>0.0</v>
      </c>
      <c r="AF182" s="263" t="s">
        <v>166</v>
      </c>
      <c r="AG182" s="420">
        <v>2.593667865100369E7</v>
      </c>
      <c r="AH182" s="420">
        <v>6.816123620518862E7</v>
      </c>
      <c r="AI182" s="420">
        <v>1.414640183926594E8</v>
      </c>
      <c r="AJ182" s="420">
        <v>2.0210065162473086E8</v>
      </c>
      <c r="AK182" s="420">
        <v>2.42344704171434E8</v>
      </c>
      <c r="AL182" s="420">
        <v>2060880.593295423</v>
      </c>
      <c r="AM182" s="420">
        <v>4.149964042739067E7</v>
      </c>
      <c r="AN182" s="420">
        <v>5.622220320372059E9</v>
      </c>
      <c r="AO182" s="420">
        <v>6422267.80419094</v>
      </c>
      <c r="AP182" s="420">
        <v>3.5564737589300942E9</v>
      </c>
      <c r="AQ182" s="420">
        <v>4.894813655277809E9</v>
      </c>
      <c r="AR182" s="420">
        <v>2804195.4985790337</v>
      </c>
      <c r="AS182" s="420">
        <v>448585.5432123214</v>
      </c>
      <c r="AT182" s="420">
        <v>2.128159095889418E8</v>
      </c>
      <c r="AU182" s="420">
        <v>1.2006720019960336E11</v>
      </c>
      <c r="AV182" s="420">
        <v>1.39399062258022E11</v>
      </c>
      <c r="AW182" s="420">
        <v>1.3374557052716638E11</v>
      </c>
      <c r="AX182" s="420">
        <v>2.7692049896223175E11</v>
      </c>
      <c r="AY182" s="420">
        <v>2.474466311270426E11</v>
      </c>
      <c r="AZ182" s="420">
        <v>6.882060056994124E9</v>
      </c>
      <c r="BA182" s="420">
        <v>3.045241873631629E10</v>
      </c>
      <c r="BB182" s="420">
        <v>3.581992313916521E12</v>
      </c>
      <c r="BC182" s="420">
        <v>7.079781795993741E10</v>
      </c>
      <c r="BD182" s="420">
        <v>8.632782052166179E12</v>
      </c>
      <c r="BE182" s="420">
        <v>2.786366322364713E12</v>
      </c>
      <c r="BF182" s="420">
        <v>1.1135572001004276E10</v>
      </c>
      <c r="BG182" s="420">
        <v>1.2896914213907187E10</v>
      </c>
      <c r="BH182" s="420">
        <v>3.604656655554439E11</v>
      </c>
      <c r="BI182" s="406">
        <f t="shared" si="57"/>
        <v>16426369666548</v>
      </c>
      <c r="BJ182" s="24"/>
      <c r="BK182" s="24"/>
      <c r="BL182" s="405">
        <v>24.0</v>
      </c>
      <c r="BM182" s="420">
        <v>0.0</v>
      </c>
      <c r="BN182" s="420">
        <v>0.0</v>
      </c>
      <c r="BO182" s="420">
        <v>0.0</v>
      </c>
      <c r="BP182" s="420">
        <v>0.0</v>
      </c>
      <c r="BQ182" s="420">
        <v>0.0</v>
      </c>
      <c r="BR182" s="420">
        <v>0.0</v>
      </c>
      <c r="BS182" s="420">
        <v>0.0</v>
      </c>
      <c r="BT182" s="420">
        <v>0.0</v>
      </c>
      <c r="BU182" s="420">
        <v>0.0</v>
      </c>
      <c r="BV182" s="420">
        <v>0.0</v>
      </c>
      <c r="BW182" s="420">
        <v>0.0</v>
      </c>
      <c r="BX182" s="420">
        <v>0.0</v>
      </c>
      <c r="BY182" s="420">
        <v>0.0</v>
      </c>
      <c r="BZ182" s="420">
        <v>0.0</v>
      </c>
      <c r="CA182" s="420">
        <v>0.0</v>
      </c>
      <c r="CB182" s="420">
        <v>0.0</v>
      </c>
      <c r="CC182" s="420">
        <v>0.0</v>
      </c>
      <c r="CD182" s="420">
        <v>0.0</v>
      </c>
      <c r="CE182" s="420">
        <v>0.0</v>
      </c>
      <c r="CF182" s="420">
        <v>0.0</v>
      </c>
      <c r="CG182" s="420">
        <v>0.0</v>
      </c>
      <c r="CH182" s="420">
        <v>0.0</v>
      </c>
      <c r="CI182" s="420">
        <v>0.0</v>
      </c>
      <c r="CJ182" s="420">
        <v>0.0</v>
      </c>
      <c r="CK182" s="420">
        <v>0.0</v>
      </c>
      <c r="CL182" s="420">
        <v>0.0</v>
      </c>
      <c r="CM182" s="420">
        <v>0.0</v>
      </c>
      <c r="CN182" s="420">
        <v>0.0</v>
      </c>
      <c r="CO182" s="406">
        <f t="shared" si="58"/>
        <v>0</v>
      </c>
      <c r="CP182" s="34"/>
      <c r="CQ182" s="34"/>
      <c r="CR182" s="405">
        <v>24.0</v>
      </c>
      <c r="CS182" s="420">
        <v>0.0</v>
      </c>
      <c r="CT182" s="420">
        <v>0.0</v>
      </c>
      <c r="CU182" s="420">
        <v>0.0</v>
      </c>
      <c r="CV182" s="420">
        <v>0.0</v>
      </c>
      <c r="CW182" s="420">
        <v>0.0</v>
      </c>
      <c r="CX182" s="420">
        <v>0.0</v>
      </c>
      <c r="CY182" s="420">
        <v>0.0</v>
      </c>
      <c r="CZ182" s="420">
        <v>0.0</v>
      </c>
      <c r="DA182" s="420">
        <v>0.0</v>
      </c>
      <c r="DB182" s="420">
        <v>0.0</v>
      </c>
      <c r="DC182" s="420">
        <v>0.0</v>
      </c>
      <c r="DD182" s="420">
        <v>0.0</v>
      </c>
      <c r="DE182" s="420">
        <v>0.0</v>
      </c>
      <c r="DF182" s="420">
        <v>0.0</v>
      </c>
      <c r="DG182" s="420">
        <v>0.0</v>
      </c>
      <c r="DH182" s="420">
        <v>0.0</v>
      </c>
      <c r="DI182" s="420">
        <v>0.0</v>
      </c>
      <c r="DJ182" s="420">
        <v>0.0</v>
      </c>
      <c r="DK182" s="420">
        <v>0.0</v>
      </c>
      <c r="DL182" s="420">
        <v>0.0</v>
      </c>
      <c r="DM182" s="420">
        <v>0.0</v>
      </c>
      <c r="DN182" s="420">
        <v>0.0</v>
      </c>
      <c r="DO182" s="420">
        <v>0.0</v>
      </c>
      <c r="DP182" s="420">
        <v>0.0</v>
      </c>
      <c r="DQ182" s="420">
        <v>0.0</v>
      </c>
      <c r="DR182" s="420">
        <v>0.0</v>
      </c>
      <c r="DS182" s="420">
        <v>0.0</v>
      </c>
      <c r="DT182" s="420">
        <v>0.0</v>
      </c>
      <c r="DU182" s="406">
        <f t="shared" si="59"/>
        <v>0</v>
      </c>
    </row>
    <row r="183">
      <c r="B183" s="405">
        <v>26.0</v>
      </c>
      <c r="C183" s="407">
        <v>0.0</v>
      </c>
      <c r="D183" s="407">
        <v>0.0</v>
      </c>
      <c r="E183" s="407">
        <v>0.0</v>
      </c>
      <c r="F183" s="407">
        <v>0.0</v>
      </c>
      <c r="G183" s="407">
        <v>0.0</v>
      </c>
      <c r="H183" s="407">
        <v>0.0</v>
      </c>
      <c r="I183" s="407">
        <v>0.0</v>
      </c>
      <c r="J183" s="407">
        <v>0.0</v>
      </c>
      <c r="K183" s="407">
        <v>0.0</v>
      </c>
      <c r="L183" s="407">
        <v>0.0</v>
      </c>
      <c r="M183" s="407">
        <v>0.0</v>
      </c>
      <c r="N183" s="407">
        <v>0.0</v>
      </c>
      <c r="O183" s="407">
        <v>0.0</v>
      </c>
      <c r="P183" s="407">
        <v>0.0</v>
      </c>
      <c r="Q183" s="407">
        <v>0.0</v>
      </c>
      <c r="R183" s="407">
        <v>0.0</v>
      </c>
      <c r="S183" s="407">
        <v>0.0</v>
      </c>
      <c r="T183" s="407">
        <v>0.0</v>
      </c>
      <c r="U183" s="407">
        <v>0.0</v>
      </c>
      <c r="V183" s="407">
        <v>0.0</v>
      </c>
      <c r="W183" s="407">
        <v>0.0</v>
      </c>
      <c r="X183" s="407">
        <v>0.0</v>
      </c>
      <c r="Y183" s="407">
        <v>0.0</v>
      </c>
      <c r="Z183" s="407">
        <v>0.0</v>
      </c>
      <c r="AA183" s="407">
        <v>0.0</v>
      </c>
      <c r="AB183" s="407">
        <v>1.0</v>
      </c>
      <c r="AC183" s="407">
        <v>0.0</v>
      </c>
      <c r="AD183" s="407">
        <v>0.0</v>
      </c>
      <c r="AF183" s="263" t="s">
        <v>167</v>
      </c>
      <c r="AG183" s="420">
        <v>1090608.2758426555</v>
      </c>
      <c r="AH183" s="420">
        <v>2786636.853902223</v>
      </c>
      <c r="AI183" s="420">
        <v>5144363.670416581</v>
      </c>
      <c r="AJ183" s="420">
        <v>8616146.680315172</v>
      </c>
      <c r="AK183" s="420">
        <v>8709187.126895744</v>
      </c>
      <c r="AL183" s="420">
        <v>78418.96381235817</v>
      </c>
      <c r="AM183" s="420">
        <v>1274744.0791957285</v>
      </c>
      <c r="AN183" s="420">
        <v>2.2356083107345167E8</v>
      </c>
      <c r="AO183" s="420">
        <v>219497.0778781918</v>
      </c>
      <c r="AP183" s="420">
        <v>1.2089439133869658E8</v>
      </c>
      <c r="AQ183" s="420">
        <v>3.81971498966467E8</v>
      </c>
      <c r="AR183" s="420">
        <v>103400.58509371731</v>
      </c>
      <c r="AS183" s="420">
        <v>15865.930716425717</v>
      </c>
      <c r="AT183" s="420">
        <v>9171800.648855168</v>
      </c>
      <c r="AU183" s="420">
        <v>4.837906508220312E9</v>
      </c>
      <c r="AV183" s="420">
        <v>4.496216053552371E9</v>
      </c>
      <c r="AW183" s="420">
        <v>4.2708373147470527E9</v>
      </c>
      <c r="AX183" s="420">
        <v>8.522356712609297E9</v>
      </c>
      <c r="AY183" s="420">
        <v>9.36013132094521E9</v>
      </c>
      <c r="AZ183" s="420">
        <v>5.480274027161688E8</v>
      </c>
      <c r="BA183" s="420">
        <v>1.5605104893798082E9</v>
      </c>
      <c r="BB183" s="420">
        <v>1.544367870010702E11</v>
      </c>
      <c r="BC183" s="420">
        <v>2.410311800436276E9</v>
      </c>
      <c r="BD183" s="420">
        <v>7.258393306376373E10</v>
      </c>
      <c r="BE183" s="420">
        <v>1.4448491671826648E12</v>
      </c>
      <c r="BF183" s="420">
        <v>8.14226131458412E8</v>
      </c>
      <c r="BG183" s="420">
        <v>8.281980810942072E8</v>
      </c>
      <c r="BH183" s="420">
        <v>1.868895463246591E10</v>
      </c>
      <c r="BI183" s="406">
        <f t="shared" si="57"/>
        <v>1728971201086</v>
      </c>
      <c r="BJ183" s="24"/>
      <c r="BK183" s="24"/>
      <c r="BL183" s="405">
        <v>25.0</v>
      </c>
      <c r="BM183" s="420">
        <v>0.0</v>
      </c>
      <c r="BN183" s="420">
        <v>0.0</v>
      </c>
      <c r="BO183" s="420">
        <v>0.0</v>
      </c>
      <c r="BP183" s="420">
        <v>0.0</v>
      </c>
      <c r="BQ183" s="420">
        <v>0.0</v>
      </c>
      <c r="BR183" s="420">
        <v>0.0</v>
      </c>
      <c r="BS183" s="420">
        <v>0.0</v>
      </c>
      <c r="BT183" s="420">
        <v>0.0</v>
      </c>
      <c r="BU183" s="420">
        <v>0.0</v>
      </c>
      <c r="BV183" s="420">
        <v>0.0</v>
      </c>
      <c r="BW183" s="420">
        <v>0.0</v>
      </c>
      <c r="BX183" s="420">
        <v>0.0</v>
      </c>
      <c r="BY183" s="420">
        <v>0.0</v>
      </c>
      <c r="BZ183" s="420">
        <v>0.0</v>
      </c>
      <c r="CA183" s="420">
        <v>0.0</v>
      </c>
      <c r="CB183" s="420">
        <v>0.0</v>
      </c>
      <c r="CC183" s="420">
        <v>0.0</v>
      </c>
      <c r="CD183" s="420">
        <v>0.0</v>
      </c>
      <c r="CE183" s="420">
        <v>0.0</v>
      </c>
      <c r="CF183" s="420">
        <v>0.0</v>
      </c>
      <c r="CG183" s="420">
        <v>0.0</v>
      </c>
      <c r="CH183" s="420">
        <v>0.0</v>
      </c>
      <c r="CI183" s="420">
        <v>0.0</v>
      </c>
      <c r="CJ183" s="420">
        <v>0.0</v>
      </c>
      <c r="CK183" s="420">
        <v>0.0</v>
      </c>
      <c r="CL183" s="420">
        <v>0.0</v>
      </c>
      <c r="CM183" s="420">
        <v>0.0</v>
      </c>
      <c r="CN183" s="420">
        <v>0.0</v>
      </c>
      <c r="CO183" s="406">
        <f t="shared" si="58"/>
        <v>0</v>
      </c>
      <c r="CP183" s="34"/>
      <c r="CQ183" s="34"/>
      <c r="CR183" s="405">
        <v>25.0</v>
      </c>
      <c r="CS183" s="420">
        <v>0.0</v>
      </c>
      <c r="CT183" s="420">
        <v>0.0</v>
      </c>
      <c r="CU183" s="420">
        <v>0.0</v>
      </c>
      <c r="CV183" s="420">
        <v>0.0</v>
      </c>
      <c r="CW183" s="420">
        <v>0.0</v>
      </c>
      <c r="CX183" s="420">
        <v>0.0</v>
      </c>
      <c r="CY183" s="420">
        <v>0.0</v>
      </c>
      <c r="CZ183" s="420">
        <v>0.0</v>
      </c>
      <c r="DA183" s="420">
        <v>0.0</v>
      </c>
      <c r="DB183" s="420">
        <v>0.0</v>
      </c>
      <c r="DC183" s="420">
        <v>0.0</v>
      </c>
      <c r="DD183" s="420">
        <v>0.0</v>
      </c>
      <c r="DE183" s="420">
        <v>0.0</v>
      </c>
      <c r="DF183" s="420">
        <v>0.0</v>
      </c>
      <c r="DG183" s="420">
        <v>0.0</v>
      </c>
      <c r="DH183" s="420">
        <v>0.0</v>
      </c>
      <c r="DI183" s="420">
        <v>0.0</v>
      </c>
      <c r="DJ183" s="420">
        <v>0.0</v>
      </c>
      <c r="DK183" s="420">
        <v>0.0</v>
      </c>
      <c r="DL183" s="420">
        <v>0.0</v>
      </c>
      <c r="DM183" s="420">
        <v>0.0</v>
      </c>
      <c r="DN183" s="420">
        <v>0.0</v>
      </c>
      <c r="DO183" s="420">
        <v>0.0</v>
      </c>
      <c r="DP183" s="420">
        <v>0.0</v>
      </c>
      <c r="DQ183" s="420">
        <v>0.0</v>
      </c>
      <c r="DR183" s="420">
        <v>0.0</v>
      </c>
      <c r="DS183" s="420">
        <v>0.0</v>
      </c>
      <c r="DT183" s="420">
        <v>0.0</v>
      </c>
      <c r="DU183" s="406">
        <f t="shared" si="59"/>
        <v>0</v>
      </c>
    </row>
    <row r="184">
      <c r="B184" s="405">
        <v>27.0</v>
      </c>
      <c r="C184" s="407">
        <v>0.0</v>
      </c>
      <c r="D184" s="407">
        <v>0.0</v>
      </c>
      <c r="E184" s="407">
        <v>0.0</v>
      </c>
      <c r="F184" s="407">
        <v>0.0</v>
      </c>
      <c r="G184" s="407">
        <v>0.0</v>
      </c>
      <c r="H184" s="407">
        <v>0.0</v>
      </c>
      <c r="I184" s="407">
        <v>0.0</v>
      </c>
      <c r="J184" s="407">
        <v>0.0</v>
      </c>
      <c r="K184" s="407">
        <v>0.0</v>
      </c>
      <c r="L184" s="407">
        <v>0.0</v>
      </c>
      <c r="M184" s="407">
        <v>0.0</v>
      </c>
      <c r="N184" s="407">
        <v>0.0</v>
      </c>
      <c r="O184" s="407">
        <v>0.0</v>
      </c>
      <c r="P184" s="407">
        <v>0.0</v>
      </c>
      <c r="Q184" s="407">
        <v>0.0</v>
      </c>
      <c r="R184" s="407">
        <v>0.0</v>
      </c>
      <c r="S184" s="407">
        <v>0.0</v>
      </c>
      <c r="T184" s="407">
        <v>0.0</v>
      </c>
      <c r="U184" s="407">
        <v>0.0</v>
      </c>
      <c r="V184" s="407">
        <v>0.0</v>
      </c>
      <c r="W184" s="407">
        <v>0.0</v>
      </c>
      <c r="X184" s="407">
        <v>0.0</v>
      </c>
      <c r="Y184" s="407">
        <v>0.0</v>
      </c>
      <c r="Z184" s="407">
        <v>0.0</v>
      </c>
      <c r="AA184" s="407">
        <v>0.0</v>
      </c>
      <c r="AB184" s="407">
        <v>0.0</v>
      </c>
      <c r="AC184" s="407">
        <v>1.0</v>
      </c>
      <c r="AD184" s="407">
        <v>0.0</v>
      </c>
      <c r="AF184" s="263" t="s">
        <v>168</v>
      </c>
      <c r="AG184" s="420">
        <v>1580373.6796828848</v>
      </c>
      <c r="AH184" s="420">
        <v>3118907.2132145707</v>
      </c>
      <c r="AI184" s="420">
        <v>6839061.101304647</v>
      </c>
      <c r="AJ184" s="420">
        <v>7720114.272159283</v>
      </c>
      <c r="AK184" s="420">
        <v>1.1276587923535218E7</v>
      </c>
      <c r="AL184" s="420">
        <v>884159.1834625978</v>
      </c>
      <c r="AM184" s="420">
        <v>1612591.2411003804</v>
      </c>
      <c r="AN184" s="420">
        <v>4.21397619932446E8</v>
      </c>
      <c r="AO184" s="420">
        <v>296091.48068978824</v>
      </c>
      <c r="AP184" s="420">
        <v>1.5099946779055598E8</v>
      </c>
      <c r="AQ184" s="420">
        <v>3.2052352270148504E8</v>
      </c>
      <c r="AR184" s="420">
        <v>1420545.350373129</v>
      </c>
      <c r="AS184" s="420">
        <v>25690.719932946387</v>
      </c>
      <c r="AT184" s="420">
        <v>1.1268697256185839E7</v>
      </c>
      <c r="AU184" s="420">
        <v>6.210812811098284E9</v>
      </c>
      <c r="AV184" s="420">
        <v>6.603402567346663E9</v>
      </c>
      <c r="AW184" s="420">
        <v>8.3187775647564E9</v>
      </c>
      <c r="AX184" s="420">
        <v>1.8778604113801205E10</v>
      </c>
      <c r="AY184" s="420">
        <v>1.4535314377289816E10</v>
      </c>
      <c r="AZ184" s="420">
        <v>1.4571358096872402E10</v>
      </c>
      <c r="BA184" s="420">
        <v>2.3172849232511735E9</v>
      </c>
      <c r="BB184" s="420">
        <v>2.3181656866428845E11</v>
      </c>
      <c r="BC184" s="420">
        <v>2.8738039562775955E9</v>
      </c>
      <c r="BD184" s="420">
        <v>7.445935079070853E10</v>
      </c>
      <c r="BE184" s="420">
        <v>2.6830740802223236E11</v>
      </c>
      <c r="BF184" s="420">
        <v>2.897708079821313E11</v>
      </c>
      <c r="BG184" s="420">
        <v>5.168234654890291E9</v>
      </c>
      <c r="BH184" s="420">
        <v>2.6854548935141838E10</v>
      </c>
      <c r="BI184" s="406">
        <f t="shared" si="57"/>
        <v>971525240890</v>
      </c>
      <c r="BJ184" s="24"/>
      <c r="BK184" s="24"/>
      <c r="BL184" s="405">
        <v>26.0</v>
      </c>
      <c r="BM184" s="420">
        <v>0.0</v>
      </c>
      <c r="BN184" s="420">
        <v>0.0</v>
      </c>
      <c r="BO184" s="420">
        <v>0.0</v>
      </c>
      <c r="BP184" s="420">
        <v>0.0</v>
      </c>
      <c r="BQ184" s="420">
        <v>0.0</v>
      </c>
      <c r="BR184" s="420">
        <v>0.0</v>
      </c>
      <c r="BS184" s="420">
        <v>0.0</v>
      </c>
      <c r="BT184" s="420">
        <v>0.0</v>
      </c>
      <c r="BU184" s="420">
        <v>0.0</v>
      </c>
      <c r="BV184" s="420">
        <v>0.0</v>
      </c>
      <c r="BW184" s="420">
        <v>0.0</v>
      </c>
      <c r="BX184" s="420">
        <v>0.0</v>
      </c>
      <c r="BY184" s="420">
        <v>0.0</v>
      </c>
      <c r="BZ184" s="420">
        <v>0.0</v>
      </c>
      <c r="CA184" s="420">
        <v>0.0</v>
      </c>
      <c r="CB184" s="420">
        <v>0.0</v>
      </c>
      <c r="CC184" s="420">
        <v>0.0</v>
      </c>
      <c r="CD184" s="420">
        <v>0.0</v>
      </c>
      <c r="CE184" s="420">
        <v>0.0</v>
      </c>
      <c r="CF184" s="420">
        <v>0.0</v>
      </c>
      <c r="CG184" s="420">
        <v>0.0</v>
      </c>
      <c r="CH184" s="420">
        <v>0.0</v>
      </c>
      <c r="CI184" s="420">
        <v>0.0</v>
      </c>
      <c r="CJ184" s="420">
        <v>0.0</v>
      </c>
      <c r="CK184" s="420">
        <v>0.0</v>
      </c>
      <c r="CL184" s="420">
        <v>0.0</v>
      </c>
      <c r="CM184" s="420">
        <v>0.0</v>
      </c>
      <c r="CN184" s="420">
        <v>0.0</v>
      </c>
      <c r="CO184" s="406">
        <f t="shared" si="58"/>
        <v>0</v>
      </c>
      <c r="CP184" s="24"/>
      <c r="CQ184" s="24"/>
      <c r="CR184" s="405">
        <v>26.0</v>
      </c>
      <c r="CS184" s="420">
        <v>0.0</v>
      </c>
      <c r="CT184" s="420">
        <v>0.0</v>
      </c>
      <c r="CU184" s="420">
        <v>0.0</v>
      </c>
      <c r="CV184" s="420">
        <v>0.0</v>
      </c>
      <c r="CW184" s="420">
        <v>0.0</v>
      </c>
      <c r="CX184" s="420">
        <v>0.0</v>
      </c>
      <c r="CY184" s="420">
        <v>0.0</v>
      </c>
      <c r="CZ184" s="420">
        <v>0.0</v>
      </c>
      <c r="DA184" s="420">
        <v>0.0</v>
      </c>
      <c r="DB184" s="420">
        <v>0.0</v>
      </c>
      <c r="DC184" s="420">
        <v>0.0</v>
      </c>
      <c r="DD184" s="420">
        <v>0.0</v>
      </c>
      <c r="DE184" s="420">
        <v>0.0</v>
      </c>
      <c r="DF184" s="420">
        <v>0.0</v>
      </c>
      <c r="DG184" s="420">
        <v>0.0</v>
      </c>
      <c r="DH184" s="420">
        <v>0.0</v>
      </c>
      <c r="DI184" s="420">
        <v>0.0</v>
      </c>
      <c r="DJ184" s="420">
        <v>0.0</v>
      </c>
      <c r="DK184" s="420">
        <v>0.0</v>
      </c>
      <c r="DL184" s="420">
        <v>0.0</v>
      </c>
      <c r="DM184" s="420">
        <v>0.0</v>
      </c>
      <c r="DN184" s="420">
        <v>0.0</v>
      </c>
      <c r="DO184" s="420">
        <v>0.0</v>
      </c>
      <c r="DP184" s="420">
        <v>0.0</v>
      </c>
      <c r="DQ184" s="420">
        <v>0.0</v>
      </c>
      <c r="DR184" s="420">
        <v>0.0</v>
      </c>
      <c r="DS184" s="420">
        <v>0.0</v>
      </c>
      <c r="DT184" s="420">
        <v>0.0</v>
      </c>
      <c r="DU184" s="406">
        <f t="shared" si="59"/>
        <v>0</v>
      </c>
    </row>
    <row r="185">
      <c r="B185" s="405">
        <v>28.0</v>
      </c>
      <c r="C185" s="407">
        <v>0.0</v>
      </c>
      <c r="D185" s="407">
        <v>0.0</v>
      </c>
      <c r="E185" s="407">
        <v>0.0</v>
      </c>
      <c r="F185" s="407">
        <v>0.0</v>
      </c>
      <c r="G185" s="407">
        <v>0.0</v>
      </c>
      <c r="H185" s="407">
        <v>0.0</v>
      </c>
      <c r="I185" s="407">
        <v>0.0</v>
      </c>
      <c r="J185" s="407">
        <v>0.0</v>
      </c>
      <c r="K185" s="407">
        <v>0.0</v>
      </c>
      <c r="L185" s="407">
        <v>0.0</v>
      </c>
      <c r="M185" s="407">
        <v>0.0</v>
      </c>
      <c r="N185" s="407">
        <v>0.0</v>
      </c>
      <c r="O185" s="407">
        <v>0.0</v>
      </c>
      <c r="P185" s="407">
        <v>0.0</v>
      </c>
      <c r="Q185" s="407">
        <v>0.0</v>
      </c>
      <c r="R185" s="407">
        <v>0.0</v>
      </c>
      <c r="S185" s="407">
        <v>0.0</v>
      </c>
      <c r="T185" s="407">
        <v>0.0</v>
      </c>
      <c r="U185" s="407">
        <v>0.0</v>
      </c>
      <c r="V185" s="407">
        <v>0.0</v>
      </c>
      <c r="W185" s="407">
        <v>0.0</v>
      </c>
      <c r="X185" s="407">
        <v>0.0</v>
      </c>
      <c r="Y185" s="407">
        <v>0.0</v>
      </c>
      <c r="Z185" s="407">
        <v>0.0</v>
      </c>
      <c r="AA185" s="407">
        <v>0.0</v>
      </c>
      <c r="AB185" s="407">
        <v>0.0</v>
      </c>
      <c r="AC185" s="407">
        <v>0.0</v>
      </c>
      <c r="AD185" s="407">
        <v>1.0</v>
      </c>
      <c r="AF185" s="263" t="s">
        <v>169</v>
      </c>
      <c r="AG185" s="420">
        <v>22740.407340110658</v>
      </c>
      <c r="AH185" s="420">
        <v>49474.79834166474</v>
      </c>
      <c r="AI185" s="420">
        <v>137314.0393809399</v>
      </c>
      <c r="AJ185" s="420">
        <v>120941.1063078225</v>
      </c>
      <c r="AK185" s="420">
        <v>240472.96229954445</v>
      </c>
      <c r="AL185" s="420">
        <v>4115.087483390496</v>
      </c>
      <c r="AM185" s="420">
        <v>25481.17398176761</v>
      </c>
      <c r="AN185" s="420">
        <v>4329837.907473166</v>
      </c>
      <c r="AO185" s="420">
        <v>5087.808998311233</v>
      </c>
      <c r="AP185" s="420">
        <v>2710198.599843077</v>
      </c>
      <c r="AQ185" s="420">
        <v>4590091.414538871</v>
      </c>
      <c r="AR185" s="420">
        <v>5763.184468671727</v>
      </c>
      <c r="AS185" s="420">
        <v>289.03328790952884</v>
      </c>
      <c r="AT185" s="420">
        <v>180058.47176473867</v>
      </c>
      <c r="AU185" s="420">
        <v>2.569243388190749E8</v>
      </c>
      <c r="AV185" s="420">
        <v>1.597907741084205E8</v>
      </c>
      <c r="AW185" s="420">
        <v>1.3509645926030967E8</v>
      </c>
      <c r="AX185" s="420">
        <v>2.6427221306458244E8</v>
      </c>
      <c r="AY185" s="420">
        <v>3.252916964854724E8</v>
      </c>
      <c r="AZ185" s="420">
        <v>6.08049981985959E7</v>
      </c>
      <c r="BA185" s="420">
        <v>4.013219331084432E7</v>
      </c>
      <c r="BB185" s="420">
        <v>3.462465607129476E9</v>
      </c>
      <c r="BC185" s="420">
        <v>8.284261764644523E7</v>
      </c>
      <c r="BD185" s="420">
        <v>1.3187894464588573E9</v>
      </c>
      <c r="BE185" s="420">
        <v>4.757758777922918E9</v>
      </c>
      <c r="BF185" s="420">
        <v>9.066912167020407E7</v>
      </c>
      <c r="BG185" s="420">
        <v>1.2481156560236423E10</v>
      </c>
      <c r="BH185" s="420">
        <v>5.717648497474535E8</v>
      </c>
      <c r="BI185" s="406">
        <f t="shared" si="57"/>
        <v>24020181520</v>
      </c>
      <c r="BJ185" s="24"/>
      <c r="BK185" s="24"/>
      <c r="BL185" s="405">
        <v>27.0</v>
      </c>
      <c r="BM185" s="420">
        <v>0.0</v>
      </c>
      <c r="BN185" s="420">
        <v>0.0</v>
      </c>
      <c r="BO185" s="420">
        <v>0.0</v>
      </c>
      <c r="BP185" s="420">
        <v>0.0</v>
      </c>
      <c r="BQ185" s="420">
        <v>0.0</v>
      </c>
      <c r="BR185" s="420">
        <v>0.0</v>
      </c>
      <c r="BS185" s="420">
        <v>0.0</v>
      </c>
      <c r="BT185" s="420">
        <v>0.0</v>
      </c>
      <c r="BU185" s="420">
        <v>0.0</v>
      </c>
      <c r="BV185" s="420">
        <v>0.0</v>
      </c>
      <c r="BW185" s="420">
        <v>0.0</v>
      </c>
      <c r="BX185" s="420">
        <v>0.0</v>
      </c>
      <c r="BY185" s="420">
        <v>0.0</v>
      </c>
      <c r="BZ185" s="420">
        <v>0.0</v>
      </c>
      <c r="CA185" s="420">
        <v>0.0</v>
      </c>
      <c r="CB185" s="420">
        <v>0.0</v>
      </c>
      <c r="CC185" s="420">
        <v>0.0</v>
      </c>
      <c r="CD185" s="420">
        <v>0.0</v>
      </c>
      <c r="CE185" s="420">
        <v>0.0</v>
      </c>
      <c r="CF185" s="420">
        <v>0.0</v>
      </c>
      <c r="CG185" s="420">
        <v>0.0</v>
      </c>
      <c r="CH185" s="420">
        <v>0.0</v>
      </c>
      <c r="CI185" s="420">
        <v>0.0</v>
      </c>
      <c r="CJ185" s="420">
        <v>0.0</v>
      </c>
      <c r="CK185" s="420">
        <v>0.0</v>
      </c>
      <c r="CL185" s="420">
        <v>0.0</v>
      </c>
      <c r="CM185" s="420">
        <v>0.0</v>
      </c>
      <c r="CN185" s="420">
        <v>0.0</v>
      </c>
      <c r="CO185" s="406">
        <f t="shared" si="58"/>
        <v>0</v>
      </c>
      <c r="CP185" s="24"/>
      <c r="CQ185" s="24"/>
      <c r="CR185" s="405">
        <v>27.0</v>
      </c>
      <c r="CS185" s="420">
        <v>0.0</v>
      </c>
      <c r="CT185" s="420">
        <v>0.0</v>
      </c>
      <c r="CU185" s="420">
        <v>0.0</v>
      </c>
      <c r="CV185" s="420">
        <v>0.0</v>
      </c>
      <c r="CW185" s="420">
        <v>0.0</v>
      </c>
      <c r="CX185" s="420">
        <v>0.0</v>
      </c>
      <c r="CY185" s="420">
        <v>0.0</v>
      </c>
      <c r="CZ185" s="420">
        <v>0.0</v>
      </c>
      <c r="DA185" s="420">
        <v>0.0</v>
      </c>
      <c r="DB185" s="420">
        <v>0.0</v>
      </c>
      <c r="DC185" s="420">
        <v>0.0</v>
      </c>
      <c r="DD185" s="420">
        <v>0.0</v>
      </c>
      <c r="DE185" s="420">
        <v>0.0</v>
      </c>
      <c r="DF185" s="420">
        <v>0.0</v>
      </c>
      <c r="DG185" s="420">
        <v>0.0</v>
      </c>
      <c r="DH185" s="420">
        <v>0.0</v>
      </c>
      <c r="DI185" s="420">
        <v>0.0</v>
      </c>
      <c r="DJ185" s="420">
        <v>0.0</v>
      </c>
      <c r="DK185" s="420">
        <v>0.0</v>
      </c>
      <c r="DL185" s="420">
        <v>0.0</v>
      </c>
      <c r="DM185" s="420">
        <v>0.0</v>
      </c>
      <c r="DN185" s="420">
        <v>0.0</v>
      </c>
      <c r="DO185" s="420">
        <v>0.0</v>
      </c>
      <c r="DP185" s="420">
        <v>0.0</v>
      </c>
      <c r="DQ185" s="420">
        <v>0.0</v>
      </c>
      <c r="DR185" s="420">
        <v>0.0</v>
      </c>
      <c r="DS185" s="420">
        <v>0.0</v>
      </c>
      <c r="DT185" s="420">
        <v>0.0</v>
      </c>
      <c r="DU185" s="406">
        <f t="shared" si="59"/>
        <v>0</v>
      </c>
    </row>
    <row r="186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  <c r="AA186" s="24"/>
      <c r="AB186" s="24"/>
      <c r="AC186" s="24"/>
      <c r="AD186" s="24"/>
      <c r="AF186" s="267" t="s">
        <v>170</v>
      </c>
      <c r="AG186" s="420">
        <v>127421.01284897747</v>
      </c>
      <c r="AH186" s="420">
        <v>347039.9135200636</v>
      </c>
      <c r="AI186" s="420">
        <v>580035.2940414939</v>
      </c>
      <c r="AJ186" s="420">
        <v>733696.4789654589</v>
      </c>
      <c r="AK186" s="420">
        <v>970455.784659855</v>
      </c>
      <c r="AL186" s="420">
        <v>15375.631030185556</v>
      </c>
      <c r="AM186" s="420">
        <v>161989.3855696233</v>
      </c>
      <c r="AN186" s="420">
        <v>2.2268742128996216E7</v>
      </c>
      <c r="AO186" s="420">
        <v>14902.692467198929</v>
      </c>
      <c r="AP186" s="420">
        <v>3.461683363118134E7</v>
      </c>
      <c r="AQ186" s="420">
        <v>1.7492108094249576E8</v>
      </c>
      <c r="AR186" s="420">
        <v>20484.5335549042</v>
      </c>
      <c r="AS186" s="420">
        <v>2632.322568700731</v>
      </c>
      <c r="AT186" s="420">
        <v>1858617.0757654966</v>
      </c>
      <c r="AU186" s="420">
        <v>2.822903126035473E8</v>
      </c>
      <c r="AV186" s="420">
        <v>2.9586564047796994E8</v>
      </c>
      <c r="AW186" s="420">
        <v>2.5921716394704196E8</v>
      </c>
      <c r="AX186" s="420">
        <v>6.212717043768401E8</v>
      </c>
      <c r="AY186" s="420">
        <v>5.20323000059314E8</v>
      </c>
      <c r="AZ186" s="420">
        <v>2.3651629720325332E7</v>
      </c>
      <c r="BA186" s="420">
        <v>8.974497364446813E7</v>
      </c>
      <c r="BB186" s="420">
        <v>1.0163052683343359E10</v>
      </c>
      <c r="BC186" s="420">
        <v>1.5348049634742934E8</v>
      </c>
      <c r="BD186" s="420">
        <v>5.639271851081194E9</v>
      </c>
      <c r="BE186" s="420">
        <v>2.1263284937059948E10</v>
      </c>
      <c r="BF186" s="420">
        <v>4.1473233663155474E7</v>
      </c>
      <c r="BG186" s="420">
        <v>3.8256784398987375E7</v>
      </c>
      <c r="BH186" s="420">
        <v>8.390460190378668E10</v>
      </c>
      <c r="BI186" s="406">
        <f t="shared" si="57"/>
        <v>123532425621</v>
      </c>
      <c r="BJ186" s="24"/>
      <c r="BK186" s="24"/>
      <c r="BL186" s="421">
        <v>28.0</v>
      </c>
      <c r="BM186" s="420">
        <v>0.0</v>
      </c>
      <c r="BN186" s="420">
        <v>0.0</v>
      </c>
      <c r="BO186" s="420">
        <v>0.0</v>
      </c>
      <c r="BP186" s="420">
        <v>0.0</v>
      </c>
      <c r="BQ186" s="420">
        <v>0.0</v>
      </c>
      <c r="BR186" s="420">
        <v>0.0</v>
      </c>
      <c r="BS186" s="420">
        <v>0.0</v>
      </c>
      <c r="BT186" s="420">
        <v>0.0</v>
      </c>
      <c r="BU186" s="420">
        <v>0.0</v>
      </c>
      <c r="BV186" s="420">
        <v>0.0</v>
      </c>
      <c r="BW186" s="420">
        <v>0.0</v>
      </c>
      <c r="BX186" s="420">
        <v>0.0</v>
      </c>
      <c r="BY186" s="420">
        <v>0.0</v>
      </c>
      <c r="BZ186" s="420">
        <v>0.0</v>
      </c>
      <c r="CA186" s="420">
        <v>0.0</v>
      </c>
      <c r="CB186" s="420">
        <v>0.0</v>
      </c>
      <c r="CC186" s="420">
        <v>0.0</v>
      </c>
      <c r="CD186" s="420">
        <v>0.0</v>
      </c>
      <c r="CE186" s="420">
        <v>0.0</v>
      </c>
      <c r="CF186" s="420">
        <v>0.0</v>
      </c>
      <c r="CG186" s="420">
        <v>0.0</v>
      </c>
      <c r="CH186" s="420">
        <v>0.0</v>
      </c>
      <c r="CI186" s="420">
        <v>0.0</v>
      </c>
      <c r="CJ186" s="420">
        <v>0.0</v>
      </c>
      <c r="CK186" s="420">
        <v>0.0</v>
      </c>
      <c r="CL186" s="420">
        <v>0.0</v>
      </c>
      <c r="CM186" s="420">
        <v>0.0</v>
      </c>
      <c r="CN186" s="420">
        <v>0.0</v>
      </c>
      <c r="CO186" s="406">
        <f t="shared" si="58"/>
        <v>0</v>
      </c>
      <c r="CP186" s="24"/>
      <c r="CQ186" s="24"/>
      <c r="CR186" s="421">
        <v>28.0</v>
      </c>
      <c r="CS186" s="420">
        <v>0.0</v>
      </c>
      <c r="CT186" s="420">
        <v>0.0</v>
      </c>
      <c r="CU186" s="420">
        <v>0.0</v>
      </c>
      <c r="CV186" s="420">
        <v>0.0</v>
      </c>
      <c r="CW186" s="420">
        <v>0.0</v>
      </c>
      <c r="CX186" s="420">
        <v>0.0</v>
      </c>
      <c r="CY186" s="420">
        <v>0.0</v>
      </c>
      <c r="CZ186" s="420">
        <v>0.0</v>
      </c>
      <c r="DA186" s="420">
        <v>0.0</v>
      </c>
      <c r="DB186" s="420">
        <v>0.0</v>
      </c>
      <c r="DC186" s="420">
        <v>0.0</v>
      </c>
      <c r="DD186" s="420">
        <v>0.0</v>
      </c>
      <c r="DE186" s="420">
        <v>0.0</v>
      </c>
      <c r="DF186" s="420">
        <v>0.0</v>
      </c>
      <c r="DG186" s="420">
        <v>0.0</v>
      </c>
      <c r="DH186" s="420">
        <v>0.0</v>
      </c>
      <c r="DI186" s="420">
        <v>0.0</v>
      </c>
      <c r="DJ186" s="420">
        <v>0.0</v>
      </c>
      <c r="DK186" s="420">
        <v>0.0</v>
      </c>
      <c r="DL186" s="420">
        <v>0.0</v>
      </c>
      <c r="DM186" s="420">
        <v>0.0</v>
      </c>
      <c r="DN186" s="420">
        <v>0.0</v>
      </c>
      <c r="DO186" s="420">
        <v>0.0</v>
      </c>
      <c r="DP186" s="420">
        <v>0.0</v>
      </c>
      <c r="DQ186" s="420">
        <v>0.0</v>
      </c>
      <c r="DR186" s="420">
        <v>0.0</v>
      </c>
      <c r="DS186" s="420">
        <v>0.0</v>
      </c>
      <c r="DT186" s="420">
        <v>0.0</v>
      </c>
      <c r="DU186" s="406">
        <f t="shared" si="59"/>
        <v>0</v>
      </c>
    </row>
    <row r="187">
      <c r="B187" s="398" t="s">
        <v>171</v>
      </c>
      <c r="C187" s="399"/>
      <c r="D187" s="399"/>
      <c r="E187" s="399"/>
      <c r="F187" s="399"/>
      <c r="G187" s="399"/>
      <c r="H187" s="399"/>
      <c r="I187" s="399"/>
      <c r="J187" s="399"/>
      <c r="K187" s="399"/>
      <c r="L187" s="399"/>
      <c r="M187" s="399"/>
      <c r="N187" s="399"/>
      <c r="O187" s="399"/>
      <c r="P187" s="399"/>
      <c r="Q187" s="399"/>
      <c r="R187" s="399"/>
      <c r="S187" s="399"/>
      <c r="T187" s="399"/>
      <c r="U187" s="399"/>
      <c r="V187" s="399"/>
      <c r="W187" s="399"/>
      <c r="X187" s="399"/>
      <c r="Y187" s="399"/>
      <c r="Z187" s="399"/>
      <c r="AA187" s="399"/>
      <c r="AB187" s="399"/>
      <c r="AC187" s="399"/>
      <c r="AD187" s="399"/>
      <c r="AF187" s="25" t="s">
        <v>44</v>
      </c>
      <c r="AG187" s="264" t="s">
        <v>39</v>
      </c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9"/>
      <c r="AU187" s="422" t="s">
        <v>40</v>
      </c>
      <c r="AV187" s="423"/>
      <c r="AW187" s="423"/>
      <c r="AX187" s="423"/>
      <c r="AY187" s="423"/>
      <c r="AZ187" s="423"/>
      <c r="BA187" s="423"/>
      <c r="BB187" s="423"/>
      <c r="BC187" s="423"/>
      <c r="BD187" s="423"/>
      <c r="BE187" s="423"/>
      <c r="BF187" s="423"/>
      <c r="BG187" s="423"/>
      <c r="BH187" s="424"/>
      <c r="BI187" s="24"/>
      <c r="BJ187" s="24"/>
      <c r="BK187" s="24"/>
      <c r="BL187" s="25" t="s">
        <v>44</v>
      </c>
      <c r="BM187" s="264" t="s">
        <v>39</v>
      </c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9"/>
      <c r="CA187" s="422" t="s">
        <v>40</v>
      </c>
      <c r="CB187" s="423"/>
      <c r="CC187" s="423"/>
      <c r="CD187" s="423"/>
      <c r="CE187" s="423"/>
      <c r="CF187" s="423"/>
      <c r="CG187" s="423"/>
      <c r="CH187" s="423"/>
      <c r="CI187" s="423"/>
      <c r="CJ187" s="423"/>
      <c r="CK187" s="423"/>
      <c r="CL187" s="423"/>
      <c r="CM187" s="423"/>
      <c r="CN187" s="424"/>
      <c r="CO187" s="24"/>
      <c r="CP187" s="24"/>
      <c r="CQ187" s="24"/>
      <c r="CR187" s="25" t="s">
        <v>44</v>
      </c>
      <c r="CS187" s="264" t="s">
        <v>39</v>
      </c>
      <c r="CT187" s="18"/>
      <c r="CU187" s="18"/>
      <c r="CV187" s="18"/>
      <c r="CW187" s="18"/>
      <c r="CX187" s="18"/>
      <c r="CY187" s="18"/>
      <c r="CZ187" s="18"/>
      <c r="DA187" s="18"/>
      <c r="DB187" s="18"/>
      <c r="DC187" s="18"/>
      <c r="DD187" s="18"/>
      <c r="DE187" s="18"/>
      <c r="DF187" s="19"/>
      <c r="DG187" s="422" t="s">
        <v>40</v>
      </c>
      <c r="DH187" s="423"/>
      <c r="DI187" s="423"/>
      <c r="DJ187" s="423"/>
      <c r="DK187" s="423"/>
      <c r="DL187" s="423"/>
      <c r="DM187" s="423"/>
      <c r="DN187" s="423"/>
      <c r="DO187" s="423"/>
      <c r="DP187" s="423"/>
      <c r="DQ187" s="423"/>
      <c r="DR187" s="423"/>
      <c r="DS187" s="423"/>
      <c r="DT187" s="424"/>
    </row>
    <row r="188">
      <c r="B188" s="404"/>
      <c r="C188" s="405">
        <v>1.0</v>
      </c>
      <c r="D188" s="405">
        <v>2.0</v>
      </c>
      <c r="E188" s="405">
        <v>3.0</v>
      </c>
      <c r="F188" s="405">
        <v>4.0</v>
      </c>
      <c r="G188" s="405">
        <v>5.0</v>
      </c>
      <c r="H188" s="405">
        <v>6.0</v>
      </c>
      <c r="I188" s="405">
        <v>7.0</v>
      </c>
      <c r="J188" s="405">
        <v>8.0</v>
      </c>
      <c r="K188" s="405">
        <v>9.0</v>
      </c>
      <c r="L188" s="405">
        <v>10.0</v>
      </c>
      <c r="M188" s="405">
        <v>11.0</v>
      </c>
      <c r="N188" s="405">
        <v>12.0</v>
      </c>
      <c r="O188" s="405">
        <v>13.0</v>
      </c>
      <c r="P188" s="405">
        <v>14.0</v>
      </c>
      <c r="Q188" s="405">
        <v>15.0</v>
      </c>
      <c r="R188" s="405">
        <v>16.0</v>
      </c>
      <c r="S188" s="405">
        <v>17.0</v>
      </c>
      <c r="T188" s="405">
        <v>18.0</v>
      </c>
      <c r="U188" s="405">
        <v>19.0</v>
      </c>
      <c r="V188" s="405">
        <v>20.0</v>
      </c>
      <c r="W188" s="405">
        <v>21.0</v>
      </c>
      <c r="X188" s="405">
        <v>22.0</v>
      </c>
      <c r="Y188" s="405">
        <v>23.0</v>
      </c>
      <c r="Z188" s="405">
        <v>24.0</v>
      </c>
      <c r="AA188" s="405">
        <v>25.0</v>
      </c>
      <c r="AB188" s="405">
        <v>26.0</v>
      </c>
      <c r="AC188" s="405">
        <v>27.0</v>
      </c>
      <c r="AD188" s="405">
        <v>28.0</v>
      </c>
      <c r="AF188" s="25" t="s">
        <v>57</v>
      </c>
      <c r="AG188" s="265" t="s">
        <v>58</v>
      </c>
      <c r="AH188" s="25" t="s">
        <v>59</v>
      </c>
      <c r="AI188" s="25" t="s">
        <v>60</v>
      </c>
      <c r="AJ188" s="25" t="s">
        <v>61</v>
      </c>
      <c r="AK188" s="25" t="s">
        <v>62</v>
      </c>
      <c r="AL188" s="25" t="s">
        <v>63</v>
      </c>
      <c r="AM188" s="25" t="s">
        <v>64</v>
      </c>
      <c r="AN188" s="25" t="s">
        <v>65</v>
      </c>
      <c r="AO188" s="25" t="s">
        <v>66</v>
      </c>
      <c r="AP188" s="25" t="s">
        <v>67</v>
      </c>
      <c r="AQ188" s="25" t="s">
        <v>68</v>
      </c>
      <c r="AR188" s="25" t="s">
        <v>69</v>
      </c>
      <c r="AS188" s="25" t="s">
        <v>70</v>
      </c>
      <c r="AT188" s="17" t="s">
        <v>71</v>
      </c>
      <c r="AU188" s="25" t="s">
        <v>58</v>
      </c>
      <c r="AV188" s="25" t="s">
        <v>59</v>
      </c>
      <c r="AW188" s="25" t="s">
        <v>60</v>
      </c>
      <c r="AX188" s="25" t="s">
        <v>61</v>
      </c>
      <c r="AY188" s="25" t="s">
        <v>62</v>
      </c>
      <c r="AZ188" s="25" t="s">
        <v>63</v>
      </c>
      <c r="BA188" s="25" t="s">
        <v>64</v>
      </c>
      <c r="BB188" s="25" t="s">
        <v>65</v>
      </c>
      <c r="BC188" s="25" t="s">
        <v>66</v>
      </c>
      <c r="BD188" s="25" t="s">
        <v>67</v>
      </c>
      <c r="BE188" s="25" t="s">
        <v>68</v>
      </c>
      <c r="BF188" s="25" t="s">
        <v>69</v>
      </c>
      <c r="BG188" s="25" t="s">
        <v>70</v>
      </c>
      <c r="BH188" s="25" t="s">
        <v>71</v>
      </c>
      <c r="BI188" s="24"/>
      <c r="BJ188" s="24"/>
      <c r="BK188" s="24"/>
      <c r="BL188" s="25" t="s">
        <v>57</v>
      </c>
      <c r="BM188" s="265" t="s">
        <v>58</v>
      </c>
      <c r="BN188" s="25" t="s">
        <v>59</v>
      </c>
      <c r="BO188" s="25" t="s">
        <v>60</v>
      </c>
      <c r="BP188" s="25" t="s">
        <v>61</v>
      </c>
      <c r="BQ188" s="25" t="s">
        <v>62</v>
      </c>
      <c r="BR188" s="25" t="s">
        <v>63</v>
      </c>
      <c r="BS188" s="25" t="s">
        <v>64</v>
      </c>
      <c r="BT188" s="25" t="s">
        <v>65</v>
      </c>
      <c r="BU188" s="25" t="s">
        <v>66</v>
      </c>
      <c r="BV188" s="25" t="s">
        <v>67</v>
      </c>
      <c r="BW188" s="25" t="s">
        <v>68</v>
      </c>
      <c r="BX188" s="25" t="s">
        <v>69</v>
      </c>
      <c r="BY188" s="25" t="s">
        <v>70</v>
      </c>
      <c r="BZ188" s="17" t="s">
        <v>71</v>
      </c>
      <c r="CA188" s="25" t="s">
        <v>58</v>
      </c>
      <c r="CB188" s="25" t="s">
        <v>59</v>
      </c>
      <c r="CC188" s="25" t="s">
        <v>60</v>
      </c>
      <c r="CD188" s="25" t="s">
        <v>61</v>
      </c>
      <c r="CE188" s="25" t="s">
        <v>62</v>
      </c>
      <c r="CF188" s="25" t="s">
        <v>63</v>
      </c>
      <c r="CG188" s="25" t="s">
        <v>64</v>
      </c>
      <c r="CH188" s="25" t="s">
        <v>65</v>
      </c>
      <c r="CI188" s="25" t="s">
        <v>66</v>
      </c>
      <c r="CJ188" s="25" t="s">
        <v>67</v>
      </c>
      <c r="CK188" s="25" t="s">
        <v>68</v>
      </c>
      <c r="CL188" s="25" t="s">
        <v>69</v>
      </c>
      <c r="CM188" s="25" t="s">
        <v>70</v>
      </c>
      <c r="CN188" s="25" t="s">
        <v>71</v>
      </c>
      <c r="CO188" s="24"/>
      <c r="CP188" s="24"/>
      <c r="CQ188" s="24"/>
      <c r="CR188" s="25" t="s">
        <v>57</v>
      </c>
      <c r="CS188" s="265" t="s">
        <v>58</v>
      </c>
      <c r="CT188" s="25" t="s">
        <v>59</v>
      </c>
      <c r="CU188" s="25" t="s">
        <v>60</v>
      </c>
      <c r="CV188" s="25" t="s">
        <v>61</v>
      </c>
      <c r="CW188" s="25" t="s">
        <v>62</v>
      </c>
      <c r="CX188" s="25" t="s">
        <v>63</v>
      </c>
      <c r="CY188" s="25" t="s">
        <v>64</v>
      </c>
      <c r="CZ188" s="25" t="s">
        <v>65</v>
      </c>
      <c r="DA188" s="25" t="s">
        <v>66</v>
      </c>
      <c r="DB188" s="25" t="s">
        <v>67</v>
      </c>
      <c r="DC188" s="25" t="s">
        <v>68</v>
      </c>
      <c r="DD188" s="25" t="s">
        <v>69</v>
      </c>
      <c r="DE188" s="25" t="s">
        <v>70</v>
      </c>
      <c r="DF188" s="17" t="s">
        <v>71</v>
      </c>
      <c r="DG188" s="25" t="s">
        <v>58</v>
      </c>
      <c r="DH188" s="25" t="s">
        <v>59</v>
      </c>
      <c r="DI188" s="25" t="s">
        <v>60</v>
      </c>
      <c r="DJ188" s="25" t="s">
        <v>61</v>
      </c>
      <c r="DK188" s="25" t="s">
        <v>62</v>
      </c>
      <c r="DL188" s="25" t="s">
        <v>63</v>
      </c>
      <c r="DM188" s="25" t="s">
        <v>64</v>
      </c>
      <c r="DN188" s="25" t="s">
        <v>65</v>
      </c>
      <c r="DO188" s="25" t="s">
        <v>66</v>
      </c>
      <c r="DP188" s="25" t="s">
        <v>67</v>
      </c>
      <c r="DQ188" s="25" t="s">
        <v>68</v>
      </c>
      <c r="DR188" s="25" t="s">
        <v>69</v>
      </c>
      <c r="DS188" s="25" t="s">
        <v>70</v>
      </c>
      <c r="DT188" s="25" t="s">
        <v>71</v>
      </c>
    </row>
    <row r="189">
      <c r="B189" s="405">
        <v>1.0</v>
      </c>
      <c r="C189" s="407">
        <f t="shared" ref="C189:AD189" si="60">C158-C61</f>
        <v>0.9430924161</v>
      </c>
      <c r="D189" s="407">
        <f t="shared" si="60"/>
        <v>-0.11536348</v>
      </c>
      <c r="E189" s="407">
        <f t="shared" si="60"/>
        <v>-0.07601809045</v>
      </c>
      <c r="F189" s="407">
        <f t="shared" si="60"/>
        <v>-0.00000589112668</v>
      </c>
      <c r="G189" s="407">
        <f t="shared" si="60"/>
        <v>-0.00667118607</v>
      </c>
      <c r="H189" s="407">
        <f t="shared" si="60"/>
        <v>-0.000001261407713</v>
      </c>
      <c r="I189" s="407">
        <f t="shared" si="60"/>
        <v>-0.00001597356529</v>
      </c>
      <c r="J189" s="407">
        <f t="shared" si="60"/>
        <v>-0.0002336400361</v>
      </c>
      <c r="K189" s="407">
        <f t="shared" si="60"/>
        <v>-0.00005055879104</v>
      </c>
      <c r="L189" s="407">
        <f t="shared" si="60"/>
        <v>-0.0001685530323</v>
      </c>
      <c r="M189" s="407">
        <f t="shared" si="60"/>
        <v>-0.0001038013709</v>
      </c>
      <c r="N189" s="407">
        <f t="shared" si="60"/>
        <v>-0.000001188093559</v>
      </c>
      <c r="O189" s="407">
        <f t="shared" si="60"/>
        <v>-0.000007400836702</v>
      </c>
      <c r="P189" s="407">
        <f t="shared" si="60"/>
        <v>-0.002456613501</v>
      </c>
      <c r="Q189" s="407">
        <f t="shared" si="60"/>
        <v>-0.00001127646458</v>
      </c>
      <c r="R189" s="407">
        <f t="shared" si="60"/>
        <v>-0.00006282956252</v>
      </c>
      <c r="S189" s="407">
        <f t="shared" si="60"/>
        <v>-0.00009966039384</v>
      </c>
      <c r="T189" s="407">
        <f t="shared" si="60"/>
        <v>-0.000002034563788</v>
      </c>
      <c r="U189" s="407">
        <f t="shared" si="60"/>
        <v>-0.0001541638405</v>
      </c>
      <c r="V189" s="407">
        <f t="shared" si="60"/>
        <v>-0.000004513101785</v>
      </c>
      <c r="W189" s="407">
        <f t="shared" si="60"/>
        <v>-0.000003979193557</v>
      </c>
      <c r="X189" s="407">
        <f t="shared" si="60"/>
        <v>-0.000003262491472</v>
      </c>
      <c r="Y189" s="407">
        <f t="shared" si="60"/>
        <v>-0.000005563816669</v>
      </c>
      <c r="Z189" s="407">
        <f t="shared" si="60"/>
        <v>-0.00000245672302</v>
      </c>
      <c r="AA189" s="407">
        <f t="shared" si="60"/>
        <v>-0.00000352497636</v>
      </c>
      <c r="AB189" s="407">
        <f t="shared" si="60"/>
        <v>-0.000004385627006</v>
      </c>
      <c r="AC189" s="407">
        <f t="shared" si="60"/>
        <v>-0.0000001836342816</v>
      </c>
      <c r="AD189" s="407">
        <f t="shared" si="60"/>
        <v>-0.00001525625862</v>
      </c>
      <c r="AF189" s="418" t="s">
        <v>172</v>
      </c>
      <c r="AG189" s="406">
        <f t="shared" ref="AG189:BH189" si="61">SUM(AG$159:AG$186)</f>
        <v>320076390.6</v>
      </c>
      <c r="AH189" s="406">
        <f t="shared" si="61"/>
        <v>319207515.4</v>
      </c>
      <c r="AI189" s="406">
        <f t="shared" si="61"/>
        <v>3619641311</v>
      </c>
      <c r="AJ189" s="406">
        <f t="shared" si="61"/>
        <v>970268687.2</v>
      </c>
      <c r="AK189" s="406">
        <f t="shared" si="61"/>
        <v>1108011344</v>
      </c>
      <c r="AL189" s="406">
        <f t="shared" si="61"/>
        <v>60813294.03</v>
      </c>
      <c r="AM189" s="406">
        <f t="shared" si="61"/>
        <v>363427012.4</v>
      </c>
      <c r="AN189" s="406">
        <f t="shared" si="61"/>
        <v>27087038890</v>
      </c>
      <c r="AO189" s="406">
        <f t="shared" si="61"/>
        <v>24330162</v>
      </c>
      <c r="AP189" s="406">
        <f t="shared" si="61"/>
        <v>21486554552</v>
      </c>
      <c r="AQ189" s="406">
        <f t="shared" si="61"/>
        <v>23084968462</v>
      </c>
      <c r="AR189" s="406">
        <f t="shared" si="61"/>
        <v>69232910.12</v>
      </c>
      <c r="AS189" s="406">
        <f t="shared" si="61"/>
        <v>1830863.976</v>
      </c>
      <c r="AT189" s="406">
        <f t="shared" si="61"/>
        <v>1351214987</v>
      </c>
      <c r="AU189" s="406">
        <f t="shared" si="61"/>
        <v>1035478945613</v>
      </c>
      <c r="AV189" s="406">
        <f t="shared" si="61"/>
        <v>441671151257</v>
      </c>
      <c r="AW189" s="406">
        <f t="shared" si="61"/>
        <v>1967419292781</v>
      </c>
      <c r="AX189" s="406">
        <f t="shared" si="61"/>
        <v>1785808548118</v>
      </c>
      <c r="AY189" s="406">
        <f t="shared" si="61"/>
        <v>1086188339054</v>
      </c>
      <c r="AZ189" s="406">
        <f t="shared" si="61"/>
        <v>645777989230</v>
      </c>
      <c r="BA189" s="406">
        <f t="shared" si="61"/>
        <v>158214472677</v>
      </c>
      <c r="BB189" s="406">
        <f t="shared" si="61"/>
        <v>14141072341477</v>
      </c>
      <c r="BC189" s="406">
        <f t="shared" si="61"/>
        <v>314507863427</v>
      </c>
      <c r="BD189" s="406">
        <f t="shared" si="61"/>
        <v>9759092483152</v>
      </c>
      <c r="BE189" s="406">
        <f t="shared" si="61"/>
        <v>6965800776251</v>
      </c>
      <c r="BF189" s="406">
        <f t="shared" si="61"/>
        <v>347370569476</v>
      </c>
      <c r="BG189" s="406">
        <f t="shared" si="61"/>
        <v>51324146040</v>
      </c>
      <c r="BH189" s="406">
        <f t="shared" si="61"/>
        <v>952444818243</v>
      </c>
      <c r="BI189" s="24"/>
      <c r="BJ189" s="24"/>
      <c r="BK189" s="24"/>
      <c r="BL189" s="419" t="s">
        <v>173</v>
      </c>
      <c r="BM189" s="406">
        <f t="shared" ref="BM189:CN189" si="62">SUM(BM159:BM186)</f>
        <v>1264.279309</v>
      </c>
      <c r="BN189" s="406">
        <f t="shared" si="62"/>
        <v>382.6417131</v>
      </c>
      <c r="BO189" s="406">
        <f t="shared" si="62"/>
        <v>1284.299847</v>
      </c>
      <c r="BP189" s="406">
        <f t="shared" si="62"/>
        <v>178.3584548</v>
      </c>
      <c r="BQ189" s="406">
        <f t="shared" si="62"/>
        <v>1523.790592</v>
      </c>
      <c r="BR189" s="406">
        <f t="shared" si="62"/>
        <v>0.5022965488</v>
      </c>
      <c r="BS189" s="406">
        <f t="shared" si="62"/>
        <v>7.932912433</v>
      </c>
      <c r="BT189" s="406">
        <f t="shared" si="62"/>
        <v>1811.777711</v>
      </c>
      <c r="BU189" s="406">
        <f t="shared" si="62"/>
        <v>1.542004507</v>
      </c>
      <c r="BV189" s="406">
        <f t="shared" si="62"/>
        <v>903.948472</v>
      </c>
      <c r="BW189" s="406">
        <f t="shared" si="62"/>
        <v>2137.01257</v>
      </c>
      <c r="BX189" s="406">
        <f t="shared" si="62"/>
        <v>0.6496252421</v>
      </c>
      <c r="BY189" s="406">
        <f t="shared" si="62"/>
        <v>0.1166260904</v>
      </c>
      <c r="BZ189" s="406">
        <f t="shared" si="62"/>
        <v>487.786297</v>
      </c>
      <c r="CA189" s="406">
        <f t="shared" si="62"/>
        <v>3697962.47</v>
      </c>
      <c r="CB189" s="406">
        <f t="shared" si="62"/>
        <v>372051.7788</v>
      </c>
      <c r="CC189" s="406">
        <f t="shared" si="62"/>
        <v>240017.8166</v>
      </c>
      <c r="CD189" s="406">
        <f t="shared" si="62"/>
        <v>215386.6295</v>
      </c>
      <c r="CE189" s="406">
        <f t="shared" si="62"/>
        <v>1714085.977</v>
      </c>
      <c r="CF189" s="406">
        <f t="shared" si="62"/>
        <v>1574.581203</v>
      </c>
      <c r="CG189" s="406">
        <f t="shared" si="62"/>
        <v>10231.13613</v>
      </c>
      <c r="CH189" s="406">
        <f t="shared" si="62"/>
        <v>1486367.05</v>
      </c>
      <c r="CI189" s="406">
        <f t="shared" si="62"/>
        <v>57533.66257</v>
      </c>
      <c r="CJ189" s="406">
        <f t="shared" si="62"/>
        <v>271718.5593</v>
      </c>
      <c r="CK189" s="406">
        <f t="shared" si="62"/>
        <v>924422.8451</v>
      </c>
      <c r="CL189" s="406">
        <f t="shared" si="62"/>
        <v>2946.104972</v>
      </c>
      <c r="CM189" s="406">
        <f t="shared" si="62"/>
        <v>3511.642749</v>
      </c>
      <c r="CN189" s="406">
        <f t="shared" si="62"/>
        <v>344457.4961</v>
      </c>
      <c r="CO189" s="24"/>
      <c r="CP189" s="24"/>
      <c r="CQ189" s="24"/>
      <c r="CR189" s="419" t="s">
        <v>173</v>
      </c>
      <c r="CS189" s="406">
        <f t="shared" ref="CS189:DT189" si="63">SUM(CS159:CS186)</f>
        <v>7.832437402</v>
      </c>
      <c r="CT189" s="406">
        <f t="shared" si="63"/>
        <v>18.55087327</v>
      </c>
      <c r="CU189" s="406">
        <f t="shared" si="63"/>
        <v>7804.544291</v>
      </c>
      <c r="CV189" s="406">
        <f t="shared" si="63"/>
        <v>1153.542264</v>
      </c>
      <c r="CW189" s="406">
        <f t="shared" si="63"/>
        <v>109.1403009</v>
      </c>
      <c r="CX189" s="406">
        <f t="shared" si="63"/>
        <v>0.6415755706</v>
      </c>
      <c r="CY189" s="406">
        <f t="shared" si="63"/>
        <v>9.550652406</v>
      </c>
      <c r="CZ189" s="406">
        <f t="shared" si="63"/>
        <v>1454.427135</v>
      </c>
      <c r="DA189" s="406">
        <f t="shared" si="63"/>
        <v>2.504536763</v>
      </c>
      <c r="DB189" s="406">
        <f t="shared" si="63"/>
        <v>2308.11763</v>
      </c>
      <c r="DC189" s="406">
        <f t="shared" si="63"/>
        <v>3139.387331</v>
      </c>
      <c r="DD189" s="406">
        <f t="shared" si="63"/>
        <v>0.8347466352</v>
      </c>
      <c r="DE189" s="406">
        <f t="shared" si="63"/>
        <v>0.1260850298</v>
      </c>
      <c r="DF189" s="406">
        <f t="shared" si="63"/>
        <v>491.9631181</v>
      </c>
      <c r="DG189" s="406">
        <f t="shared" si="63"/>
        <v>42455.76818</v>
      </c>
      <c r="DH189" s="406">
        <f t="shared" si="63"/>
        <v>34467.49011</v>
      </c>
      <c r="DI189" s="406">
        <f t="shared" si="63"/>
        <v>7084935.184</v>
      </c>
      <c r="DJ189" s="406">
        <f t="shared" si="63"/>
        <v>3704871.141</v>
      </c>
      <c r="DK189" s="406">
        <f t="shared" si="63"/>
        <v>355523.7181</v>
      </c>
      <c r="DL189" s="406">
        <f t="shared" si="63"/>
        <v>2631.734011</v>
      </c>
      <c r="DM189" s="406">
        <f t="shared" si="63"/>
        <v>7124.010316</v>
      </c>
      <c r="DN189" s="406">
        <f t="shared" si="63"/>
        <v>884851.149</v>
      </c>
      <c r="DO189" s="406">
        <f t="shared" si="63"/>
        <v>43481.66008</v>
      </c>
      <c r="DP189" s="406">
        <f t="shared" si="63"/>
        <v>284082.041</v>
      </c>
      <c r="DQ189" s="406">
        <f t="shared" si="63"/>
        <v>880896.1639</v>
      </c>
      <c r="DR189" s="406">
        <f t="shared" si="63"/>
        <v>3429.300016</v>
      </c>
      <c r="DS189" s="406">
        <f t="shared" si="63"/>
        <v>5745.626585</v>
      </c>
      <c r="DT189" s="406">
        <f t="shared" si="63"/>
        <v>679383.976</v>
      </c>
    </row>
    <row r="190">
      <c r="B190" s="405">
        <v>2.0</v>
      </c>
      <c r="C190" s="407">
        <f t="shared" ref="C190:AD190" si="64">C159-C62</f>
        <v>-0.00005223176539</v>
      </c>
      <c r="D190" s="407">
        <f t="shared" si="64"/>
        <v>0.9950881875</v>
      </c>
      <c r="E190" s="407">
        <f t="shared" si="64"/>
        <v>-0.02491194625</v>
      </c>
      <c r="F190" s="407">
        <f t="shared" si="64"/>
        <v>-0.0005003274363</v>
      </c>
      <c r="G190" s="407">
        <f t="shared" si="64"/>
        <v>-0.01698176411</v>
      </c>
      <c r="H190" s="407">
        <f t="shared" si="64"/>
        <v>-0.0005641716561</v>
      </c>
      <c r="I190" s="407">
        <f t="shared" si="64"/>
        <v>-0.00003087240177</v>
      </c>
      <c r="J190" s="407">
        <f t="shared" si="64"/>
        <v>-0.0001358998201</v>
      </c>
      <c r="K190" s="407">
        <f t="shared" si="64"/>
        <v>-0.00004750040376</v>
      </c>
      <c r="L190" s="407">
        <f t="shared" si="64"/>
        <v>-0.0002737061161</v>
      </c>
      <c r="M190" s="407">
        <f t="shared" si="64"/>
        <v>-0.0002820510895</v>
      </c>
      <c r="N190" s="407">
        <f t="shared" si="64"/>
        <v>-0.0005594184782</v>
      </c>
      <c r="O190" s="407">
        <f t="shared" si="64"/>
        <v>-0.00003983814171</v>
      </c>
      <c r="P190" s="407">
        <f t="shared" si="64"/>
        <v>-0.009060936157</v>
      </c>
      <c r="Q190" s="407">
        <f t="shared" si="64"/>
        <v>-0.00000137104786</v>
      </c>
      <c r="R190" s="407">
        <f t="shared" si="64"/>
        <v>-0.0000669110028</v>
      </c>
      <c r="S190" s="407">
        <f t="shared" si="64"/>
        <v>-0.00003901176072</v>
      </c>
      <c r="T190" s="407">
        <f t="shared" si="64"/>
        <v>-0.00001335952127</v>
      </c>
      <c r="U190" s="407">
        <f t="shared" si="64"/>
        <v>-0.00008273621305</v>
      </c>
      <c r="V190" s="407">
        <f t="shared" si="64"/>
        <v>-0.000001862256568</v>
      </c>
      <c r="W190" s="407">
        <f t="shared" si="64"/>
        <v>-0.000005912409252</v>
      </c>
      <c r="X190" s="407">
        <f t="shared" si="64"/>
        <v>-0.000002396656712</v>
      </c>
      <c r="Y190" s="407">
        <f t="shared" si="64"/>
        <v>-0.00001237422965</v>
      </c>
      <c r="Z190" s="407">
        <f t="shared" si="64"/>
        <v>-0.000005474405504</v>
      </c>
      <c r="AA190" s="407">
        <f t="shared" si="64"/>
        <v>-0.000003663766753</v>
      </c>
      <c r="AB190" s="407">
        <f t="shared" si="64"/>
        <v>-0.00001598960588</v>
      </c>
      <c r="AC190" s="407">
        <f t="shared" si="64"/>
        <v>-0.000001501934363</v>
      </c>
      <c r="AD190" s="407">
        <f t="shared" si="64"/>
        <v>-0.0001078260925</v>
      </c>
      <c r="BJ190" s="24"/>
      <c r="BK190" s="24"/>
      <c r="BL190" s="24"/>
      <c r="BM190" s="24"/>
      <c r="BN190" s="24"/>
      <c r="BO190" s="24"/>
      <c r="BP190" s="24"/>
      <c r="BQ190" s="24"/>
      <c r="BR190" s="24"/>
      <c r="BS190" s="24"/>
      <c r="BT190" s="24"/>
      <c r="BU190" s="24"/>
      <c r="BV190" s="24"/>
      <c r="BW190" s="24"/>
      <c r="BX190" s="24"/>
      <c r="BY190" s="24"/>
      <c r="BZ190" s="24"/>
      <c r="CA190" s="24"/>
      <c r="CB190" s="24"/>
      <c r="CC190" s="24"/>
      <c r="CD190" s="24"/>
      <c r="CE190" s="24"/>
      <c r="CF190" s="24"/>
      <c r="CG190" s="24"/>
      <c r="CH190" s="24"/>
      <c r="CI190" s="24"/>
      <c r="CJ190" s="24"/>
      <c r="CK190" s="24"/>
      <c r="CL190" s="24"/>
      <c r="CM190" s="24"/>
      <c r="CN190" s="24"/>
      <c r="CO190" s="24"/>
      <c r="CP190" s="24"/>
      <c r="CQ190" s="24"/>
      <c r="CR190" s="24"/>
      <c r="CS190" s="24"/>
      <c r="CT190" s="24"/>
      <c r="CU190" s="24"/>
      <c r="CV190" s="24"/>
      <c r="CW190" s="24"/>
      <c r="CX190" s="24"/>
      <c r="CY190" s="24"/>
      <c r="CZ190" s="24"/>
      <c r="DA190" s="24"/>
      <c r="DB190" s="24"/>
      <c r="DC190" s="24"/>
      <c r="DD190" s="24"/>
      <c r="DE190" s="24"/>
      <c r="DF190" s="24"/>
      <c r="DG190" s="24"/>
      <c r="DH190" s="24"/>
      <c r="DI190" s="24"/>
      <c r="DJ190" s="24"/>
      <c r="DK190" s="24"/>
      <c r="DL190" s="24"/>
      <c r="DM190" s="24"/>
      <c r="DN190" s="24"/>
      <c r="DO190" s="24"/>
      <c r="DP190" s="24"/>
      <c r="DQ190" s="24"/>
      <c r="DR190" s="24"/>
      <c r="DS190" s="24"/>
      <c r="DT190" s="24"/>
      <c r="DU190" s="24"/>
    </row>
    <row r="191">
      <c r="B191" s="405">
        <v>3.0</v>
      </c>
      <c r="C191" s="407">
        <f t="shared" ref="C191:AD191" si="65">C160-C63</f>
        <v>-0.00004181688883</v>
      </c>
      <c r="D191" s="407">
        <f t="shared" si="65"/>
        <v>-0.0002546634897</v>
      </c>
      <c r="E191" s="407">
        <f t="shared" si="65"/>
        <v>0.9972837201</v>
      </c>
      <c r="F191" s="407">
        <f t="shared" si="65"/>
        <v>-0.106916595</v>
      </c>
      <c r="G191" s="407">
        <f t="shared" si="65"/>
        <v>-0.0005639096672</v>
      </c>
      <c r="H191" s="407">
        <f t="shared" si="65"/>
        <v>-0.00008151404029</v>
      </c>
      <c r="I191" s="407">
        <f t="shared" si="65"/>
        <v>-0.00003631722376</v>
      </c>
      <c r="J191" s="407">
        <f t="shared" si="65"/>
        <v>-0.0001257376993</v>
      </c>
      <c r="K191" s="407">
        <f t="shared" si="65"/>
        <v>-0.008573226512</v>
      </c>
      <c r="L191" s="407">
        <f t="shared" si="65"/>
        <v>-0.002657313852</v>
      </c>
      <c r="M191" s="407">
        <f t="shared" si="65"/>
        <v>-0.0001195321698</v>
      </c>
      <c r="N191" s="407">
        <f t="shared" si="65"/>
        <v>-0.00008162872267</v>
      </c>
      <c r="O191" s="407">
        <f t="shared" si="65"/>
        <v>-0.0001417421048</v>
      </c>
      <c r="P191" s="407">
        <f t="shared" si="65"/>
        <v>-0.001953291933</v>
      </c>
      <c r="Q191" s="407">
        <f t="shared" si="65"/>
        <v>-0.0000001394611702</v>
      </c>
      <c r="R191" s="407">
        <f t="shared" si="65"/>
        <v>-0.000002723029005</v>
      </c>
      <c r="S191" s="407">
        <f t="shared" si="65"/>
        <v>-0.000005645477762</v>
      </c>
      <c r="T191" s="407">
        <f t="shared" si="65"/>
        <v>-0.0000355158498</v>
      </c>
      <c r="U191" s="407">
        <f t="shared" si="65"/>
        <v>-0.000009261811621</v>
      </c>
      <c r="V191" s="407">
        <f t="shared" si="65"/>
        <v>-0.000005671737923</v>
      </c>
      <c r="W191" s="407">
        <f t="shared" si="65"/>
        <v>-0.0000004225472813</v>
      </c>
      <c r="X191" s="407">
        <f t="shared" si="65"/>
        <v>-0.000002287147642</v>
      </c>
      <c r="Y191" s="407">
        <f t="shared" si="65"/>
        <v>-0.00001158188717</v>
      </c>
      <c r="Z191" s="407">
        <f t="shared" si="65"/>
        <v>-0.000002302906357</v>
      </c>
      <c r="AA191" s="407">
        <f t="shared" si="65"/>
        <v>-0.000000978057291</v>
      </c>
      <c r="AB191" s="407">
        <f t="shared" si="65"/>
        <v>-0.000009361467751</v>
      </c>
      <c r="AC191" s="407">
        <f t="shared" si="65"/>
        <v>-0.0000001832615669</v>
      </c>
      <c r="AD191" s="407">
        <f t="shared" si="65"/>
        <v>-0.000002953003616</v>
      </c>
      <c r="AF191" s="410" t="s">
        <v>174</v>
      </c>
      <c r="AG191" s="411"/>
      <c r="AH191" s="412"/>
      <c r="BI191" s="24"/>
      <c r="BJ191" s="24"/>
      <c r="BK191" s="24"/>
      <c r="BL191" s="24"/>
      <c r="BM191" s="24"/>
      <c r="BN191" s="24"/>
      <c r="BO191" s="24"/>
      <c r="BP191" s="24"/>
      <c r="BQ191" s="24"/>
      <c r="BR191" s="24"/>
      <c r="BS191" s="24"/>
      <c r="BT191" s="24"/>
      <c r="BU191" s="24"/>
      <c r="BV191" s="24"/>
      <c r="BW191" s="24"/>
      <c r="BX191" s="24"/>
      <c r="BY191" s="24"/>
      <c r="BZ191" s="24"/>
      <c r="CA191" s="24"/>
      <c r="CB191" s="24"/>
      <c r="CC191" s="24"/>
      <c r="CD191" s="24"/>
      <c r="CE191" s="24"/>
      <c r="CF191" s="24"/>
      <c r="CG191" s="24"/>
      <c r="CH191" s="24"/>
      <c r="CI191" s="24"/>
      <c r="CJ191" s="24"/>
      <c r="CK191" s="24"/>
      <c r="CL191" s="24"/>
      <c r="CM191" s="24"/>
      <c r="CN191" s="24"/>
      <c r="CO191" s="24"/>
      <c r="CP191" s="24"/>
      <c r="CQ191" s="24"/>
      <c r="CR191" s="24"/>
      <c r="CS191" s="24"/>
      <c r="CT191" s="24"/>
      <c r="CU191" s="24"/>
      <c r="CV191" s="24"/>
      <c r="CW191" s="24"/>
      <c r="CX191" s="24"/>
      <c r="CY191" s="24"/>
      <c r="CZ191" s="24"/>
      <c r="DA191" s="24"/>
      <c r="DB191" s="24"/>
      <c r="DC191" s="24"/>
      <c r="DD191" s="24"/>
      <c r="DE191" s="24"/>
      <c r="DF191" s="24"/>
      <c r="DG191" s="24"/>
      <c r="DH191" s="24"/>
      <c r="DI191" s="24"/>
      <c r="DJ191" s="24"/>
      <c r="DK191" s="24"/>
      <c r="DL191" s="24"/>
      <c r="DM191" s="24"/>
      <c r="DN191" s="24"/>
      <c r="DO191" s="24"/>
      <c r="DP191" s="24"/>
      <c r="DQ191" s="24"/>
      <c r="DR191" s="24"/>
      <c r="DS191" s="24"/>
      <c r="DT191" s="24"/>
      <c r="DU191" s="24"/>
    </row>
    <row r="192">
      <c r="B192" s="405">
        <v>4.0</v>
      </c>
      <c r="C192" s="407">
        <f t="shared" ref="C192:AD192" si="66">C161-C64</f>
        <v>-0.0006984953446</v>
      </c>
      <c r="D192" s="407">
        <f t="shared" si="66"/>
        <v>-0.0009291311917</v>
      </c>
      <c r="E192" s="407">
        <f t="shared" si="66"/>
        <v>-0.01233393802</v>
      </c>
      <c r="F192" s="407">
        <f t="shared" si="66"/>
        <v>0.9458892125</v>
      </c>
      <c r="G192" s="407">
        <f t="shared" si="66"/>
        <v>-0.0003249484636</v>
      </c>
      <c r="H192" s="407">
        <f t="shared" si="66"/>
        <v>-0.0004521009923</v>
      </c>
      <c r="I192" s="407">
        <f t="shared" si="66"/>
        <v>-0.0002526531666</v>
      </c>
      <c r="J192" s="407">
        <f t="shared" si="66"/>
        <v>-0.0005344544921</v>
      </c>
      <c r="K192" s="407">
        <f t="shared" si="66"/>
        <v>-0.0007855598074</v>
      </c>
      <c r="L192" s="407">
        <f t="shared" si="66"/>
        <v>-0.0007601623618</v>
      </c>
      <c r="M192" s="407">
        <f t="shared" si="66"/>
        <v>-0.00157206992</v>
      </c>
      <c r="N192" s="407">
        <f t="shared" si="66"/>
        <v>-0.0004562758519</v>
      </c>
      <c r="O192" s="407">
        <f t="shared" si="66"/>
        <v>-0.0003735711325</v>
      </c>
      <c r="P192" s="407">
        <f t="shared" si="66"/>
        <v>-0.01562068245</v>
      </c>
      <c r="Q192" s="407">
        <f t="shared" si="66"/>
        <v>-0.000005803955161</v>
      </c>
      <c r="R192" s="407">
        <f t="shared" si="66"/>
        <v>-0.000007629205055</v>
      </c>
      <c r="S192" s="407">
        <f t="shared" si="66"/>
        <v>-0.00002125835934</v>
      </c>
      <c r="T192" s="407">
        <f t="shared" si="66"/>
        <v>-0.0002586537831</v>
      </c>
      <c r="U192" s="407">
        <f t="shared" si="66"/>
        <v>-0.00009950778522</v>
      </c>
      <c r="V192" s="407">
        <f t="shared" si="66"/>
        <v>-0.00000876647524</v>
      </c>
      <c r="W192" s="407">
        <f t="shared" si="66"/>
        <v>-0.000006877960069</v>
      </c>
      <c r="X192" s="407">
        <f t="shared" si="66"/>
        <v>-0.000005286827472</v>
      </c>
      <c r="Y192" s="407">
        <f t="shared" si="66"/>
        <v>-0.00000633711578</v>
      </c>
      <c r="Z192" s="407">
        <f t="shared" si="66"/>
        <v>-0.000006245021383</v>
      </c>
      <c r="AA192" s="407">
        <f t="shared" si="66"/>
        <v>-0.000005475878807</v>
      </c>
      <c r="AB192" s="407">
        <f t="shared" si="66"/>
        <v>-0.000007114442719</v>
      </c>
      <c r="AC192" s="407">
        <f t="shared" si="66"/>
        <v>-0.000002292921331</v>
      </c>
      <c r="AD192" s="407">
        <f t="shared" si="66"/>
        <v>-0.00007565496139</v>
      </c>
      <c r="AG192" s="413" t="s">
        <v>175</v>
      </c>
      <c r="AH192" s="411"/>
      <c r="AI192" s="411"/>
      <c r="AJ192" s="411"/>
      <c r="AK192" s="411"/>
      <c r="AL192" s="411"/>
      <c r="AM192" s="411"/>
      <c r="AN192" s="411"/>
      <c r="AO192" s="411"/>
      <c r="AP192" s="411"/>
      <c r="AQ192" s="411"/>
      <c r="AR192" s="411"/>
      <c r="AS192" s="411"/>
      <c r="AT192" s="411"/>
      <c r="AU192" s="414" t="s">
        <v>176</v>
      </c>
      <c r="AV192" s="411"/>
      <c r="AW192" s="411"/>
      <c r="AX192" s="411"/>
      <c r="AY192" s="411"/>
      <c r="AZ192" s="411"/>
      <c r="BA192" s="411"/>
      <c r="BB192" s="411"/>
      <c r="BC192" s="411"/>
      <c r="BD192" s="411"/>
      <c r="BE192" s="411"/>
      <c r="BF192" s="411"/>
      <c r="BG192" s="411"/>
      <c r="BH192" s="412"/>
      <c r="BI192" s="24"/>
      <c r="BJ192" s="24"/>
      <c r="BK192" s="24"/>
      <c r="BL192" s="24"/>
      <c r="BM192" s="24"/>
      <c r="BN192" s="24"/>
      <c r="BO192" s="24"/>
      <c r="BP192" s="24"/>
      <c r="BQ192" s="24"/>
      <c r="BR192" s="24"/>
      <c r="BS192" s="24"/>
      <c r="BT192" s="24"/>
      <c r="BU192" s="24"/>
      <c r="BV192" s="24"/>
      <c r="BW192" s="24"/>
      <c r="BX192" s="24"/>
      <c r="BY192" s="24"/>
      <c r="BZ192" s="24"/>
      <c r="CA192" s="24"/>
      <c r="CB192" s="24"/>
      <c r="CC192" s="24"/>
      <c r="CD192" s="24"/>
      <c r="CE192" s="24"/>
      <c r="CF192" s="24"/>
      <c r="CG192" s="24"/>
      <c r="CH192" s="24"/>
      <c r="CI192" s="24"/>
      <c r="CJ192" s="24"/>
      <c r="CK192" s="24"/>
      <c r="CL192" s="24"/>
      <c r="CM192" s="24"/>
      <c r="CN192" s="24"/>
      <c r="CO192" s="24"/>
      <c r="CP192" s="24"/>
      <c r="CQ192" s="24"/>
      <c r="CR192" s="24"/>
      <c r="CS192" s="24"/>
      <c r="CT192" s="24"/>
      <c r="CU192" s="24"/>
      <c r="CV192" s="24"/>
      <c r="CW192" s="24"/>
      <c r="CX192" s="24"/>
      <c r="CY192" s="24"/>
      <c r="CZ192" s="24"/>
      <c r="DA192" s="24"/>
      <c r="DB192" s="24"/>
      <c r="DC192" s="24"/>
      <c r="DD192" s="24"/>
      <c r="DE192" s="24"/>
      <c r="DF192" s="24"/>
      <c r="DG192" s="24"/>
      <c r="DH192" s="24"/>
      <c r="DI192" s="24"/>
      <c r="DJ192" s="24"/>
      <c r="DK192" s="24"/>
      <c r="DL192" s="24"/>
      <c r="DM192" s="24"/>
      <c r="DN192" s="24"/>
      <c r="DO192" s="24"/>
      <c r="DP192" s="24"/>
      <c r="DQ192" s="24"/>
      <c r="DR192" s="24"/>
      <c r="DS192" s="24"/>
      <c r="DT192" s="24"/>
      <c r="DU192" s="24"/>
    </row>
    <row r="193">
      <c r="B193" s="405">
        <v>5.0</v>
      </c>
      <c r="C193" s="407">
        <f t="shared" ref="C193:AD193" si="67">C162-C65</f>
        <v>-0.0001217449221</v>
      </c>
      <c r="D193" s="407">
        <f t="shared" si="67"/>
        <v>-0.009604948661</v>
      </c>
      <c r="E193" s="407">
        <f t="shared" si="67"/>
        <v>-0.07893907873</v>
      </c>
      <c r="F193" s="407">
        <f t="shared" si="67"/>
        <v>-0.005549330603</v>
      </c>
      <c r="G193" s="407">
        <f t="shared" si="67"/>
        <v>0.9357500261</v>
      </c>
      <c r="H193" s="407">
        <f t="shared" si="67"/>
        <v>-0.0002313717055</v>
      </c>
      <c r="I193" s="407">
        <f t="shared" si="67"/>
        <v>-0.00008441044218</v>
      </c>
      <c r="J193" s="407">
        <f t="shared" si="67"/>
        <v>-0.0004544118767</v>
      </c>
      <c r="K193" s="407">
        <f t="shared" si="67"/>
        <v>-0.00009521899385</v>
      </c>
      <c r="L193" s="407">
        <f t="shared" si="67"/>
        <v>-0.000496115035</v>
      </c>
      <c r="M193" s="407">
        <f t="shared" si="67"/>
        <v>-0.00093092023</v>
      </c>
      <c r="N193" s="407">
        <f t="shared" si="67"/>
        <v>-0.0002334356856</v>
      </c>
      <c r="O193" s="407">
        <f t="shared" si="67"/>
        <v>-0.000108379026</v>
      </c>
      <c r="P193" s="407">
        <f t="shared" si="67"/>
        <v>-0.02450160066</v>
      </c>
      <c r="Q193" s="407">
        <f t="shared" si="67"/>
        <v>-0.000002900889899</v>
      </c>
      <c r="R193" s="407">
        <f t="shared" si="67"/>
        <v>-0.0001352227961</v>
      </c>
      <c r="S193" s="407">
        <f t="shared" si="67"/>
        <v>-0.0001238110225</v>
      </c>
      <c r="T193" s="407">
        <f t="shared" si="67"/>
        <v>-0.00009362261222</v>
      </c>
      <c r="U193" s="407">
        <f t="shared" si="67"/>
        <v>-0.0003833785024</v>
      </c>
      <c r="V193" s="407">
        <f t="shared" si="67"/>
        <v>-0.000005053172637</v>
      </c>
      <c r="W193" s="407">
        <f t="shared" si="67"/>
        <v>-0.000008073980648</v>
      </c>
      <c r="X193" s="407">
        <f t="shared" si="67"/>
        <v>-0.00000934937878</v>
      </c>
      <c r="Y193" s="407">
        <f t="shared" si="67"/>
        <v>-0.00002174412291</v>
      </c>
      <c r="Z193" s="407">
        <f t="shared" si="67"/>
        <v>-0.000008563267468</v>
      </c>
      <c r="AA193" s="407">
        <f t="shared" si="67"/>
        <v>-0.000008669540364</v>
      </c>
      <c r="AB193" s="407">
        <f t="shared" si="67"/>
        <v>-0.00001397888984</v>
      </c>
      <c r="AC193" s="407">
        <f t="shared" si="67"/>
        <v>-0.000002081904599</v>
      </c>
      <c r="AD193" s="407">
        <f t="shared" si="67"/>
        <v>-0.0001343223171</v>
      </c>
      <c r="AF193" s="404"/>
      <c r="AG193" s="280" t="s">
        <v>113</v>
      </c>
      <c r="AH193" s="280" t="s">
        <v>114</v>
      </c>
      <c r="AI193" s="280" t="s">
        <v>115</v>
      </c>
      <c r="AJ193" s="280" t="s">
        <v>116</v>
      </c>
      <c r="AK193" s="280" t="s">
        <v>117</v>
      </c>
      <c r="AL193" s="280" t="s">
        <v>118</v>
      </c>
      <c r="AM193" s="280" t="s">
        <v>119</v>
      </c>
      <c r="AN193" s="280" t="s">
        <v>120</v>
      </c>
      <c r="AO193" s="280" t="s">
        <v>121</v>
      </c>
      <c r="AP193" s="280" t="s">
        <v>122</v>
      </c>
      <c r="AQ193" s="280" t="s">
        <v>123</v>
      </c>
      <c r="AR193" s="280" t="s">
        <v>124</v>
      </c>
      <c r="AS193" s="280" t="s">
        <v>125</v>
      </c>
      <c r="AT193" s="280" t="s">
        <v>126</v>
      </c>
      <c r="AU193" s="417" t="s">
        <v>127</v>
      </c>
      <c r="AV193" s="417" t="s">
        <v>128</v>
      </c>
      <c r="AW193" s="417" t="s">
        <v>129</v>
      </c>
      <c r="AX193" s="417" t="s">
        <v>130</v>
      </c>
      <c r="AY193" s="417" t="s">
        <v>131</v>
      </c>
      <c r="AZ193" s="417" t="s">
        <v>132</v>
      </c>
      <c r="BA193" s="417" t="s">
        <v>133</v>
      </c>
      <c r="BB193" s="417" t="s">
        <v>134</v>
      </c>
      <c r="BC193" s="417" t="s">
        <v>135</v>
      </c>
      <c r="BD193" s="417" t="s">
        <v>136</v>
      </c>
      <c r="BE193" s="417" t="s">
        <v>137</v>
      </c>
      <c r="BF193" s="417" t="s">
        <v>138</v>
      </c>
      <c r="BG193" s="417" t="s">
        <v>139</v>
      </c>
      <c r="BH193" s="417" t="s">
        <v>140</v>
      </c>
      <c r="BI193" s="418" t="s">
        <v>177</v>
      </c>
      <c r="BJ193" s="24"/>
      <c r="BK193" s="24"/>
      <c r="BL193" s="24"/>
      <c r="BM193" s="24"/>
      <c r="BN193" s="24"/>
      <c r="BO193" s="24"/>
      <c r="BP193" s="24"/>
      <c r="BQ193" s="24"/>
      <c r="BR193" s="24"/>
      <c r="BS193" s="24"/>
      <c r="BT193" s="24"/>
      <c r="BU193" s="24"/>
      <c r="BV193" s="24"/>
      <c r="BW193" s="24"/>
      <c r="BX193" s="24"/>
      <c r="BY193" s="24"/>
      <c r="BZ193" s="24"/>
      <c r="CA193" s="24"/>
      <c r="CB193" s="24"/>
      <c r="CC193" s="24"/>
      <c r="CD193" s="24"/>
      <c r="CE193" s="24"/>
      <c r="CF193" s="24"/>
      <c r="CG193" s="24"/>
      <c r="CH193" s="24"/>
      <c r="CI193" s="24"/>
      <c r="CJ193" s="24"/>
      <c r="CK193" s="24"/>
      <c r="CL193" s="24"/>
      <c r="CM193" s="24"/>
      <c r="CN193" s="24"/>
      <c r="CO193" s="24"/>
      <c r="CP193" s="24"/>
      <c r="CQ193" s="24"/>
      <c r="CR193" s="24"/>
      <c r="CS193" s="24"/>
      <c r="CT193" s="24"/>
      <c r="CU193" s="24"/>
      <c r="CV193" s="24"/>
      <c r="CW193" s="24"/>
      <c r="CX193" s="24"/>
      <c r="CY193" s="24"/>
      <c r="CZ193" s="24"/>
      <c r="DA193" s="24"/>
      <c r="DB193" s="24"/>
      <c r="DC193" s="24"/>
      <c r="DD193" s="24"/>
      <c r="DE193" s="24"/>
      <c r="DF193" s="24"/>
      <c r="DG193" s="24"/>
      <c r="DH193" s="24"/>
      <c r="DI193" s="24"/>
      <c r="DJ193" s="24"/>
      <c r="DK193" s="24"/>
      <c r="DL193" s="24"/>
      <c r="DM193" s="24"/>
      <c r="DN193" s="24"/>
      <c r="DO193" s="24"/>
      <c r="DP193" s="24"/>
      <c r="DQ193" s="24"/>
      <c r="DR193" s="24"/>
      <c r="DS193" s="24"/>
      <c r="DT193" s="24"/>
      <c r="DU193" s="24"/>
    </row>
    <row r="194">
      <c r="B194" s="405">
        <v>6.0</v>
      </c>
      <c r="C194" s="407">
        <f t="shared" ref="C194:AD194" si="68">C163-C66</f>
        <v>-0.008284143753</v>
      </c>
      <c r="D194" s="407">
        <f t="shared" si="68"/>
        <v>-0.0005318991936</v>
      </c>
      <c r="E194" s="407">
        <f t="shared" si="68"/>
        <v>-0.0003493500584</v>
      </c>
      <c r="F194" s="407">
        <f t="shared" si="68"/>
        <v>-0.001463534456</v>
      </c>
      <c r="G194" s="407">
        <f t="shared" si="68"/>
        <v>-0.0002707628894</v>
      </c>
      <c r="H194" s="407">
        <f t="shared" si="68"/>
        <v>0.8831875994</v>
      </c>
      <c r="I194" s="407">
        <f t="shared" si="68"/>
        <v>-0.0004784396923</v>
      </c>
      <c r="J194" s="407">
        <f t="shared" si="68"/>
        <v>-0.001088890017</v>
      </c>
      <c r="K194" s="407">
        <f t="shared" si="68"/>
        <v>-0.0005432974908</v>
      </c>
      <c r="L194" s="407">
        <f t="shared" si="68"/>
        <v>-0.001275448994</v>
      </c>
      <c r="M194" s="407">
        <f t="shared" si="68"/>
        <v>-0.003178641506</v>
      </c>
      <c r="N194" s="407">
        <f t="shared" si="68"/>
        <v>-0.1176442688</v>
      </c>
      <c r="O194" s="407">
        <f t="shared" si="68"/>
        <v>-0.0009629858831</v>
      </c>
      <c r="P194" s="407">
        <f t="shared" si="68"/>
        <v>-0.0007404438202</v>
      </c>
      <c r="Q194" s="407">
        <f t="shared" si="68"/>
        <v>-0.0000003979556871</v>
      </c>
      <c r="R194" s="407">
        <f t="shared" si="68"/>
        <v>-0.0000007069906092</v>
      </c>
      <c r="S194" s="407">
        <f t="shared" si="68"/>
        <v>-0.000001202087092</v>
      </c>
      <c r="T194" s="407">
        <f t="shared" si="68"/>
        <v>-0.000001725973993</v>
      </c>
      <c r="U194" s="407">
        <f t="shared" si="68"/>
        <v>-0.0000003409264829</v>
      </c>
      <c r="V194" s="407">
        <f t="shared" si="68"/>
        <v>-0.000009502297926</v>
      </c>
      <c r="W194" s="407">
        <f t="shared" si="68"/>
        <v>-0.0000002610553992</v>
      </c>
      <c r="X194" s="407">
        <f t="shared" si="68"/>
        <v>-0.000000558685746</v>
      </c>
      <c r="Y194" s="407">
        <f t="shared" si="68"/>
        <v>-0.0000004733111172</v>
      </c>
      <c r="Z194" s="407">
        <f t="shared" si="68"/>
        <v>-0.0000004068935369</v>
      </c>
      <c r="AA194" s="407">
        <f t="shared" si="68"/>
        <v>-0.0000002110993509</v>
      </c>
      <c r="AB194" s="407">
        <f t="shared" si="68"/>
        <v>-0.00001272012088</v>
      </c>
      <c r="AC194" s="407">
        <f t="shared" si="68"/>
        <v>-0.0000008312442376</v>
      </c>
      <c r="AD194" s="407">
        <f t="shared" si="68"/>
        <v>-0.0000002051007055</v>
      </c>
      <c r="AF194" s="262" t="s">
        <v>143</v>
      </c>
      <c r="AG194" s="420">
        <f t="array" ref="AG194:BH221">MMULT(MMULT($AG$125:$BH$152,$C$220:$AD$247),$C$282:$AD$309)</f>
        <v>357797886</v>
      </c>
      <c r="AH194" s="420">
        <v>1.308044570058112E8</v>
      </c>
      <c r="AI194" s="420">
        <v>1.1001619003728447E7</v>
      </c>
      <c r="AJ194" s="420">
        <v>1.0137307423417274E7</v>
      </c>
      <c r="AK194" s="420">
        <v>2.8995119430998273E7</v>
      </c>
      <c r="AL194" s="420">
        <v>950.783460573386</v>
      </c>
      <c r="AM194" s="420">
        <v>36654.675932077655</v>
      </c>
      <c r="AN194" s="420">
        <v>4405415.547865987</v>
      </c>
      <c r="AO194" s="420">
        <v>25469.72446322645</v>
      </c>
      <c r="AP194" s="420">
        <v>1894505.9601178847</v>
      </c>
      <c r="AQ194" s="420">
        <v>588301.818101023</v>
      </c>
      <c r="AR194" s="420">
        <v>2106.371177336145</v>
      </c>
      <c r="AS194" s="420">
        <v>91.55667988083778</v>
      </c>
      <c r="AT194" s="420">
        <v>5064254.22430306</v>
      </c>
      <c r="AU194" s="420">
        <v>11260.049697879507</v>
      </c>
      <c r="AV194" s="420">
        <v>37770.605786773995</v>
      </c>
      <c r="AW194" s="420">
        <v>13934.748932905968</v>
      </c>
      <c r="AX194" s="420">
        <v>39435.818531801735</v>
      </c>
      <c r="AY194" s="420">
        <v>382762.71640025027</v>
      </c>
      <c r="AZ194" s="420">
        <v>335.01314123668374</v>
      </c>
      <c r="BA194" s="420">
        <v>913.9389084127243</v>
      </c>
      <c r="BB194" s="420">
        <v>293170.1267824915</v>
      </c>
      <c r="BC194" s="420">
        <v>491.4749941019147</v>
      </c>
      <c r="BD194" s="420">
        <v>27540.34772908527</v>
      </c>
      <c r="BE194" s="420">
        <v>9826.388373522306</v>
      </c>
      <c r="BF194" s="420">
        <v>77.83419225076105</v>
      </c>
      <c r="BG194" s="420">
        <v>26.82469413371137</v>
      </c>
      <c r="BH194" s="420">
        <v>255.9763086187582</v>
      </c>
      <c r="BI194" s="406">
        <f t="shared" ref="BI194:BI221" si="70">SUM($AG194:$BH194)</f>
        <v>551571941.4</v>
      </c>
      <c r="BJ194" s="24"/>
      <c r="BK194" s="24"/>
      <c r="BL194" s="24"/>
      <c r="BM194" s="24"/>
      <c r="BN194" s="24"/>
      <c r="BO194" s="24"/>
      <c r="BP194" s="24"/>
      <c r="BQ194" s="24"/>
      <c r="BR194" s="24"/>
      <c r="BS194" s="24"/>
      <c r="BT194" s="24"/>
      <c r="BU194" s="24"/>
      <c r="BV194" s="24"/>
      <c r="BW194" s="24"/>
      <c r="BX194" s="24"/>
      <c r="BY194" s="24"/>
      <c r="BZ194" s="24"/>
      <c r="CA194" s="24"/>
      <c r="CB194" s="24"/>
      <c r="CC194" s="24"/>
      <c r="CD194" s="24"/>
      <c r="CE194" s="24"/>
      <c r="CF194" s="24"/>
      <c r="CG194" s="24"/>
      <c r="CH194" s="24"/>
      <c r="CI194" s="24"/>
      <c r="CJ194" s="24"/>
      <c r="CK194" s="24"/>
      <c r="CL194" s="24"/>
      <c r="CM194" s="24"/>
      <c r="CN194" s="24"/>
      <c r="CO194" s="24"/>
      <c r="CP194" s="24"/>
      <c r="CQ194" s="24"/>
      <c r="CR194" s="24"/>
      <c r="CS194" s="24"/>
      <c r="CT194" s="24"/>
      <c r="CU194" s="24"/>
      <c r="CV194" s="24"/>
      <c r="CW194" s="24"/>
      <c r="CX194" s="24"/>
      <c r="CY194" s="24"/>
      <c r="CZ194" s="24"/>
      <c r="DA194" s="24"/>
      <c r="DB194" s="24"/>
      <c r="DC194" s="24"/>
      <c r="DD194" s="24"/>
      <c r="DE194" s="24"/>
      <c r="DF194" s="24"/>
      <c r="DG194" s="24"/>
      <c r="DH194" s="24"/>
      <c r="DI194" s="24"/>
      <c r="DJ194" s="24"/>
      <c r="DK194" s="24"/>
      <c r="DL194" s="24"/>
      <c r="DM194" s="24"/>
      <c r="DN194" s="24"/>
      <c r="DO194" s="24"/>
      <c r="DP194" s="24"/>
      <c r="DQ194" s="24"/>
      <c r="DR194" s="24"/>
      <c r="DS194" s="24"/>
      <c r="DT194" s="24"/>
      <c r="DU194" s="24"/>
    </row>
    <row r="195">
      <c r="B195" s="405">
        <v>7.0</v>
      </c>
      <c r="C195" s="407">
        <f t="shared" ref="C195:AD195" si="69">C164-C67</f>
        <v>-0.01119028126</v>
      </c>
      <c r="D195" s="407">
        <f t="shared" si="69"/>
        <v>-0.00398957399</v>
      </c>
      <c r="E195" s="407">
        <f t="shared" si="69"/>
        <v>-0.004117118719</v>
      </c>
      <c r="F195" s="407">
        <f t="shared" si="69"/>
        <v>-0.002080568989</v>
      </c>
      <c r="G195" s="407">
        <f t="shared" si="69"/>
        <v>-0.0007304179932</v>
      </c>
      <c r="H195" s="407">
        <f t="shared" si="69"/>
        <v>-0.00962998526</v>
      </c>
      <c r="I195" s="407">
        <f t="shared" si="69"/>
        <v>0.8520161584</v>
      </c>
      <c r="J195" s="407">
        <f t="shared" si="69"/>
        <v>-0.00851525761</v>
      </c>
      <c r="K195" s="407">
        <f t="shared" si="69"/>
        <v>-0.03577682475</v>
      </c>
      <c r="L195" s="407">
        <f t="shared" si="69"/>
        <v>-0.003533482337</v>
      </c>
      <c r="M195" s="407">
        <f t="shared" si="69"/>
        <v>-0.00102889746</v>
      </c>
      <c r="N195" s="407">
        <f t="shared" si="69"/>
        <v>-0.009194256168</v>
      </c>
      <c r="O195" s="407">
        <f t="shared" si="69"/>
        <v>-0.001512689652</v>
      </c>
      <c r="P195" s="407">
        <f t="shared" si="69"/>
        <v>-0.005177985887</v>
      </c>
      <c r="Q195" s="407">
        <f t="shared" si="69"/>
        <v>-0.00002698646091</v>
      </c>
      <c r="R195" s="407">
        <f t="shared" si="69"/>
        <v>-0.00001515704962</v>
      </c>
      <c r="S195" s="407">
        <f t="shared" si="69"/>
        <v>-0.000009383902673</v>
      </c>
      <c r="T195" s="407">
        <f t="shared" si="69"/>
        <v>-0.00001651818035</v>
      </c>
      <c r="U195" s="407">
        <f t="shared" si="69"/>
        <v>-0.00001081581036</v>
      </c>
      <c r="V195" s="407">
        <f t="shared" si="69"/>
        <v>-0.00001585999963</v>
      </c>
      <c r="W195" s="407">
        <f t="shared" si="69"/>
        <v>-0.00000465460952</v>
      </c>
      <c r="X195" s="407">
        <f t="shared" si="69"/>
        <v>-0.00001144233266</v>
      </c>
      <c r="Y195" s="407">
        <f t="shared" si="69"/>
        <v>-0.000009702573279</v>
      </c>
      <c r="Z195" s="407">
        <f t="shared" si="69"/>
        <v>-0.00000713019244</v>
      </c>
      <c r="AA195" s="407">
        <f t="shared" si="69"/>
        <v>-0.000001506222733</v>
      </c>
      <c r="AB195" s="407">
        <f t="shared" si="69"/>
        <v>-0.00002251525592</v>
      </c>
      <c r="AC195" s="407">
        <f t="shared" si="69"/>
        <v>-0.00001186122907</v>
      </c>
      <c r="AD195" s="407">
        <f t="shared" si="69"/>
        <v>-0.0000140155166</v>
      </c>
      <c r="AF195" s="262" t="s">
        <v>144</v>
      </c>
      <c r="AG195" s="420">
        <v>11028.163717799913</v>
      </c>
      <c r="AH195" s="420">
        <v>1.6905984462558794E8</v>
      </c>
      <c r="AI195" s="420">
        <v>548842.6558745045</v>
      </c>
      <c r="AJ195" s="420">
        <v>629687.1886545226</v>
      </c>
      <c r="AK195" s="420">
        <v>8493521.11955335</v>
      </c>
      <c r="AL195" s="420">
        <v>567.4614477598216</v>
      </c>
      <c r="AM195" s="420">
        <v>6310.620720134097</v>
      </c>
      <c r="AN195" s="420">
        <v>482863.9040361144</v>
      </c>
      <c r="AO195" s="420">
        <v>1654.1915903907195</v>
      </c>
      <c r="AP195" s="420">
        <v>279172.4178301355</v>
      </c>
      <c r="AQ195" s="420">
        <v>146376.29865724145</v>
      </c>
      <c r="AR195" s="420">
        <v>1275.6328239751354</v>
      </c>
      <c r="AS195" s="420">
        <v>15.440869386411109</v>
      </c>
      <c r="AT195" s="420">
        <v>1793506.8476664766</v>
      </c>
      <c r="AU195" s="420">
        <v>740.4473569040165</v>
      </c>
      <c r="AV195" s="420">
        <v>5242.012319002897</v>
      </c>
      <c r="AW195" s="420">
        <v>925.5548535924411</v>
      </c>
      <c r="AX195" s="420">
        <v>4224.4821489949345</v>
      </c>
      <c r="AY195" s="420">
        <v>31663.038804553897</v>
      </c>
      <c r="AZ195" s="420">
        <v>46.09837467805924</v>
      </c>
      <c r="BA195" s="420">
        <v>167.0179767944933</v>
      </c>
      <c r="BB195" s="420">
        <v>43543.61306490313</v>
      </c>
      <c r="BC195" s="420">
        <v>88.83574768742973</v>
      </c>
      <c r="BD195" s="420">
        <v>6394.82182194287</v>
      </c>
      <c r="BE195" s="420">
        <v>1690.0759972674978</v>
      </c>
      <c r="BF195" s="420">
        <v>20.298676775603045</v>
      </c>
      <c r="BG195" s="420">
        <v>5.185989467057079</v>
      </c>
      <c r="BH195" s="420">
        <v>95.43279048568554</v>
      </c>
      <c r="BI195" s="406">
        <f t="shared" si="70"/>
        <v>181549513.5</v>
      </c>
      <c r="BJ195" s="24"/>
      <c r="BK195" s="24"/>
      <c r="BL195" s="24"/>
      <c r="BM195" s="24"/>
      <c r="BN195" s="24"/>
      <c r="BO195" s="24"/>
      <c r="BP195" s="24"/>
      <c r="BQ195" s="24"/>
      <c r="BR195" s="24"/>
      <c r="BS195" s="24"/>
      <c r="BT195" s="24"/>
      <c r="BU195" s="24"/>
      <c r="BV195" s="24"/>
      <c r="BW195" s="24"/>
      <c r="BX195" s="24"/>
      <c r="BY195" s="24"/>
      <c r="BZ195" s="24"/>
      <c r="CA195" s="24"/>
      <c r="CB195" s="24"/>
      <c r="CC195" s="24"/>
      <c r="CD195" s="24"/>
      <c r="CE195" s="24"/>
      <c r="CF195" s="24"/>
      <c r="CG195" s="24"/>
      <c r="CH195" s="24"/>
      <c r="CI195" s="24"/>
      <c r="CJ195" s="24"/>
      <c r="CK195" s="24"/>
      <c r="CL195" s="24"/>
      <c r="CM195" s="24"/>
      <c r="CN195" s="24"/>
      <c r="CO195" s="24"/>
      <c r="CP195" s="24"/>
      <c r="CQ195" s="24"/>
      <c r="CR195" s="24"/>
      <c r="CS195" s="24"/>
      <c r="CT195" s="24"/>
      <c r="CU195" s="24"/>
      <c r="CV195" s="24"/>
      <c r="CW195" s="24"/>
      <c r="CX195" s="24"/>
      <c r="CY195" s="24"/>
      <c r="CZ195" s="24"/>
      <c r="DA195" s="24"/>
      <c r="DB195" s="24"/>
      <c r="DC195" s="24"/>
      <c r="DD195" s="24"/>
      <c r="DE195" s="24"/>
      <c r="DF195" s="24"/>
      <c r="DG195" s="24"/>
      <c r="DH195" s="24"/>
      <c r="DI195" s="24"/>
      <c r="DJ195" s="24"/>
      <c r="DK195" s="24"/>
      <c r="DL195" s="24"/>
      <c r="DM195" s="24"/>
      <c r="DN195" s="24"/>
      <c r="DO195" s="24"/>
      <c r="DP195" s="24"/>
      <c r="DQ195" s="24"/>
      <c r="DR195" s="24"/>
      <c r="DS195" s="24"/>
      <c r="DT195" s="24"/>
      <c r="DU195" s="24"/>
    </row>
    <row r="196">
      <c r="B196" s="405">
        <v>8.0</v>
      </c>
      <c r="C196" s="407">
        <f t="shared" ref="C196:AD196" si="71">C165-C68</f>
        <v>-0.1033839698</v>
      </c>
      <c r="D196" s="407">
        <f t="shared" si="71"/>
        <v>-0.07898955508</v>
      </c>
      <c r="E196" s="407">
        <f t="shared" si="71"/>
        <v>-0.07654402043</v>
      </c>
      <c r="F196" s="407">
        <f t="shared" si="71"/>
        <v>-0.05264155731</v>
      </c>
      <c r="G196" s="407">
        <f t="shared" si="71"/>
        <v>-0.01689777701</v>
      </c>
      <c r="H196" s="407">
        <f t="shared" si="71"/>
        <v>-0.06152725518</v>
      </c>
      <c r="I196" s="407">
        <f t="shared" si="71"/>
        <v>-0.06117672938</v>
      </c>
      <c r="J196" s="407">
        <f t="shared" si="71"/>
        <v>0.7854318672</v>
      </c>
      <c r="K196" s="407">
        <f t="shared" si="71"/>
        <v>-0.01416511115</v>
      </c>
      <c r="L196" s="407">
        <f t="shared" si="71"/>
        <v>-0.05189795929</v>
      </c>
      <c r="M196" s="407">
        <f t="shared" si="71"/>
        <v>-0.07317529979</v>
      </c>
      <c r="N196" s="407">
        <f t="shared" si="71"/>
        <v>-0.055150236</v>
      </c>
      <c r="O196" s="407">
        <f t="shared" si="71"/>
        <v>-0.2347645061</v>
      </c>
      <c r="P196" s="407">
        <f t="shared" si="71"/>
        <v>-0.03986965314</v>
      </c>
      <c r="Q196" s="407">
        <f t="shared" si="71"/>
        <v>-0.0001444953256</v>
      </c>
      <c r="R196" s="407">
        <f t="shared" si="71"/>
        <v>-0.0003943667703</v>
      </c>
      <c r="S196" s="407">
        <f t="shared" si="71"/>
        <v>-0.000160572855</v>
      </c>
      <c r="T196" s="407">
        <f t="shared" si="71"/>
        <v>-0.0002760582184</v>
      </c>
      <c r="U196" s="407">
        <f t="shared" si="71"/>
        <v>-0.0001780859859</v>
      </c>
      <c r="V196" s="407">
        <f t="shared" si="71"/>
        <v>-0.000328689134</v>
      </c>
      <c r="W196" s="407">
        <f t="shared" si="71"/>
        <v>-0.0001187175615</v>
      </c>
      <c r="X196" s="407">
        <f t="shared" si="71"/>
        <v>-0.0009988308393</v>
      </c>
      <c r="Y196" s="407">
        <f t="shared" si="71"/>
        <v>-0.0003314528152</v>
      </c>
      <c r="Z196" s="407">
        <f t="shared" si="71"/>
        <v>-0.0001576300669</v>
      </c>
      <c r="AA196" s="407">
        <f t="shared" si="71"/>
        <v>-0.00008563723393</v>
      </c>
      <c r="AB196" s="407">
        <f t="shared" si="71"/>
        <v>-0.0004364229789</v>
      </c>
      <c r="AC196" s="407">
        <f t="shared" si="71"/>
        <v>-0.0001639265803</v>
      </c>
      <c r="AD196" s="407">
        <f t="shared" si="71"/>
        <v>-0.00006354847507</v>
      </c>
      <c r="AF196" s="262" t="s">
        <v>145</v>
      </c>
      <c r="AG196" s="420">
        <v>553486.9864672698</v>
      </c>
      <c r="AH196" s="420">
        <v>3215328.0296814735</v>
      </c>
      <c r="AI196" s="420">
        <v>4.4531755745382935E8</v>
      </c>
      <c r="AJ196" s="420">
        <v>3.995760915320597E8</v>
      </c>
      <c r="AK196" s="420">
        <v>8670211.429393172</v>
      </c>
      <c r="AL196" s="420">
        <v>7443.457109112591</v>
      </c>
      <c r="AM196" s="420">
        <v>380105.6659663502</v>
      </c>
      <c r="AN196" s="420">
        <v>1.7778063831600577E7</v>
      </c>
      <c r="AO196" s="420">
        <v>903232.9743974883</v>
      </c>
      <c r="AP196" s="420">
        <v>3.428926036726162E7</v>
      </c>
      <c r="AQ196" s="420">
        <v>3815974.4866668843</v>
      </c>
      <c r="AR196" s="420">
        <v>16288.009659311072</v>
      </c>
      <c r="AS196" s="420">
        <v>824.8433253060844</v>
      </c>
      <c r="AT196" s="420">
        <v>1.6018932236608023E7</v>
      </c>
      <c r="AU196" s="420">
        <v>11029.83805629928</v>
      </c>
      <c r="AV196" s="420">
        <v>16787.37367534691</v>
      </c>
      <c r="AW196" s="420">
        <v>5473.768693564915</v>
      </c>
      <c r="AX196" s="420">
        <v>149704.46340928794</v>
      </c>
      <c r="AY196" s="420">
        <v>199124.29958057113</v>
      </c>
      <c r="AZ196" s="420">
        <v>1251.9384870217323</v>
      </c>
      <c r="BA196" s="420">
        <v>1424.7989726595197</v>
      </c>
      <c r="BB196" s="420">
        <v>735574.8881388763</v>
      </c>
      <c r="BC196" s="420">
        <v>1460.787245037521</v>
      </c>
      <c r="BD196" s="420">
        <v>78323.90667828957</v>
      </c>
      <c r="BE196" s="420">
        <v>17074.646762249624</v>
      </c>
      <c r="BF196" s="420">
        <v>290.26436285009777</v>
      </c>
      <c r="BG196" s="420">
        <v>66.56608728912937</v>
      </c>
      <c r="BH196" s="420">
        <v>328.5705686035673</v>
      </c>
      <c r="BI196" s="406">
        <f t="shared" si="70"/>
        <v>931760717.4</v>
      </c>
      <c r="BJ196" s="24"/>
      <c r="BK196" s="24"/>
      <c r="BL196" s="24"/>
      <c r="BM196" s="24"/>
      <c r="BN196" s="24"/>
      <c r="BO196" s="24"/>
      <c r="BP196" s="24"/>
      <c r="BQ196" s="24"/>
      <c r="BR196" s="24"/>
      <c r="BS196" s="24"/>
      <c r="BT196" s="24"/>
      <c r="BU196" s="24"/>
      <c r="BV196" s="24"/>
      <c r="BW196" s="24"/>
      <c r="BX196" s="24"/>
      <c r="BY196" s="24"/>
      <c r="BZ196" s="24"/>
      <c r="CA196" s="24"/>
      <c r="CB196" s="24"/>
      <c r="CC196" s="24"/>
      <c r="CD196" s="24"/>
      <c r="CE196" s="24"/>
      <c r="CF196" s="24"/>
      <c r="CG196" s="24"/>
      <c r="CH196" s="24"/>
      <c r="CI196" s="24"/>
      <c r="CJ196" s="24"/>
      <c r="CK196" s="24"/>
      <c r="CL196" s="24"/>
      <c r="CM196" s="24"/>
      <c r="CN196" s="24"/>
      <c r="CO196" s="24"/>
      <c r="CP196" s="24"/>
      <c r="CQ196" s="24"/>
      <c r="CR196" s="24"/>
      <c r="CS196" s="24"/>
      <c r="CT196" s="24"/>
      <c r="CU196" s="24"/>
      <c r="CV196" s="24"/>
      <c r="CW196" s="24"/>
      <c r="CX196" s="24"/>
      <c r="CY196" s="24"/>
      <c r="CZ196" s="24"/>
      <c r="DA196" s="24"/>
      <c r="DB196" s="24"/>
      <c r="DC196" s="24"/>
      <c r="DD196" s="24"/>
      <c r="DE196" s="24"/>
      <c r="DF196" s="24"/>
      <c r="DG196" s="24"/>
      <c r="DH196" s="24"/>
      <c r="DI196" s="24"/>
      <c r="DJ196" s="24"/>
      <c r="DK196" s="24"/>
      <c r="DL196" s="24"/>
      <c r="DM196" s="24"/>
      <c r="DN196" s="24"/>
      <c r="DO196" s="24"/>
      <c r="DP196" s="24"/>
      <c r="DQ196" s="24"/>
      <c r="DR196" s="24"/>
      <c r="DS196" s="24"/>
      <c r="DT196" s="24"/>
      <c r="DU196" s="24"/>
    </row>
    <row r="197">
      <c r="B197" s="405">
        <v>9.0</v>
      </c>
      <c r="C197" s="407">
        <f t="shared" ref="C197:AD197" si="72">C166-C69</f>
        <v>-0.001095243022</v>
      </c>
      <c r="D197" s="407">
        <f t="shared" si="72"/>
        <v>-0.00002533643022</v>
      </c>
      <c r="E197" s="407">
        <f t="shared" si="72"/>
        <v>-0.0109373251</v>
      </c>
      <c r="F197" s="407">
        <f t="shared" si="72"/>
        <v>-0.00002306210151</v>
      </c>
      <c r="G197" s="407">
        <f t="shared" si="72"/>
        <v>-0.003544593375</v>
      </c>
      <c r="H197" s="407">
        <f t="shared" si="72"/>
        <v>-0.0008495480386</v>
      </c>
      <c r="I197" s="407">
        <f t="shared" si="72"/>
        <v>-0.00004407525639</v>
      </c>
      <c r="J197" s="407">
        <f t="shared" si="72"/>
        <v>-0.00005693668942</v>
      </c>
      <c r="K197" s="407">
        <f t="shared" si="72"/>
        <v>0.9999903398</v>
      </c>
      <c r="L197" s="407">
        <f t="shared" si="72"/>
        <v>-0.00003392850934</v>
      </c>
      <c r="M197" s="407">
        <f t="shared" si="72"/>
        <v>-0.00007818999809</v>
      </c>
      <c r="N197" s="407">
        <f t="shared" si="72"/>
        <v>-0.0008408567475</v>
      </c>
      <c r="O197" s="407">
        <f t="shared" si="72"/>
        <v>-0.00002844300108</v>
      </c>
      <c r="P197" s="407">
        <f t="shared" si="72"/>
        <v>-0.002007898539</v>
      </c>
      <c r="Q197" s="407">
        <f t="shared" si="72"/>
        <v>-0.000006872153649</v>
      </c>
      <c r="R197" s="407">
        <f t="shared" si="72"/>
        <v>-0.000001347622351</v>
      </c>
      <c r="S197" s="407">
        <f t="shared" si="72"/>
        <v>-0.00000628860881</v>
      </c>
      <c r="T197" s="407">
        <f t="shared" si="72"/>
        <v>-0.000002126624423</v>
      </c>
      <c r="U197" s="407">
        <f t="shared" si="72"/>
        <v>-0.0000255790716</v>
      </c>
      <c r="V197" s="407">
        <f t="shared" si="72"/>
        <v>-0.0000004998051968</v>
      </c>
      <c r="W197" s="407">
        <f t="shared" si="72"/>
        <v>-0.0000001335893958</v>
      </c>
      <c r="X197" s="407">
        <f t="shared" si="72"/>
        <v>-0.0000008697865054</v>
      </c>
      <c r="Y197" s="407">
        <f t="shared" si="72"/>
        <v>-0.0000007979205431</v>
      </c>
      <c r="Z197" s="407">
        <f t="shared" si="72"/>
        <v>-0.0000002390440643</v>
      </c>
      <c r="AA197" s="407">
        <f t="shared" si="72"/>
        <v>-0.0000002200517112</v>
      </c>
      <c r="AB197" s="407">
        <f t="shared" si="72"/>
        <v>-0.000000369093157</v>
      </c>
      <c r="AC197" s="407">
        <f t="shared" si="72"/>
        <v>-0.00000005419565401</v>
      </c>
      <c r="AD197" s="407">
        <f t="shared" si="72"/>
        <v>-0.000003137712843</v>
      </c>
      <c r="AF197" s="262" t="s">
        <v>146</v>
      </c>
      <c r="AG197" s="420">
        <v>59186.04373964577</v>
      </c>
      <c r="AH197" s="420">
        <v>270744.7960075449</v>
      </c>
      <c r="AI197" s="420">
        <v>249256.46838390877</v>
      </c>
      <c r="AJ197" s="420">
        <v>1.5259354743117538E8</v>
      </c>
      <c r="AK197" s="420">
        <v>273035.79880163586</v>
      </c>
      <c r="AL197" s="420">
        <v>629.0945202487239</v>
      </c>
      <c r="AM197" s="420">
        <v>24618.298954489375</v>
      </c>
      <c r="AN197" s="420">
        <v>1495187.219866349</v>
      </c>
      <c r="AO197" s="420">
        <v>4735.013978049562</v>
      </c>
      <c r="AP197" s="420">
        <v>647780.1081085106</v>
      </c>
      <c r="AQ197" s="420">
        <v>604263.4202500759</v>
      </c>
      <c r="AR197" s="420">
        <v>1422.1779873961978</v>
      </c>
      <c r="AS197" s="420">
        <v>60.10096764918873</v>
      </c>
      <c r="AT197" s="420">
        <v>2756954.8514031842</v>
      </c>
      <c r="AU197" s="420">
        <v>1321.288208925816</v>
      </c>
      <c r="AV197" s="420">
        <v>1779.641352170036</v>
      </c>
      <c r="AW197" s="420">
        <v>674.6898347082238</v>
      </c>
      <c r="AX197" s="420">
        <v>24676.80576748479</v>
      </c>
      <c r="AY197" s="420">
        <v>36458.11258398928</v>
      </c>
      <c r="AZ197" s="420">
        <v>82.32271699154043</v>
      </c>
      <c r="BA197" s="420">
        <v>201.0620678769248</v>
      </c>
      <c r="BB197" s="420">
        <v>68210.87579016898</v>
      </c>
      <c r="BC197" s="420">
        <v>85.03607691738779</v>
      </c>
      <c r="BD197" s="420">
        <v>8069.901273188835</v>
      </c>
      <c r="BE197" s="420">
        <v>2235.374346929275</v>
      </c>
      <c r="BF197" s="420">
        <v>16.074730279028945</v>
      </c>
      <c r="BG197" s="420">
        <v>7.213920215595518</v>
      </c>
      <c r="BH197" s="420">
        <v>73.58246418104572</v>
      </c>
      <c r="BI197" s="406">
        <f t="shared" si="70"/>
        <v>159125312.8</v>
      </c>
      <c r="BJ197" s="24"/>
      <c r="BK197" s="24"/>
      <c r="BL197" s="24"/>
      <c r="BM197" s="24"/>
      <c r="BN197" s="24"/>
      <c r="BO197" s="24"/>
      <c r="BP197" s="24"/>
      <c r="BQ197" s="24"/>
      <c r="BR197" s="24"/>
      <c r="BS197" s="24"/>
      <c r="BT197" s="24"/>
      <c r="BU197" s="24"/>
      <c r="BV197" s="24"/>
      <c r="BW197" s="24"/>
      <c r="BX197" s="24"/>
      <c r="BY197" s="24"/>
      <c r="BZ197" s="24"/>
      <c r="CA197" s="24"/>
      <c r="CB197" s="24"/>
      <c r="CC197" s="24"/>
      <c r="CD197" s="24"/>
      <c r="CE197" s="24"/>
      <c r="CF197" s="24"/>
      <c r="CG197" s="24"/>
      <c r="CH197" s="24"/>
      <c r="CI197" s="24"/>
      <c r="CJ197" s="24"/>
      <c r="CK197" s="24"/>
      <c r="CL197" s="24"/>
      <c r="CM197" s="24"/>
      <c r="CN197" s="24"/>
      <c r="CO197" s="24"/>
      <c r="CP197" s="24"/>
      <c r="CQ197" s="24"/>
      <c r="CR197" s="24"/>
      <c r="CS197" s="24"/>
      <c r="CT197" s="24"/>
      <c r="CU197" s="24"/>
      <c r="CV197" s="24"/>
      <c r="CW197" s="24"/>
      <c r="CX197" s="24"/>
      <c r="CY197" s="24"/>
      <c r="CZ197" s="24"/>
      <c r="DA197" s="24"/>
      <c r="DB197" s="24"/>
      <c r="DC197" s="24"/>
      <c r="DD197" s="24"/>
      <c r="DE197" s="24"/>
      <c r="DF197" s="24"/>
      <c r="DG197" s="24"/>
      <c r="DH197" s="24"/>
      <c r="DI197" s="24"/>
      <c r="DJ197" s="24"/>
      <c r="DK197" s="24"/>
      <c r="DL197" s="24"/>
      <c r="DM197" s="24"/>
      <c r="DN197" s="24"/>
      <c r="DO197" s="24"/>
      <c r="DP197" s="24"/>
      <c r="DQ197" s="24"/>
      <c r="DR197" s="24"/>
      <c r="DS197" s="24"/>
      <c r="DT197" s="24"/>
      <c r="DU197" s="24"/>
    </row>
    <row r="198">
      <c r="B198" s="405">
        <v>10.0</v>
      </c>
      <c r="C198" s="407">
        <f t="shared" ref="C198:AD198" si="73">C167-C70</f>
        <v>-0.06012214579</v>
      </c>
      <c r="D198" s="407">
        <f t="shared" si="73"/>
        <v>-0.090145024</v>
      </c>
      <c r="E198" s="407">
        <f t="shared" si="73"/>
        <v>-0.04932078171</v>
      </c>
      <c r="F198" s="407">
        <f t="shared" si="73"/>
        <v>-0.09649298683</v>
      </c>
      <c r="G198" s="407">
        <f t="shared" si="73"/>
        <v>-0.03261731903</v>
      </c>
      <c r="H198" s="407">
        <f t="shared" si="73"/>
        <v>-0.05636567406</v>
      </c>
      <c r="I198" s="407">
        <f t="shared" si="73"/>
        <v>-0.06723091595</v>
      </c>
      <c r="J198" s="407">
        <f t="shared" si="73"/>
        <v>-0.05221220656</v>
      </c>
      <c r="K198" s="407">
        <f t="shared" si="73"/>
        <v>-0.06350246279</v>
      </c>
      <c r="L198" s="407">
        <f t="shared" si="73"/>
        <v>0.8757431109</v>
      </c>
      <c r="M198" s="407">
        <f t="shared" si="73"/>
        <v>-0.03825379817</v>
      </c>
      <c r="N198" s="407">
        <f t="shared" si="73"/>
        <v>-0.0499726769</v>
      </c>
      <c r="O198" s="407">
        <f t="shared" si="73"/>
        <v>-0.05150614985</v>
      </c>
      <c r="P198" s="407">
        <f t="shared" si="73"/>
        <v>-0.05433464672</v>
      </c>
      <c r="Q198" s="407">
        <f t="shared" si="73"/>
        <v>-0.0001106797917</v>
      </c>
      <c r="R198" s="407">
        <f t="shared" si="73"/>
        <v>-0.0003641035176</v>
      </c>
      <c r="S198" s="407">
        <f t="shared" si="73"/>
        <v>-0.0001545946942</v>
      </c>
      <c r="T198" s="407">
        <f t="shared" si="73"/>
        <v>-0.0002768770885</v>
      </c>
      <c r="U198" s="407">
        <f t="shared" si="73"/>
        <v>-0.0001584387748</v>
      </c>
      <c r="V198" s="407">
        <f t="shared" si="73"/>
        <v>-0.001010162258</v>
      </c>
      <c r="W198" s="407">
        <f t="shared" si="73"/>
        <v>-0.00006282344138</v>
      </c>
      <c r="X198" s="407">
        <f t="shared" si="73"/>
        <v>-0.000193193337</v>
      </c>
      <c r="Y198" s="407">
        <f t="shared" si="73"/>
        <v>-0.0001557314124</v>
      </c>
      <c r="Z198" s="407">
        <f t="shared" si="73"/>
        <v>-0.0003704039724</v>
      </c>
      <c r="AA198" s="407">
        <f t="shared" si="73"/>
        <v>-0.0000697185469</v>
      </c>
      <c r="AB198" s="407">
        <f t="shared" si="73"/>
        <v>-0.0004049090441</v>
      </c>
      <c r="AC198" s="407">
        <f t="shared" si="73"/>
        <v>-0.0001982779716</v>
      </c>
      <c r="AD198" s="407">
        <f t="shared" si="73"/>
        <v>-0.00006229997938</v>
      </c>
      <c r="AF198" s="262" t="s">
        <v>147</v>
      </c>
      <c r="AG198" s="420">
        <v>12711.430011302162</v>
      </c>
      <c r="AH198" s="420">
        <v>815639.4901667984</v>
      </c>
      <c r="AI198" s="420">
        <v>770270.9625377667</v>
      </c>
      <c r="AJ198" s="420">
        <v>1178414.2895564083</v>
      </c>
      <c r="AK198" s="420">
        <v>2.1731238042941046E8</v>
      </c>
      <c r="AL198" s="420">
        <v>212.06421216377717</v>
      </c>
      <c r="AM198" s="420">
        <v>7618.020041934807</v>
      </c>
      <c r="AN198" s="420">
        <v>658388.7737890922</v>
      </c>
      <c r="AO198" s="420">
        <v>2104.7288931003513</v>
      </c>
      <c r="AP198" s="420">
        <v>292002.5861176639</v>
      </c>
      <c r="AQ198" s="420">
        <v>202198.21292316326</v>
      </c>
      <c r="AR198" s="420">
        <v>477.19035489253224</v>
      </c>
      <c r="AS198" s="420">
        <v>19.554811299690083</v>
      </c>
      <c r="AT198" s="420">
        <v>2175821.0352309323</v>
      </c>
      <c r="AU198" s="420">
        <v>788.5324819949051</v>
      </c>
      <c r="AV198" s="420">
        <v>5211.858399858356</v>
      </c>
      <c r="AW198" s="420">
        <v>1334.604200027245</v>
      </c>
      <c r="AX198" s="420">
        <v>8046.87162739899</v>
      </c>
      <c r="AY198" s="420">
        <v>60619.07062197707</v>
      </c>
      <c r="AZ198" s="420">
        <v>48.231253014502386</v>
      </c>
      <c r="BA198" s="420">
        <v>140.13193684153748</v>
      </c>
      <c r="BB198" s="420">
        <v>53920.558385041484</v>
      </c>
      <c r="BC198" s="420">
        <v>89.61852408748747</v>
      </c>
      <c r="BD198" s="420">
        <v>6093.398513291813</v>
      </c>
      <c r="BE198" s="420">
        <v>1771.2269752783207</v>
      </c>
      <c r="BF198" s="420">
        <v>13.22741668260728</v>
      </c>
      <c r="BG198" s="420">
        <v>5.199252030362277</v>
      </c>
      <c r="BH198" s="420">
        <v>65.47547045180464</v>
      </c>
      <c r="BI198" s="406">
        <f t="shared" si="70"/>
        <v>223566406.8</v>
      </c>
      <c r="BJ198" s="24"/>
      <c r="BK198" s="24"/>
      <c r="BL198" s="24"/>
      <c r="BM198" s="24"/>
      <c r="BN198" s="24"/>
      <c r="BO198" s="24"/>
      <c r="BP198" s="24"/>
      <c r="BQ198" s="24"/>
      <c r="BR198" s="24"/>
      <c r="BS198" s="24"/>
      <c r="BT198" s="24"/>
      <c r="BU198" s="24"/>
      <c r="BV198" s="24"/>
      <c r="BW198" s="24"/>
      <c r="BX198" s="24"/>
      <c r="BY198" s="24"/>
      <c r="BZ198" s="24"/>
      <c r="CA198" s="24"/>
      <c r="CB198" s="24"/>
      <c r="CC198" s="24"/>
      <c r="CD198" s="24"/>
      <c r="CE198" s="24"/>
      <c r="CF198" s="24"/>
      <c r="CG198" s="24"/>
      <c r="CH198" s="24"/>
      <c r="CI198" s="24"/>
      <c r="CJ198" s="24"/>
      <c r="CK198" s="24"/>
      <c r="CL198" s="24"/>
      <c r="CM198" s="24"/>
      <c r="CN198" s="24"/>
      <c r="CO198" s="24"/>
      <c r="CP198" s="24"/>
      <c r="CQ198" s="24"/>
      <c r="CR198" s="24"/>
      <c r="CS198" s="24"/>
      <c r="CT198" s="24"/>
      <c r="CU198" s="24"/>
      <c r="CV198" s="24"/>
      <c r="CW198" s="24"/>
      <c r="CX198" s="24"/>
      <c r="CY198" s="24"/>
      <c r="CZ198" s="24"/>
      <c r="DA198" s="24"/>
      <c r="DB198" s="24"/>
      <c r="DC198" s="24"/>
      <c r="DD198" s="24"/>
      <c r="DE198" s="24"/>
      <c r="DF198" s="24"/>
      <c r="DG198" s="24"/>
      <c r="DH198" s="24"/>
      <c r="DI198" s="24"/>
      <c r="DJ198" s="24"/>
      <c r="DK198" s="24"/>
      <c r="DL198" s="24"/>
      <c r="DM198" s="24"/>
      <c r="DN198" s="24"/>
      <c r="DO198" s="24"/>
      <c r="DP198" s="24"/>
      <c r="DQ198" s="24"/>
      <c r="DR198" s="24"/>
      <c r="DS198" s="24"/>
      <c r="DT198" s="24"/>
      <c r="DU198" s="24"/>
    </row>
    <row r="199">
      <c r="B199" s="405">
        <v>11.0</v>
      </c>
      <c r="C199" s="407">
        <f t="shared" ref="C199:AD199" si="74">C168-C71</f>
        <v>-0.07679356412</v>
      </c>
      <c r="D199" s="407">
        <f t="shared" si="74"/>
        <v>-0.1308244563</v>
      </c>
      <c r="E199" s="407">
        <f t="shared" si="74"/>
        <v>-0.07312237208</v>
      </c>
      <c r="F199" s="407">
        <f t="shared" si="74"/>
        <v>-0.1197412986</v>
      </c>
      <c r="G199" s="407">
        <f t="shared" si="74"/>
        <v>-0.04719229538</v>
      </c>
      <c r="H199" s="407">
        <f t="shared" si="74"/>
        <v>-0.07769508321</v>
      </c>
      <c r="I199" s="407">
        <f t="shared" si="74"/>
        <v>-0.04081763574</v>
      </c>
      <c r="J199" s="407">
        <f t="shared" si="74"/>
        <v>-0.06476973875</v>
      </c>
      <c r="K199" s="407">
        <f t="shared" si="74"/>
        <v>-0.01120212383</v>
      </c>
      <c r="L199" s="407">
        <f t="shared" si="74"/>
        <v>-0.1359269324</v>
      </c>
      <c r="M199" s="407">
        <f t="shared" si="74"/>
        <v>0.8101802146</v>
      </c>
      <c r="N199" s="407">
        <f t="shared" si="74"/>
        <v>-0.08158478485</v>
      </c>
      <c r="O199" s="407">
        <f t="shared" si="74"/>
        <v>-0.07353022571</v>
      </c>
      <c r="P199" s="407">
        <f t="shared" si="74"/>
        <v>-0.05443894454</v>
      </c>
      <c r="Q199" s="407">
        <f t="shared" si="74"/>
        <v>-0.0000401458187</v>
      </c>
      <c r="R199" s="407">
        <f t="shared" si="74"/>
        <v>-0.0001040323138</v>
      </c>
      <c r="S199" s="407">
        <f t="shared" si="74"/>
        <v>-0.00004725245576</v>
      </c>
      <c r="T199" s="407">
        <f t="shared" si="74"/>
        <v>-0.00008561844871</v>
      </c>
      <c r="U199" s="407">
        <f t="shared" si="74"/>
        <v>-0.00007749956193</v>
      </c>
      <c r="V199" s="407">
        <f t="shared" si="74"/>
        <v>-0.0002365022202</v>
      </c>
      <c r="W199" s="407">
        <f t="shared" si="74"/>
        <v>-0.0000461531892</v>
      </c>
      <c r="X199" s="407">
        <f t="shared" si="74"/>
        <v>-0.00008534064437</v>
      </c>
      <c r="Y199" s="407">
        <f t="shared" si="74"/>
        <v>-0.00006651594914</v>
      </c>
      <c r="Z199" s="407">
        <f t="shared" si="74"/>
        <v>-0.00007505419715</v>
      </c>
      <c r="AA199" s="407">
        <f t="shared" si="74"/>
        <v>-0.00009539101371</v>
      </c>
      <c r="AB199" s="407">
        <f t="shared" si="74"/>
        <v>-0.0003150456431</v>
      </c>
      <c r="AC199" s="407">
        <f t="shared" si="74"/>
        <v>-0.00006888721892</v>
      </c>
      <c r="AD199" s="407">
        <f t="shared" si="74"/>
        <v>-0.00003641662681</v>
      </c>
      <c r="AF199" s="262" t="s">
        <v>148</v>
      </c>
      <c r="AG199" s="420">
        <v>5774565.333580527</v>
      </c>
      <c r="AH199" s="420">
        <v>5490354.12200195</v>
      </c>
      <c r="AI199" s="420">
        <v>483026.4754573041</v>
      </c>
      <c r="AJ199" s="420">
        <v>6530488.101739318</v>
      </c>
      <c r="AK199" s="420">
        <v>4588983.43384236</v>
      </c>
      <c r="AL199" s="420">
        <v>5716766.780649168</v>
      </c>
      <c r="AM199" s="420">
        <v>635438.6082224634</v>
      </c>
      <c r="AN199" s="420">
        <v>4.203136410341006E7</v>
      </c>
      <c r="AO199" s="420">
        <v>52755.11089639566</v>
      </c>
      <c r="AP199" s="420">
        <v>1.4794893347088143E7</v>
      </c>
      <c r="AQ199" s="420">
        <v>1.6688550393359285E7</v>
      </c>
      <c r="AR199" s="420">
        <v>1981627.8644491322</v>
      </c>
      <c r="AS199" s="420">
        <v>1772.4602999377953</v>
      </c>
      <c r="AT199" s="420">
        <v>3218127.7114815246</v>
      </c>
      <c r="AU199" s="420">
        <v>3840.0958458143296</v>
      </c>
      <c r="AV199" s="420">
        <v>5708.191760112754</v>
      </c>
      <c r="AW199" s="420">
        <v>1178.1743698519228</v>
      </c>
      <c r="AX199" s="420">
        <v>9846.610621571872</v>
      </c>
      <c r="AY199" s="420">
        <v>25515.708910805162</v>
      </c>
      <c r="AZ199" s="420">
        <v>909.3546919210191</v>
      </c>
      <c r="BA199" s="420">
        <v>502.9357046355028</v>
      </c>
      <c r="BB199" s="420">
        <v>316165.3821341004</v>
      </c>
      <c r="BC199" s="420">
        <v>251.99796892945827</v>
      </c>
      <c r="BD199" s="420">
        <v>21868.998201496197</v>
      </c>
      <c r="BE199" s="420">
        <v>5165.93728509393</v>
      </c>
      <c r="BF199" s="420">
        <v>212.93751668971754</v>
      </c>
      <c r="BG199" s="420">
        <v>34.32807271507777</v>
      </c>
      <c r="BH199" s="420">
        <v>36.34474900561156</v>
      </c>
      <c r="BI199" s="406">
        <f t="shared" si="70"/>
        <v>108379950.8</v>
      </c>
      <c r="BJ199" s="24"/>
      <c r="BK199" s="24"/>
      <c r="BL199" s="24"/>
      <c r="BM199" s="24"/>
      <c r="BN199" s="24"/>
      <c r="BO199" s="24"/>
      <c r="BP199" s="24"/>
      <c r="BQ199" s="24"/>
      <c r="BR199" s="24"/>
      <c r="BS199" s="24"/>
      <c r="BT199" s="24"/>
      <c r="BU199" s="24"/>
      <c r="BV199" s="24"/>
      <c r="BW199" s="24"/>
      <c r="BX199" s="24"/>
      <c r="BY199" s="24"/>
      <c r="BZ199" s="24"/>
      <c r="CA199" s="24"/>
      <c r="CB199" s="24"/>
      <c r="CC199" s="24"/>
      <c r="CD199" s="24"/>
      <c r="CE199" s="24"/>
      <c r="CF199" s="24"/>
      <c r="CG199" s="24"/>
      <c r="CH199" s="24"/>
      <c r="CI199" s="24"/>
      <c r="CJ199" s="24"/>
      <c r="CK199" s="24"/>
      <c r="CL199" s="24"/>
      <c r="CM199" s="24"/>
      <c r="CN199" s="24"/>
      <c r="CO199" s="24"/>
      <c r="CP199" s="24"/>
      <c r="CQ199" s="24"/>
      <c r="CR199" s="24"/>
      <c r="CS199" s="24"/>
      <c r="CT199" s="24"/>
      <c r="CU199" s="24"/>
      <c r="CV199" s="24"/>
      <c r="CW199" s="24"/>
      <c r="CX199" s="24"/>
      <c r="CY199" s="24"/>
      <c r="CZ199" s="24"/>
      <c r="DA199" s="24"/>
      <c r="DB199" s="24"/>
      <c r="DC199" s="24"/>
      <c r="DD199" s="24"/>
      <c r="DE199" s="24"/>
      <c r="DF199" s="24"/>
      <c r="DG199" s="24"/>
      <c r="DH199" s="24"/>
      <c r="DI199" s="24"/>
      <c r="DJ199" s="24"/>
      <c r="DK199" s="24"/>
      <c r="DL199" s="24"/>
      <c r="DM199" s="24"/>
      <c r="DN199" s="24"/>
      <c r="DO199" s="24"/>
      <c r="DP199" s="24"/>
      <c r="DQ199" s="24"/>
      <c r="DR199" s="24"/>
      <c r="DS199" s="24"/>
      <c r="DT199" s="24"/>
      <c r="DU199" s="24"/>
    </row>
    <row r="200">
      <c r="B200" s="405">
        <v>12.0</v>
      </c>
      <c r="C200" s="407">
        <f t="shared" ref="C200:AD200" si="75">C169-C72</f>
        <v>-0.003391091162</v>
      </c>
      <c r="D200" s="407">
        <f t="shared" si="75"/>
        <v>-0.001011730245</v>
      </c>
      <c r="E200" s="407">
        <f t="shared" si="75"/>
        <v>-0.0009010509439</v>
      </c>
      <c r="F200" s="407">
        <f t="shared" si="75"/>
        <v>-0.005380387347</v>
      </c>
      <c r="G200" s="407">
        <f t="shared" si="75"/>
        <v>-0.0005274715542</v>
      </c>
      <c r="H200" s="407">
        <f t="shared" si="75"/>
        <v>-0.2260004233</v>
      </c>
      <c r="I200" s="407">
        <f t="shared" si="75"/>
        <v>-0.0009548248365</v>
      </c>
      <c r="J200" s="407">
        <f t="shared" si="75"/>
        <v>-0.002699126617</v>
      </c>
      <c r="K200" s="407">
        <f t="shared" si="75"/>
        <v>-0.001095696749</v>
      </c>
      <c r="L200" s="407">
        <f t="shared" si="75"/>
        <v>-0.002541511302</v>
      </c>
      <c r="M200" s="407">
        <f t="shared" si="75"/>
        <v>-0.005900005107</v>
      </c>
      <c r="N200" s="407">
        <f t="shared" si="75"/>
        <v>0.7711556645</v>
      </c>
      <c r="O200" s="407">
        <f t="shared" si="75"/>
        <v>-0.001625422528</v>
      </c>
      <c r="P200" s="407">
        <f t="shared" si="75"/>
        <v>-0.001372403087</v>
      </c>
      <c r="Q200" s="407">
        <f t="shared" si="75"/>
        <v>-0.0000009471934774</v>
      </c>
      <c r="R200" s="407">
        <f t="shared" si="75"/>
        <v>-0.000002007883666</v>
      </c>
      <c r="S200" s="407">
        <f t="shared" si="75"/>
        <v>-0.000002595110281</v>
      </c>
      <c r="T200" s="407">
        <f t="shared" si="75"/>
        <v>-0.000003732732316</v>
      </c>
      <c r="U200" s="407">
        <f t="shared" si="75"/>
        <v>-0.0000006926110217</v>
      </c>
      <c r="V200" s="407">
        <f t="shared" si="75"/>
        <v>-0.00002686272475</v>
      </c>
      <c r="W200" s="407">
        <f t="shared" si="75"/>
        <v>-0.0000004982253164</v>
      </c>
      <c r="X200" s="407">
        <f t="shared" si="75"/>
        <v>-0.000001294061839</v>
      </c>
      <c r="Y200" s="407">
        <f t="shared" si="75"/>
        <v>-0.000002202677695</v>
      </c>
      <c r="Z200" s="407">
        <f t="shared" si="75"/>
        <v>-0.0000007560667588</v>
      </c>
      <c r="AA200" s="407">
        <f t="shared" si="75"/>
        <v>-0.0000004892726266</v>
      </c>
      <c r="AB200" s="407">
        <f t="shared" si="75"/>
        <v>-0.00003126912507</v>
      </c>
      <c r="AC200" s="407">
        <f t="shared" si="75"/>
        <v>-0.000001956391514</v>
      </c>
      <c r="AD200" s="407">
        <f t="shared" si="75"/>
        <v>-0.000000415374663</v>
      </c>
      <c r="AF200" s="262" t="s">
        <v>149</v>
      </c>
      <c r="AG200" s="420">
        <v>2909675.4475840703</v>
      </c>
      <c r="AH200" s="420">
        <v>4920361.317361631</v>
      </c>
      <c r="AI200" s="420">
        <v>589804.6967485681</v>
      </c>
      <c r="AJ200" s="420">
        <v>3007759.237201453</v>
      </c>
      <c r="AK200" s="420">
        <v>3129253.222954534</v>
      </c>
      <c r="AL200" s="420">
        <v>34863.69370189202</v>
      </c>
      <c r="AM200" s="420">
        <v>1.662486048548908E8</v>
      </c>
      <c r="AN200" s="420">
        <v>6.950943348238239E7</v>
      </c>
      <c r="AO200" s="420">
        <v>662925.5934449018</v>
      </c>
      <c r="AP200" s="420">
        <v>9929442.617546096</v>
      </c>
      <c r="AQ200" s="420">
        <v>3198911.397407368</v>
      </c>
      <c r="AR200" s="420">
        <v>76443.81377010672</v>
      </c>
      <c r="AS200" s="420">
        <v>1316.373764097023</v>
      </c>
      <c r="AT200" s="420">
        <v>4608278.468278659</v>
      </c>
      <c r="AU200" s="420">
        <v>15572.543060999093</v>
      </c>
      <c r="AV200" s="420">
        <v>11445.728453920718</v>
      </c>
      <c r="AW200" s="420">
        <v>1851.6103835593517</v>
      </c>
      <c r="AX200" s="420">
        <v>15967.647277964006</v>
      </c>
      <c r="AY200" s="420">
        <v>50983.92325498256</v>
      </c>
      <c r="AZ200" s="420">
        <v>608.2993117315601</v>
      </c>
      <c r="BA200" s="420">
        <v>959.8019083854823</v>
      </c>
      <c r="BB200" s="420">
        <v>616853.5433476528</v>
      </c>
      <c r="BC200" s="420">
        <v>492.97009508870104</v>
      </c>
      <c r="BD200" s="420">
        <v>36693.387626809985</v>
      </c>
      <c r="BE200" s="420">
        <v>7118.529479253559</v>
      </c>
      <c r="BF200" s="420">
        <v>142.376052072124</v>
      </c>
      <c r="BG200" s="420">
        <v>64.71333426744363</v>
      </c>
      <c r="BH200" s="420">
        <v>89.26873351697937</v>
      </c>
      <c r="BI200" s="406">
        <f t="shared" si="70"/>
        <v>269585918.6</v>
      </c>
      <c r="BJ200" s="419"/>
      <c r="BK200" s="419"/>
      <c r="BL200" s="419"/>
      <c r="BM200" s="419"/>
      <c r="BN200" s="419"/>
      <c r="BO200" s="419"/>
      <c r="BP200" s="419"/>
      <c r="BQ200" s="419"/>
      <c r="BR200" s="419"/>
      <c r="BS200" s="419"/>
      <c r="BT200" s="419"/>
      <c r="BU200" s="419"/>
      <c r="BV200" s="419"/>
      <c r="BW200" s="419"/>
      <c r="BX200" s="419"/>
      <c r="BY200" s="419"/>
      <c r="BZ200" s="419"/>
      <c r="CA200" s="419"/>
      <c r="CB200" s="419"/>
      <c r="CC200" s="419"/>
      <c r="CD200" s="419"/>
      <c r="CE200" s="419"/>
      <c r="CF200" s="419"/>
      <c r="CG200" s="419"/>
      <c r="CH200" s="419"/>
      <c r="CI200" s="419"/>
      <c r="CJ200" s="419"/>
      <c r="CK200" s="419"/>
      <c r="CL200" s="419"/>
      <c r="CM200" s="419"/>
      <c r="CN200" s="419"/>
      <c r="CO200" s="419"/>
      <c r="CP200" s="419"/>
      <c r="CQ200" s="419"/>
      <c r="CR200" s="419"/>
      <c r="CS200" s="419"/>
      <c r="CT200" s="419"/>
      <c r="CU200" s="419"/>
      <c r="CV200" s="419"/>
      <c r="CW200" s="419"/>
      <c r="CX200" s="419"/>
      <c r="CY200" s="419"/>
      <c r="CZ200" s="419"/>
      <c r="DA200" s="419"/>
      <c r="DB200" s="419"/>
      <c r="DC200" s="419"/>
      <c r="DD200" s="419"/>
      <c r="DE200" s="419"/>
      <c r="DF200" s="419"/>
      <c r="DG200" s="419"/>
      <c r="DH200" s="419"/>
      <c r="DI200" s="419"/>
      <c r="DJ200" s="419"/>
      <c r="DK200" s="419"/>
      <c r="DL200" s="419"/>
      <c r="DM200" s="419"/>
      <c r="DN200" s="419"/>
      <c r="DO200" s="419"/>
      <c r="DP200" s="419"/>
      <c r="DQ200" s="419"/>
      <c r="DR200" s="419"/>
      <c r="DS200" s="419"/>
      <c r="DT200" s="419"/>
      <c r="DU200" s="419"/>
    </row>
    <row r="201">
      <c r="B201" s="405">
        <v>13.0</v>
      </c>
      <c r="C201" s="407">
        <f t="shared" ref="C201:AD201" si="76">C170-C73</f>
        <v>-0.001158193698</v>
      </c>
      <c r="D201" s="407">
        <f t="shared" si="76"/>
        <v>-0.001898991131</v>
      </c>
      <c r="E201" s="407">
        <f t="shared" si="76"/>
        <v>-0.00125664343</v>
      </c>
      <c r="F201" s="407">
        <f t="shared" si="76"/>
        <v>-0.0003952017422</v>
      </c>
      <c r="G201" s="407">
        <f t="shared" si="76"/>
        <v>-0.0004458927297</v>
      </c>
      <c r="H201" s="407">
        <f t="shared" si="76"/>
        <v>-0.002112298029</v>
      </c>
      <c r="I201" s="407">
        <f t="shared" si="76"/>
        <v>-0.0002218520931</v>
      </c>
      <c r="J201" s="407">
        <f t="shared" si="76"/>
        <v>-0.0004235436939</v>
      </c>
      <c r="K201" s="407">
        <f t="shared" si="76"/>
        <v>-0.0003426631766</v>
      </c>
      <c r="L201" s="407">
        <f t="shared" si="76"/>
        <v>-0.0006404430695</v>
      </c>
      <c r="M201" s="407">
        <f t="shared" si="76"/>
        <v>-0.002754398992</v>
      </c>
      <c r="N201" s="407">
        <f t="shared" si="76"/>
        <v>-0.002133816097</v>
      </c>
      <c r="O201" s="407">
        <f t="shared" si="76"/>
        <v>0.9801096446</v>
      </c>
      <c r="P201" s="407">
        <f t="shared" si="76"/>
        <v>-0.001608366322</v>
      </c>
      <c r="Q201" s="407">
        <f t="shared" si="76"/>
        <v>-0.00000004952609676</v>
      </c>
      <c r="R201" s="407">
        <f t="shared" si="76"/>
        <v>-0.00000004699453164</v>
      </c>
      <c r="S201" s="407">
        <f t="shared" si="76"/>
        <v>-0.00000001617907105</v>
      </c>
      <c r="T201" s="407">
        <f t="shared" si="76"/>
        <v>-0.00000002911650879</v>
      </c>
      <c r="U201" s="407">
        <f t="shared" si="76"/>
        <v>-0.00000001549033689</v>
      </c>
      <c r="V201" s="407">
        <f t="shared" si="76"/>
        <v>-0.00000009975263019</v>
      </c>
      <c r="W201" s="407">
        <f t="shared" si="76"/>
        <v>-0.000000007923923991</v>
      </c>
      <c r="X201" s="407">
        <f t="shared" si="76"/>
        <v>-0.00000003010402726</v>
      </c>
      <c r="Y201" s="407">
        <f t="shared" si="76"/>
        <v>-0.00000001238783637</v>
      </c>
      <c r="Z201" s="407">
        <f t="shared" si="76"/>
        <v>-0.00000003800876456</v>
      </c>
      <c r="AA201" s="407">
        <f t="shared" si="76"/>
        <v>-0.00000002386332294</v>
      </c>
      <c r="AB201" s="407">
        <f t="shared" si="76"/>
        <v>-0.0000001171450976</v>
      </c>
      <c r="AC201" s="407">
        <f t="shared" si="76"/>
        <v>-0.000000130151296</v>
      </c>
      <c r="AD201" s="407">
        <f t="shared" si="76"/>
        <v>-0.000000008999155442</v>
      </c>
      <c r="AF201" s="262" t="s">
        <v>150</v>
      </c>
      <c r="AG201" s="420">
        <v>1.531261811938832E7</v>
      </c>
      <c r="AH201" s="420">
        <v>4.4331174507837E7</v>
      </c>
      <c r="AI201" s="420">
        <v>4909189.886247659</v>
      </c>
      <c r="AJ201" s="420">
        <v>3.310337947610871E7</v>
      </c>
      <c r="AK201" s="420">
        <v>3.0965097255842406E7</v>
      </c>
      <c r="AL201" s="420">
        <v>138912.92611169218</v>
      </c>
      <c r="AM201" s="420">
        <v>8071963.86536299</v>
      </c>
      <c r="AN201" s="420">
        <v>3.5242701664813685E9</v>
      </c>
      <c r="AO201" s="420">
        <v>264034.3510105468</v>
      </c>
      <c r="AP201" s="420">
        <v>8.343033157346521E7</v>
      </c>
      <c r="AQ201" s="420">
        <v>6.436857883213215E7</v>
      </c>
      <c r="AR201" s="420">
        <v>296442.2640560389</v>
      </c>
      <c r="AS201" s="420">
        <v>39834.11277324441</v>
      </c>
      <c r="AT201" s="420">
        <v>2.271325229737416E7</v>
      </c>
      <c r="AU201" s="420">
        <v>105383.43414643765</v>
      </c>
      <c r="AV201" s="420">
        <v>141524.09256186054</v>
      </c>
      <c r="AW201" s="420">
        <v>20135.17841225504</v>
      </c>
      <c r="AX201" s="420">
        <v>177202.33799557688</v>
      </c>
      <c r="AY201" s="420">
        <v>477526.9027059177</v>
      </c>
      <c r="AZ201" s="420">
        <v>7478.75864755157</v>
      </c>
      <c r="BA201" s="420">
        <v>15247.994771054568</v>
      </c>
      <c r="BB201" s="420">
        <v>1.372103042596159E7</v>
      </c>
      <c r="BC201" s="420">
        <v>7790.428626936911</v>
      </c>
      <c r="BD201" s="420">
        <v>471767.6930972247</v>
      </c>
      <c r="BE201" s="420">
        <v>123587.02376753939</v>
      </c>
      <c r="BF201" s="420">
        <v>1684.0015651765916</v>
      </c>
      <c r="BG201" s="420">
        <v>767.092333037893</v>
      </c>
      <c r="BH201" s="420">
        <v>703.1397079671463</v>
      </c>
      <c r="BI201" s="406">
        <f t="shared" si="70"/>
        <v>3847486804</v>
      </c>
      <c r="BJ201" s="406"/>
      <c r="BK201" s="406"/>
      <c r="BL201" s="406"/>
      <c r="BM201" s="406"/>
      <c r="BN201" s="406"/>
      <c r="BO201" s="406"/>
      <c r="BP201" s="406"/>
      <c r="BQ201" s="406"/>
      <c r="BR201" s="406"/>
      <c r="BS201" s="406"/>
      <c r="BT201" s="406"/>
      <c r="BU201" s="406"/>
      <c r="BV201" s="406"/>
      <c r="BW201" s="406"/>
      <c r="BX201" s="406"/>
      <c r="BY201" s="406"/>
      <c r="BZ201" s="406"/>
      <c r="CA201" s="406"/>
      <c r="CB201" s="406"/>
      <c r="CC201" s="406"/>
      <c r="CD201" s="406"/>
      <c r="CE201" s="406"/>
      <c r="CF201" s="406"/>
      <c r="CG201" s="406"/>
      <c r="CH201" s="406"/>
      <c r="CI201" s="406"/>
      <c r="CJ201" s="406"/>
      <c r="CK201" s="406"/>
      <c r="CL201" s="406"/>
      <c r="CM201" s="406"/>
      <c r="CN201" s="406"/>
      <c r="CO201" s="406"/>
      <c r="CP201" s="406"/>
      <c r="CQ201" s="406"/>
      <c r="CR201" s="406"/>
      <c r="CS201" s="406"/>
      <c r="CT201" s="406"/>
      <c r="CU201" s="406"/>
      <c r="CV201" s="406"/>
      <c r="CW201" s="406"/>
      <c r="CX201" s="406"/>
      <c r="CY201" s="406"/>
      <c r="CZ201" s="406"/>
      <c r="DA201" s="406"/>
      <c r="DB201" s="406"/>
      <c r="DC201" s="406"/>
      <c r="DD201" s="406"/>
      <c r="DE201" s="406"/>
      <c r="DF201" s="406"/>
      <c r="DG201" s="406"/>
      <c r="DH201" s="406"/>
      <c r="DI201" s="406"/>
      <c r="DJ201" s="406"/>
      <c r="DK201" s="406"/>
      <c r="DL201" s="406"/>
      <c r="DM201" s="406"/>
      <c r="DN201" s="406"/>
      <c r="DO201" s="406"/>
      <c r="DP201" s="406"/>
      <c r="DQ201" s="406"/>
      <c r="DR201" s="406"/>
      <c r="DS201" s="406"/>
      <c r="DT201" s="406"/>
      <c r="DU201" s="406"/>
    </row>
    <row r="202">
      <c r="B202" s="405">
        <v>14.0</v>
      </c>
      <c r="C202" s="407">
        <f t="shared" ref="C202:AD202" si="77">C171-C74</f>
        <v>-0.00131082684</v>
      </c>
      <c r="D202" s="407">
        <f t="shared" si="77"/>
        <v>-0.007415972687</v>
      </c>
      <c r="E202" s="407">
        <f t="shared" si="77"/>
        <v>-0.001299425329</v>
      </c>
      <c r="F202" s="407">
        <f t="shared" si="77"/>
        <v>-0.006091870711</v>
      </c>
      <c r="G202" s="407">
        <f t="shared" si="77"/>
        <v>-0.002242227636</v>
      </c>
      <c r="H202" s="407">
        <f t="shared" si="77"/>
        <v>-0.001775225417</v>
      </c>
      <c r="I202" s="407">
        <f t="shared" si="77"/>
        <v>-0.0009914529127</v>
      </c>
      <c r="J202" s="407">
        <f t="shared" si="77"/>
        <v>-0.002314097177</v>
      </c>
      <c r="K202" s="407">
        <f t="shared" si="77"/>
        <v>-0.0007899339281</v>
      </c>
      <c r="L202" s="407">
        <f t="shared" si="77"/>
        <v>-0.006033425029</v>
      </c>
      <c r="M202" s="407">
        <f t="shared" si="77"/>
        <v>-0.003774402691</v>
      </c>
      <c r="N202" s="407">
        <f t="shared" si="77"/>
        <v>-0.001799711334</v>
      </c>
      <c r="O202" s="407">
        <f t="shared" si="77"/>
        <v>-0.002744107295</v>
      </c>
      <c r="P202" s="407">
        <f t="shared" si="77"/>
        <v>0.9900987304</v>
      </c>
      <c r="Q202" s="407">
        <f t="shared" si="77"/>
        <v>-0.000009121527182</v>
      </c>
      <c r="R202" s="407">
        <f t="shared" si="77"/>
        <v>-0.00002921391599</v>
      </c>
      <c r="S202" s="407">
        <f t="shared" si="77"/>
        <v>-0.0000126975959</v>
      </c>
      <c r="T202" s="407">
        <f t="shared" si="77"/>
        <v>-0.000009755379525</v>
      </c>
      <c r="U202" s="407">
        <f t="shared" si="77"/>
        <v>-0.00001409415247</v>
      </c>
      <c r="V202" s="407">
        <f t="shared" si="77"/>
        <v>-0.00006454966833</v>
      </c>
      <c r="W202" s="407">
        <f t="shared" si="77"/>
        <v>-0.00001023593901</v>
      </c>
      <c r="X202" s="407">
        <f t="shared" si="77"/>
        <v>-0.00005634733288</v>
      </c>
      <c r="Y202" s="407">
        <f t="shared" si="77"/>
        <v>-0.0001049474608</v>
      </c>
      <c r="Z202" s="407">
        <f t="shared" si="77"/>
        <v>-0.0003406577963</v>
      </c>
      <c r="AA202" s="407">
        <f t="shared" si="77"/>
        <v>-0.00006322089127</v>
      </c>
      <c r="AB202" s="407">
        <f t="shared" si="77"/>
        <v>-0.00006389716645</v>
      </c>
      <c r="AC202" s="407">
        <f t="shared" si="77"/>
        <v>-0.00001736037385</v>
      </c>
      <c r="AD202" s="407">
        <f t="shared" si="77"/>
        <v>-0.00003654581355</v>
      </c>
      <c r="AF202" s="262" t="s">
        <v>151</v>
      </c>
      <c r="AG202" s="420">
        <v>50039.376240798505</v>
      </c>
      <c r="AH202" s="420">
        <v>34611.79871215594</v>
      </c>
      <c r="AI202" s="420">
        <v>180191.14659262812</v>
      </c>
      <c r="AJ202" s="420">
        <v>174790.1167375644</v>
      </c>
      <c r="AK202" s="420">
        <v>1363599.298689814</v>
      </c>
      <c r="AL202" s="420">
        <v>561.127498438068</v>
      </c>
      <c r="AM202" s="420">
        <v>2738.4368967404725</v>
      </c>
      <c r="AN202" s="420">
        <v>134740.8955762628</v>
      </c>
      <c r="AO202" s="420">
        <v>3591986.9546007933</v>
      </c>
      <c r="AP202" s="420">
        <v>47410.17663925062</v>
      </c>
      <c r="AQ202" s="420">
        <v>33170.32699904655</v>
      </c>
      <c r="AR202" s="420">
        <v>1262.3535970378432</v>
      </c>
      <c r="AS202" s="420">
        <v>4.62056800520586</v>
      </c>
      <c r="AT202" s="420">
        <v>307578.7788448183</v>
      </c>
      <c r="AU202" s="420">
        <v>608.4379242172329</v>
      </c>
      <c r="AV202" s="420">
        <v>303.071329302137</v>
      </c>
      <c r="AW202" s="420">
        <v>134.94712018346104</v>
      </c>
      <c r="AX202" s="420">
        <v>622.7259341866692</v>
      </c>
      <c r="AY202" s="420">
        <v>7497.639019325607</v>
      </c>
      <c r="AZ202" s="420">
        <v>6.155346870445626</v>
      </c>
      <c r="BA202" s="420">
        <v>11.91041688822553</v>
      </c>
      <c r="BB202" s="420">
        <v>7378.024269040184</v>
      </c>
      <c r="BC202" s="420">
        <v>9.640057509817824</v>
      </c>
      <c r="BD202" s="420">
        <v>621.4590381161794</v>
      </c>
      <c r="BE202" s="420">
        <v>151.04630821594398</v>
      </c>
      <c r="BF202" s="420">
        <v>1.2376243123011128</v>
      </c>
      <c r="BG202" s="420">
        <v>0.5457472617731602</v>
      </c>
      <c r="BH202" s="420">
        <v>4.039485835511729</v>
      </c>
      <c r="BI202" s="406">
        <f t="shared" si="70"/>
        <v>5940036.288</v>
      </c>
      <c r="BJ202" s="406"/>
      <c r="BK202" s="406"/>
      <c r="BL202" s="406"/>
      <c r="BM202" s="406"/>
      <c r="BN202" s="406"/>
      <c r="BO202" s="406"/>
      <c r="BP202" s="406"/>
      <c r="BQ202" s="406"/>
      <c r="BR202" s="406"/>
      <c r="BS202" s="406"/>
      <c r="BT202" s="406"/>
      <c r="BU202" s="406"/>
      <c r="BV202" s="406"/>
      <c r="BW202" s="406"/>
      <c r="BX202" s="406"/>
      <c r="BY202" s="406"/>
      <c r="BZ202" s="406"/>
      <c r="CA202" s="406"/>
      <c r="CB202" s="406"/>
      <c r="CC202" s="406"/>
      <c r="CD202" s="406"/>
      <c r="CE202" s="406"/>
      <c r="CF202" s="406"/>
      <c r="CG202" s="406"/>
      <c r="CH202" s="406"/>
      <c r="CI202" s="406"/>
      <c r="CJ202" s="406"/>
      <c r="CK202" s="406"/>
      <c r="CL202" s="406"/>
      <c r="CM202" s="406"/>
      <c r="CN202" s="406"/>
      <c r="CO202" s="406"/>
      <c r="CP202" s="406"/>
      <c r="CQ202" s="406"/>
      <c r="CR202" s="406"/>
      <c r="CS202" s="406"/>
      <c r="CT202" s="406"/>
      <c r="CU202" s="406"/>
      <c r="CV202" s="406"/>
      <c r="CW202" s="406"/>
      <c r="CX202" s="406"/>
      <c r="CY202" s="406"/>
      <c r="CZ202" s="406"/>
      <c r="DA202" s="406"/>
      <c r="DB202" s="406"/>
      <c r="DC202" s="406"/>
      <c r="DD202" s="406"/>
      <c r="DE202" s="406"/>
      <c r="DF202" s="406"/>
      <c r="DG202" s="406"/>
      <c r="DH202" s="406"/>
      <c r="DI202" s="406"/>
      <c r="DJ202" s="406"/>
      <c r="DK202" s="406"/>
      <c r="DL202" s="406"/>
      <c r="DM202" s="406"/>
      <c r="DN202" s="406"/>
      <c r="DO202" s="406"/>
      <c r="DP202" s="406"/>
      <c r="DQ202" s="406"/>
      <c r="DR202" s="406"/>
      <c r="DS202" s="406"/>
      <c r="DT202" s="406"/>
      <c r="DU202" s="406"/>
    </row>
    <row r="203">
      <c r="B203" s="405">
        <v>15.0</v>
      </c>
      <c r="C203" s="407">
        <f t="shared" ref="C203:AD203" si="78">C172-C75</f>
        <v>-0.01550837378</v>
      </c>
      <c r="D203" s="407">
        <f t="shared" si="78"/>
        <v>-0.03073130953</v>
      </c>
      <c r="E203" s="407">
        <f t="shared" si="78"/>
        <v>-0.1088281615</v>
      </c>
      <c r="F203" s="407">
        <f t="shared" si="78"/>
        <v>-0.00008014600877</v>
      </c>
      <c r="G203" s="407">
        <f t="shared" si="78"/>
        <v>-0.05461803808</v>
      </c>
      <c r="H203" s="407">
        <f t="shared" si="78"/>
        <v>-0.00003183061603</v>
      </c>
      <c r="I203" s="407">
        <f t="shared" si="78"/>
        <v>-0.00006631147079</v>
      </c>
      <c r="J203" s="407">
        <f t="shared" si="78"/>
        <v>-0.0007175740932</v>
      </c>
      <c r="K203" s="407">
        <f t="shared" si="78"/>
        <v>-0.0002278280375</v>
      </c>
      <c r="L203" s="407">
        <f t="shared" si="78"/>
        <v>-0.0001312897048</v>
      </c>
      <c r="M203" s="407">
        <f t="shared" si="78"/>
        <v>-0.000151296556</v>
      </c>
      <c r="N203" s="407">
        <f t="shared" si="78"/>
        <v>-0.00004086041522</v>
      </c>
      <c r="O203" s="407">
        <f t="shared" si="78"/>
        <v>-0.00000521317311</v>
      </c>
      <c r="P203" s="407">
        <f t="shared" si="78"/>
        <v>-0.005464640463</v>
      </c>
      <c r="Q203" s="407">
        <f t="shared" si="78"/>
        <v>0.7996750996</v>
      </c>
      <c r="R203" s="407">
        <f t="shared" si="78"/>
        <v>-0.151392266</v>
      </c>
      <c r="S203" s="407">
        <f t="shared" si="78"/>
        <v>-0.04112155266</v>
      </c>
      <c r="T203" s="407">
        <f t="shared" si="78"/>
        <v>-0.002613946747</v>
      </c>
      <c r="U203" s="407">
        <f t="shared" si="78"/>
        <v>-0.2640351226</v>
      </c>
      <c r="V203" s="407">
        <f t="shared" si="78"/>
        <v>-0.001346256164</v>
      </c>
      <c r="W203" s="407">
        <f t="shared" si="78"/>
        <v>-0.004973638231</v>
      </c>
      <c r="X203" s="407">
        <f t="shared" si="78"/>
        <v>-0.009165985803</v>
      </c>
      <c r="Y203" s="407">
        <f t="shared" si="78"/>
        <v>-0.0394525096</v>
      </c>
      <c r="Z203" s="407">
        <f t="shared" si="78"/>
        <v>-0.001779586559</v>
      </c>
      <c r="AA203" s="407">
        <f t="shared" si="78"/>
        <v>-0.002709128619</v>
      </c>
      <c r="AB203" s="407">
        <f t="shared" si="78"/>
        <v>-0.002522918518</v>
      </c>
      <c r="AC203" s="407">
        <f t="shared" si="78"/>
        <v>-0.002911466934</v>
      </c>
      <c r="AD203" s="407">
        <f t="shared" si="78"/>
        <v>-0.01103695104</v>
      </c>
      <c r="AF203" s="262" t="s">
        <v>152</v>
      </c>
      <c r="AG203" s="420">
        <v>1.2948173509105183E7</v>
      </c>
      <c r="AH203" s="420">
        <v>5.909479841941047E7</v>
      </c>
      <c r="AI203" s="420">
        <v>4683240.343538156</v>
      </c>
      <c r="AJ203" s="420">
        <v>6.1328666658223465E7</v>
      </c>
      <c r="AK203" s="420">
        <v>6.017306702138466E7</v>
      </c>
      <c r="AL203" s="420">
        <v>165125.7158812982</v>
      </c>
      <c r="AM203" s="420">
        <v>1.140265352080566E7</v>
      </c>
      <c r="AN203" s="420">
        <v>3.458871960990255E8</v>
      </c>
      <c r="AO203" s="420">
        <v>995079.5628877793</v>
      </c>
      <c r="AP203" s="420">
        <v>1.4702949941022768E9</v>
      </c>
      <c r="AQ203" s="420">
        <v>5.0010673506442204E7</v>
      </c>
      <c r="AR203" s="420">
        <v>348968.1208629497</v>
      </c>
      <c r="AS203" s="420">
        <v>15936.421615131978</v>
      </c>
      <c r="AT203" s="420">
        <v>3.6963953831067875E7</v>
      </c>
      <c r="AU203" s="420">
        <v>86725.94731871261</v>
      </c>
      <c r="AV203" s="420">
        <v>141444.08718871968</v>
      </c>
      <c r="AW203" s="420">
        <v>20235.78985389054</v>
      </c>
      <c r="AX203" s="420">
        <v>188300.17173471622</v>
      </c>
      <c r="AY203" s="420">
        <v>468521.1419689959</v>
      </c>
      <c r="AZ203" s="420">
        <v>14733.988728175216</v>
      </c>
      <c r="BA203" s="420">
        <v>10620.683746508848</v>
      </c>
      <c r="BB203" s="420">
        <v>6167776.895575843</v>
      </c>
      <c r="BC203" s="420">
        <v>5503.199985390962</v>
      </c>
      <c r="BD203" s="420">
        <v>714112.6463362346</v>
      </c>
      <c r="BE203" s="420">
        <v>104529.28692178142</v>
      </c>
      <c r="BF203" s="420">
        <v>1739.5128482153737</v>
      </c>
      <c r="BG203" s="420">
        <v>774.997955754337</v>
      </c>
      <c r="BH203" s="420">
        <v>729.2468542164446</v>
      </c>
      <c r="BI203" s="406">
        <f t="shared" si="70"/>
        <v>2122238274</v>
      </c>
      <c r="BJ203" s="406"/>
      <c r="BK203" s="406"/>
      <c r="BL203" s="406"/>
      <c r="BM203" s="406"/>
      <c r="BN203" s="406"/>
      <c r="BO203" s="406"/>
      <c r="BP203" s="406"/>
      <c r="BQ203" s="406"/>
      <c r="BR203" s="406"/>
      <c r="BS203" s="406"/>
      <c r="BT203" s="406"/>
      <c r="BU203" s="406"/>
      <c r="BV203" s="406"/>
      <c r="BW203" s="406"/>
      <c r="BX203" s="406"/>
      <c r="BY203" s="406"/>
      <c r="BZ203" s="406"/>
      <c r="CA203" s="406"/>
      <c r="CB203" s="406"/>
      <c r="CC203" s="406"/>
      <c r="CD203" s="406"/>
      <c r="CE203" s="406"/>
      <c r="CF203" s="406"/>
      <c r="CG203" s="406"/>
      <c r="CH203" s="406"/>
      <c r="CI203" s="406"/>
      <c r="CJ203" s="406"/>
      <c r="CK203" s="406"/>
      <c r="CL203" s="406"/>
      <c r="CM203" s="406"/>
      <c r="CN203" s="406"/>
      <c r="CO203" s="406"/>
      <c r="CP203" s="406"/>
      <c r="CQ203" s="406"/>
      <c r="CR203" s="406"/>
      <c r="CS203" s="406"/>
      <c r="CT203" s="406"/>
      <c r="CU203" s="406"/>
      <c r="CV203" s="406"/>
      <c r="CW203" s="406"/>
      <c r="CX203" s="406"/>
      <c r="CY203" s="406"/>
      <c r="CZ203" s="406"/>
      <c r="DA203" s="406"/>
      <c r="DB203" s="406"/>
      <c r="DC203" s="406"/>
      <c r="DD203" s="406"/>
      <c r="DE203" s="406"/>
      <c r="DF203" s="406"/>
      <c r="DG203" s="406"/>
      <c r="DH203" s="406"/>
      <c r="DI203" s="406"/>
      <c r="DJ203" s="406"/>
      <c r="DK203" s="406"/>
      <c r="DL203" s="406"/>
      <c r="DM203" s="406"/>
      <c r="DN203" s="406"/>
      <c r="DO203" s="406"/>
      <c r="DP203" s="406"/>
      <c r="DQ203" s="406"/>
      <c r="DR203" s="406"/>
      <c r="DS203" s="406"/>
      <c r="DT203" s="406"/>
      <c r="DU203" s="406"/>
    </row>
    <row r="204">
      <c r="B204" s="405">
        <v>16.0</v>
      </c>
      <c r="C204" s="407">
        <f t="shared" ref="C204:AD204" si="79">C173-C76</f>
        <v>-0.0002093046928</v>
      </c>
      <c r="D204" s="407">
        <f t="shared" si="79"/>
        <v>-0.001867255963</v>
      </c>
      <c r="E204" s="407">
        <f t="shared" si="79"/>
        <v>-0.003891826899</v>
      </c>
      <c r="F204" s="407">
        <f t="shared" si="79"/>
        <v>-0.000381220363</v>
      </c>
      <c r="G204" s="407">
        <f t="shared" si="79"/>
        <v>-0.02119860959</v>
      </c>
      <c r="H204" s="407">
        <f t="shared" si="79"/>
        <v>-0.000003399731434</v>
      </c>
      <c r="I204" s="407">
        <f t="shared" si="79"/>
        <v>-0.00002926320554</v>
      </c>
      <c r="J204" s="407">
        <f t="shared" si="79"/>
        <v>-0.001060047746</v>
      </c>
      <c r="K204" s="407">
        <f t="shared" si="79"/>
        <v>-0.00008820696252</v>
      </c>
      <c r="L204" s="407">
        <f t="shared" si="79"/>
        <v>-0.00005638592676</v>
      </c>
      <c r="M204" s="407">
        <f t="shared" si="79"/>
        <v>-0.0000984099781</v>
      </c>
      <c r="N204" s="407">
        <f t="shared" si="79"/>
        <v>-0.000003452984856</v>
      </c>
      <c r="O204" s="407">
        <f t="shared" si="79"/>
        <v>-0.000008928674313</v>
      </c>
      <c r="P204" s="407">
        <f t="shared" si="79"/>
        <v>-0.003829025345</v>
      </c>
      <c r="Q204" s="407">
        <f t="shared" si="79"/>
        <v>-0.00102973482</v>
      </c>
      <c r="R204" s="407">
        <f t="shared" si="79"/>
        <v>0.9634468749</v>
      </c>
      <c r="S204" s="407">
        <f t="shared" si="79"/>
        <v>-0.0146194046</v>
      </c>
      <c r="T204" s="407">
        <f t="shared" si="79"/>
        <v>-0.01169554095</v>
      </c>
      <c r="U204" s="407">
        <f t="shared" si="79"/>
        <v>-0.0216807217</v>
      </c>
      <c r="V204" s="407">
        <f t="shared" si="79"/>
        <v>-0.001382303773</v>
      </c>
      <c r="W204" s="407">
        <f t="shared" si="79"/>
        <v>-0.0004345803353</v>
      </c>
      <c r="X204" s="407">
        <f t="shared" si="79"/>
        <v>-0.0009116516691</v>
      </c>
      <c r="Y204" s="407">
        <f t="shared" si="79"/>
        <v>-0.004248198245</v>
      </c>
      <c r="Z204" s="407">
        <f t="shared" si="79"/>
        <v>-0.001741882932</v>
      </c>
      <c r="AA204" s="407">
        <f t="shared" si="79"/>
        <v>-0.001018061908</v>
      </c>
      <c r="AB204" s="407">
        <f t="shared" si="79"/>
        <v>-0.002612283949</v>
      </c>
      <c r="AC204" s="407">
        <f t="shared" si="79"/>
        <v>-0.001103165091</v>
      </c>
      <c r="AD204" s="407">
        <f t="shared" si="79"/>
        <v>-0.02931165868</v>
      </c>
      <c r="AF204" s="262" t="s">
        <v>153</v>
      </c>
      <c r="AG204" s="420">
        <v>2243919.616185495</v>
      </c>
      <c r="AH204" s="420">
        <v>1.126291097204506E7</v>
      </c>
      <c r="AI204" s="420">
        <v>890723.711591761</v>
      </c>
      <c r="AJ204" s="420">
        <v>1.054200569401463E7</v>
      </c>
      <c r="AK204" s="420">
        <v>1.149313319313165E7</v>
      </c>
      <c r="AL204" s="420">
        <v>31196.555715160153</v>
      </c>
      <c r="AM204" s="420">
        <v>1157434.582034848</v>
      </c>
      <c r="AN204" s="420">
        <v>5.8685954888386875E7</v>
      </c>
      <c r="AO204" s="420">
        <v>50119.46220962361</v>
      </c>
      <c r="AP204" s="420">
        <v>3.1154935518637743E7</v>
      </c>
      <c r="AQ204" s="420">
        <v>1.1620212386473982E8</v>
      </c>
      <c r="AR204" s="420">
        <v>71775.03218168857</v>
      </c>
      <c r="AS204" s="420">
        <v>2965.8750898535495</v>
      </c>
      <c r="AT204" s="420">
        <v>5427918.702905483</v>
      </c>
      <c r="AU204" s="420">
        <v>7257.602847608734</v>
      </c>
      <c r="AV204" s="420">
        <v>10935.515432061273</v>
      </c>
      <c r="AW204" s="420">
        <v>1680.273975832866</v>
      </c>
      <c r="AX204" s="420">
        <v>15504.893698588941</v>
      </c>
      <c r="AY204" s="420">
        <v>44955.39130974938</v>
      </c>
      <c r="AZ204" s="420">
        <v>930.9441797666417</v>
      </c>
      <c r="BA204" s="420">
        <v>1066.8432476882338</v>
      </c>
      <c r="BB204" s="420">
        <v>600351.2244235575</v>
      </c>
      <c r="BC204" s="420">
        <v>488.6723535561501</v>
      </c>
      <c r="BD204" s="420">
        <v>47234.323463348905</v>
      </c>
      <c r="BE204" s="420">
        <v>13682.957294215781</v>
      </c>
      <c r="BF204" s="420">
        <v>192.70670372313012</v>
      </c>
      <c r="BG204" s="420">
        <v>62.81045739965403</v>
      </c>
      <c r="BH204" s="420">
        <v>71.92035317816286</v>
      </c>
      <c r="BI204" s="406">
        <f t="shared" si="70"/>
        <v>249961533.7</v>
      </c>
      <c r="BJ204" s="406"/>
      <c r="BK204" s="406"/>
      <c r="BL204" s="406"/>
      <c r="BM204" s="406"/>
      <c r="BN204" s="406"/>
      <c r="BO204" s="406"/>
      <c r="BP204" s="406"/>
      <c r="BQ204" s="406"/>
      <c r="BR204" s="406"/>
      <c r="BS204" s="406"/>
      <c r="BT204" s="406"/>
      <c r="BU204" s="406"/>
      <c r="BV204" s="406"/>
      <c r="BW204" s="406"/>
      <c r="BX204" s="406"/>
      <c r="BY204" s="406"/>
      <c r="BZ204" s="406"/>
      <c r="CA204" s="406"/>
      <c r="CB204" s="406"/>
      <c r="CC204" s="406"/>
      <c r="CD204" s="406"/>
      <c r="CE204" s="406"/>
      <c r="CF204" s="406"/>
      <c r="CG204" s="406"/>
      <c r="CH204" s="406"/>
      <c r="CI204" s="406"/>
      <c r="CJ204" s="406"/>
      <c r="CK204" s="406"/>
      <c r="CL204" s="406"/>
      <c r="CM204" s="406"/>
      <c r="CN204" s="406"/>
      <c r="CO204" s="406"/>
      <c r="CP204" s="406"/>
      <c r="CQ204" s="406"/>
      <c r="CR204" s="406"/>
      <c r="CS204" s="406"/>
      <c r="CT204" s="406"/>
      <c r="CU204" s="406"/>
      <c r="CV204" s="406"/>
      <c r="CW204" s="406"/>
      <c r="CX204" s="406"/>
      <c r="CY204" s="406"/>
      <c r="CZ204" s="406"/>
      <c r="DA204" s="406"/>
      <c r="DB204" s="406"/>
      <c r="DC204" s="406"/>
      <c r="DD204" s="406"/>
      <c r="DE204" s="406"/>
      <c r="DF204" s="406"/>
      <c r="DG204" s="406"/>
      <c r="DH204" s="406"/>
      <c r="DI204" s="406"/>
      <c r="DJ204" s="406"/>
      <c r="DK204" s="406"/>
      <c r="DL204" s="406"/>
      <c r="DM204" s="406"/>
      <c r="DN204" s="406"/>
      <c r="DO204" s="406"/>
      <c r="DP204" s="406"/>
      <c r="DQ204" s="406"/>
      <c r="DR204" s="406"/>
      <c r="DS204" s="406"/>
      <c r="DT204" s="406"/>
      <c r="DU204" s="406"/>
    </row>
    <row r="205">
      <c r="B205" s="405">
        <v>17.0</v>
      </c>
      <c r="C205" s="407">
        <f t="shared" ref="C205:AD205" si="80">C174-C77</f>
        <v>-0.00002542894</v>
      </c>
      <c r="D205" s="407">
        <f t="shared" si="80"/>
        <v>-0.00008924895389</v>
      </c>
      <c r="E205" s="407">
        <f t="shared" si="80"/>
        <v>-0.0005740287339</v>
      </c>
      <c r="F205" s="407">
        <f t="shared" si="80"/>
        <v>-0.01599422767</v>
      </c>
      <c r="G205" s="407">
        <f t="shared" si="80"/>
        <v>-0.000009203011624</v>
      </c>
      <c r="H205" s="407">
        <f t="shared" si="80"/>
        <v>-0.00001276265471</v>
      </c>
      <c r="I205" s="407">
        <f t="shared" si="80"/>
        <v>-0.0001227038878</v>
      </c>
      <c r="J205" s="407">
        <f t="shared" si="80"/>
        <v>-0.000148088927</v>
      </c>
      <c r="K205" s="407">
        <f t="shared" si="80"/>
        <v>-0.00005893933918</v>
      </c>
      <c r="L205" s="407">
        <f t="shared" si="80"/>
        <v>-0.0002513242896</v>
      </c>
      <c r="M205" s="407">
        <f t="shared" si="80"/>
        <v>-0.0001189764408</v>
      </c>
      <c r="N205" s="407">
        <f t="shared" si="80"/>
        <v>-0.00001460664523</v>
      </c>
      <c r="O205" s="407">
        <f t="shared" si="80"/>
        <v>-0.000006476257245</v>
      </c>
      <c r="P205" s="407">
        <f t="shared" si="80"/>
        <v>-0.0005923444534</v>
      </c>
      <c r="Q205" s="407">
        <f t="shared" si="80"/>
        <v>-0.001070858166</v>
      </c>
      <c r="R205" s="407">
        <f t="shared" si="80"/>
        <v>-0.000969730399</v>
      </c>
      <c r="S205" s="407">
        <f t="shared" si="80"/>
        <v>0.927838692</v>
      </c>
      <c r="T205" s="407">
        <f t="shared" si="80"/>
        <v>-0.3191939758</v>
      </c>
      <c r="U205" s="407">
        <f t="shared" si="80"/>
        <v>-0.009103250853</v>
      </c>
      <c r="V205" s="407">
        <f t="shared" si="80"/>
        <v>-0.003120813838</v>
      </c>
      <c r="W205" s="407">
        <f t="shared" si="80"/>
        <v>-0.00125778832</v>
      </c>
      <c r="X205" s="407">
        <f t="shared" si="80"/>
        <v>-0.001624883164</v>
      </c>
      <c r="Y205" s="407">
        <f t="shared" si="80"/>
        <v>-0.01258954118</v>
      </c>
      <c r="Z205" s="407">
        <f t="shared" si="80"/>
        <v>-0.0009647252237</v>
      </c>
      <c r="AA205" s="407">
        <f t="shared" si="80"/>
        <v>-0.000643984119</v>
      </c>
      <c r="AB205" s="407">
        <f t="shared" si="80"/>
        <v>-0.001136260119</v>
      </c>
      <c r="AC205" s="407">
        <f t="shared" si="80"/>
        <v>-0.003843195891</v>
      </c>
      <c r="AD205" s="407">
        <f t="shared" si="80"/>
        <v>-0.01512559481</v>
      </c>
      <c r="AF205" s="262" t="s">
        <v>154</v>
      </c>
      <c r="AG205" s="420">
        <v>3620959.045534619</v>
      </c>
      <c r="AH205" s="420">
        <v>6256707.5718709305</v>
      </c>
      <c r="AI205" s="420">
        <v>597084.2935223104</v>
      </c>
      <c r="AJ205" s="420">
        <v>1.233234904061501E7</v>
      </c>
      <c r="AK205" s="420">
        <v>6311533.67253965</v>
      </c>
      <c r="AL205" s="420">
        <v>1264235.994571241</v>
      </c>
      <c r="AM205" s="420">
        <v>946488.4615839635</v>
      </c>
      <c r="AN205" s="420">
        <v>6.866468614421259E7</v>
      </c>
      <c r="AO205" s="420">
        <v>78351.86804912247</v>
      </c>
      <c r="AP205" s="420">
        <v>2.1766577158573475E7</v>
      </c>
      <c r="AQ205" s="420">
        <v>2.377361904637919E7</v>
      </c>
      <c r="AR205" s="420">
        <v>1.1088272413428359E7</v>
      </c>
      <c r="AS205" s="420">
        <v>2537.5850229463435</v>
      </c>
      <c r="AT205" s="420">
        <v>4613740.578802443</v>
      </c>
      <c r="AU205" s="420">
        <v>5897.742794021229</v>
      </c>
      <c r="AV205" s="420">
        <v>8443.252378659792</v>
      </c>
      <c r="AW205" s="420">
        <v>1620.7274740504208</v>
      </c>
      <c r="AX205" s="420">
        <v>14987.335907934823</v>
      </c>
      <c r="AY205" s="420">
        <v>34083.311423290266</v>
      </c>
      <c r="AZ205" s="420">
        <v>1557.1990603314869</v>
      </c>
      <c r="BA205" s="420">
        <v>760.9220466553498</v>
      </c>
      <c r="BB205" s="420">
        <v>494208.528936701</v>
      </c>
      <c r="BC205" s="420">
        <v>409.0846058317746</v>
      </c>
      <c r="BD205" s="420">
        <v>32563.698704962284</v>
      </c>
      <c r="BE205" s="420">
        <v>7802.698015859112</v>
      </c>
      <c r="BF205" s="420">
        <v>349.6672462931173</v>
      </c>
      <c r="BG205" s="420">
        <v>53.57246440302794</v>
      </c>
      <c r="BH205" s="420">
        <v>52.8874438486302</v>
      </c>
      <c r="BI205" s="406">
        <f t="shared" si="70"/>
        <v>161919933.5</v>
      </c>
      <c r="BJ205" s="406"/>
      <c r="BK205" s="406"/>
      <c r="BL205" s="406"/>
      <c r="BM205" s="406"/>
      <c r="BN205" s="406"/>
      <c r="BO205" s="406"/>
      <c r="BP205" s="406"/>
      <c r="BQ205" s="406"/>
      <c r="BR205" s="406"/>
      <c r="BS205" s="406"/>
      <c r="BT205" s="406"/>
      <c r="BU205" s="406"/>
      <c r="BV205" s="406"/>
      <c r="BW205" s="406"/>
      <c r="BX205" s="406"/>
      <c r="BY205" s="406"/>
      <c r="BZ205" s="406"/>
      <c r="CA205" s="406"/>
      <c r="CB205" s="406"/>
      <c r="CC205" s="406"/>
      <c r="CD205" s="406"/>
      <c r="CE205" s="406"/>
      <c r="CF205" s="406"/>
      <c r="CG205" s="406"/>
      <c r="CH205" s="406"/>
      <c r="CI205" s="406"/>
      <c r="CJ205" s="406"/>
      <c r="CK205" s="406"/>
      <c r="CL205" s="406"/>
      <c r="CM205" s="406"/>
      <c r="CN205" s="406"/>
      <c r="CO205" s="406"/>
      <c r="CP205" s="406"/>
      <c r="CQ205" s="406"/>
      <c r="CR205" s="406"/>
      <c r="CS205" s="406"/>
      <c r="CT205" s="406"/>
      <c r="CU205" s="406"/>
      <c r="CV205" s="406"/>
      <c r="CW205" s="406"/>
      <c r="CX205" s="406"/>
      <c r="CY205" s="406"/>
      <c r="CZ205" s="406"/>
      <c r="DA205" s="406"/>
      <c r="DB205" s="406"/>
      <c r="DC205" s="406"/>
      <c r="DD205" s="406"/>
      <c r="DE205" s="406"/>
      <c r="DF205" s="406"/>
      <c r="DG205" s="406"/>
      <c r="DH205" s="406"/>
      <c r="DI205" s="406"/>
      <c r="DJ205" s="406"/>
      <c r="DK205" s="406"/>
      <c r="DL205" s="406"/>
      <c r="DM205" s="406"/>
      <c r="DN205" s="406"/>
      <c r="DO205" s="406"/>
      <c r="DP205" s="406"/>
      <c r="DQ205" s="406"/>
      <c r="DR205" s="406"/>
      <c r="DS205" s="406"/>
      <c r="DT205" s="406"/>
      <c r="DU205" s="406"/>
    </row>
    <row r="206">
      <c r="B206" s="405">
        <v>18.0</v>
      </c>
      <c r="C206" s="407">
        <f t="shared" ref="C206:AD206" si="81">C175-C78</f>
        <v>-0.0002155323627</v>
      </c>
      <c r="D206" s="407">
        <f t="shared" si="81"/>
        <v>-0.0004642548179</v>
      </c>
      <c r="E206" s="407">
        <f t="shared" si="81"/>
        <v>-0.02025192085</v>
      </c>
      <c r="F206" s="407">
        <f t="shared" si="81"/>
        <v>-0.04443934019</v>
      </c>
      <c r="G206" s="407">
        <f t="shared" si="81"/>
        <v>-0.0002124863624</v>
      </c>
      <c r="H206" s="407">
        <f t="shared" si="81"/>
        <v>-0.00002891100358</v>
      </c>
      <c r="I206" s="407">
        <f t="shared" si="81"/>
        <v>-0.0001034578522</v>
      </c>
      <c r="J206" s="407">
        <f t="shared" si="81"/>
        <v>-0.0008348776859</v>
      </c>
      <c r="K206" s="407">
        <f t="shared" si="81"/>
        <v>-0.0005178653381</v>
      </c>
      <c r="L206" s="407">
        <f t="shared" si="81"/>
        <v>-0.003878520599</v>
      </c>
      <c r="M206" s="407">
        <f t="shared" si="81"/>
        <v>-0.0005091331601</v>
      </c>
      <c r="N206" s="407">
        <f t="shared" si="81"/>
        <v>-0.000030659835</v>
      </c>
      <c r="O206" s="407">
        <f t="shared" si="81"/>
        <v>-0.00002838204154</v>
      </c>
      <c r="P206" s="407">
        <f t="shared" si="81"/>
        <v>-0.009966657083</v>
      </c>
      <c r="Q206" s="407">
        <f t="shared" si="81"/>
        <v>-0.00213670219</v>
      </c>
      <c r="R206" s="407">
        <f t="shared" si="81"/>
        <v>-0.006144864587</v>
      </c>
      <c r="S206" s="407">
        <f t="shared" si="81"/>
        <v>-0.01653424764</v>
      </c>
      <c r="T206" s="407">
        <f t="shared" si="81"/>
        <v>0.9216006174</v>
      </c>
      <c r="U206" s="407">
        <f t="shared" si="81"/>
        <v>-0.041265935</v>
      </c>
      <c r="V206" s="407">
        <f t="shared" si="81"/>
        <v>-0.002345727052</v>
      </c>
      <c r="W206" s="407">
        <f t="shared" si="81"/>
        <v>-0.0007742545602</v>
      </c>
      <c r="X206" s="407">
        <f t="shared" si="81"/>
        <v>-0.001662954574</v>
      </c>
      <c r="Y206" s="407">
        <f t="shared" si="81"/>
        <v>-0.007388326637</v>
      </c>
      <c r="Z206" s="407">
        <f t="shared" si="81"/>
        <v>-0.001588004229</v>
      </c>
      <c r="AA206" s="407">
        <f t="shared" si="81"/>
        <v>-0.00259330706</v>
      </c>
      <c r="AB206" s="407">
        <f t="shared" si="81"/>
        <v>-0.004328494393</v>
      </c>
      <c r="AC206" s="407">
        <f t="shared" si="81"/>
        <v>-0.002414626402</v>
      </c>
      <c r="AD206" s="407">
        <f t="shared" si="81"/>
        <v>-0.04252483401</v>
      </c>
      <c r="AF206" s="262" t="s">
        <v>155</v>
      </c>
      <c r="AG206" s="420">
        <v>8379.049145206498</v>
      </c>
      <c r="AH206" s="420">
        <v>41895.673868279104</v>
      </c>
      <c r="AI206" s="420">
        <v>3565.556456536889</v>
      </c>
      <c r="AJ206" s="420">
        <v>19211.813027492473</v>
      </c>
      <c r="AK206" s="420">
        <v>32706.61272698116</v>
      </c>
      <c r="AL206" s="420">
        <v>186.18952391157546</v>
      </c>
      <c r="AM206" s="420">
        <v>2342.2534905047687</v>
      </c>
      <c r="AN206" s="420">
        <v>131414.60033866705</v>
      </c>
      <c r="AO206" s="420">
        <v>220.38567601724623</v>
      </c>
      <c r="AP206" s="420">
        <v>58881.9355553899</v>
      </c>
      <c r="AQ206" s="420">
        <v>92896.39147325025</v>
      </c>
      <c r="AR206" s="420">
        <v>424.0933787822945</v>
      </c>
      <c r="AS206" s="420">
        <v>6121.441442481554</v>
      </c>
      <c r="AT206" s="420">
        <v>32537.451661180345</v>
      </c>
      <c r="AU206" s="420">
        <v>12.38201231348189</v>
      </c>
      <c r="AV206" s="420">
        <v>19.218208206917577</v>
      </c>
      <c r="AW206" s="420">
        <v>3.118469913966264</v>
      </c>
      <c r="AX206" s="420">
        <v>26.765009839322623</v>
      </c>
      <c r="AY206" s="420">
        <v>83.36718092667093</v>
      </c>
      <c r="AZ206" s="420">
        <v>1.4249057946027566</v>
      </c>
      <c r="BA206" s="420">
        <v>1.7063552729507547</v>
      </c>
      <c r="BB206" s="420">
        <v>1048.8856560973109</v>
      </c>
      <c r="BC206" s="420">
        <v>0.868436209352145</v>
      </c>
      <c r="BD206" s="420">
        <v>93.15179623361237</v>
      </c>
      <c r="BE206" s="420">
        <v>20.075217431701265</v>
      </c>
      <c r="BF206" s="420">
        <v>0.2743786631333427</v>
      </c>
      <c r="BG206" s="420">
        <v>0.10454250962984378</v>
      </c>
      <c r="BH206" s="420">
        <v>0.13652049672606728</v>
      </c>
      <c r="BI206" s="406">
        <f t="shared" si="70"/>
        <v>432094.9265</v>
      </c>
      <c r="BJ206" s="406"/>
      <c r="BK206" s="406"/>
      <c r="BL206" s="406"/>
      <c r="BM206" s="406"/>
      <c r="BN206" s="406"/>
      <c r="BO206" s="406"/>
      <c r="BP206" s="406"/>
      <c r="BQ206" s="406"/>
      <c r="BR206" s="406"/>
      <c r="BS206" s="406"/>
      <c r="BT206" s="406"/>
      <c r="BU206" s="406"/>
      <c r="BV206" s="406"/>
      <c r="BW206" s="406"/>
      <c r="BX206" s="406"/>
      <c r="BY206" s="406"/>
      <c r="BZ206" s="406"/>
      <c r="CA206" s="406"/>
      <c r="CB206" s="406"/>
      <c r="CC206" s="406"/>
      <c r="CD206" s="406"/>
      <c r="CE206" s="406"/>
      <c r="CF206" s="406"/>
      <c r="CG206" s="406"/>
      <c r="CH206" s="406"/>
      <c r="CI206" s="406"/>
      <c r="CJ206" s="406"/>
      <c r="CK206" s="406"/>
      <c r="CL206" s="406"/>
      <c r="CM206" s="406"/>
      <c r="CN206" s="406"/>
      <c r="CO206" s="406"/>
      <c r="CP206" s="406"/>
      <c r="CQ206" s="406"/>
      <c r="CR206" s="406"/>
      <c r="CS206" s="406"/>
      <c r="CT206" s="406"/>
      <c r="CU206" s="406"/>
      <c r="CV206" s="406"/>
      <c r="CW206" s="406"/>
      <c r="CX206" s="406"/>
      <c r="CY206" s="406"/>
      <c r="CZ206" s="406"/>
      <c r="DA206" s="406"/>
      <c r="DB206" s="406"/>
      <c r="DC206" s="406"/>
      <c r="DD206" s="406"/>
      <c r="DE206" s="406"/>
      <c r="DF206" s="406"/>
      <c r="DG206" s="406"/>
      <c r="DH206" s="406"/>
      <c r="DI206" s="406"/>
      <c r="DJ206" s="406"/>
      <c r="DK206" s="406"/>
      <c r="DL206" s="406"/>
      <c r="DM206" s="406"/>
      <c r="DN206" s="406"/>
      <c r="DO206" s="406"/>
      <c r="DP206" s="406"/>
      <c r="DQ206" s="406"/>
      <c r="DR206" s="406"/>
      <c r="DS206" s="406"/>
      <c r="DT206" s="406"/>
      <c r="DU206" s="406"/>
    </row>
    <row r="207">
      <c r="B207" s="405">
        <v>19.0</v>
      </c>
      <c r="C207" s="407">
        <f t="shared" ref="C207:AD207" si="82">C176-C79</f>
        <v>-0.0001625172436</v>
      </c>
      <c r="D207" s="407">
        <f t="shared" si="82"/>
        <v>-0.004054379652</v>
      </c>
      <c r="E207" s="407">
        <f t="shared" si="82"/>
        <v>-0.01381449353</v>
      </c>
      <c r="F207" s="407">
        <f t="shared" si="82"/>
        <v>-0.007461053047</v>
      </c>
      <c r="G207" s="407">
        <f t="shared" si="82"/>
        <v>-0.03441276691</v>
      </c>
      <c r="H207" s="407">
        <f t="shared" si="82"/>
        <v>-0.000008939459763</v>
      </c>
      <c r="I207" s="407">
        <f t="shared" si="82"/>
        <v>-0.00003122815741</v>
      </c>
      <c r="J207" s="407">
        <f t="shared" si="82"/>
        <v>-0.0009765325555</v>
      </c>
      <c r="K207" s="407">
        <f t="shared" si="82"/>
        <v>-0.0001855750159</v>
      </c>
      <c r="L207" s="407">
        <f t="shared" si="82"/>
        <v>-0.001052194051</v>
      </c>
      <c r="M207" s="407">
        <f t="shared" si="82"/>
        <v>-0.0002830323248</v>
      </c>
      <c r="N207" s="407">
        <f t="shared" si="82"/>
        <v>-0.000009362820695</v>
      </c>
      <c r="O207" s="407">
        <f t="shared" si="82"/>
        <v>-0.00002726121444</v>
      </c>
      <c r="P207" s="407">
        <f t="shared" si="82"/>
        <v>-0.008860599327</v>
      </c>
      <c r="Q207" s="407">
        <f t="shared" si="82"/>
        <v>-0.001795760602</v>
      </c>
      <c r="R207" s="407">
        <f t="shared" si="82"/>
        <v>-0.04439539655</v>
      </c>
      <c r="S207" s="407">
        <f t="shared" si="82"/>
        <v>-0.06537997563</v>
      </c>
      <c r="T207" s="407">
        <f t="shared" si="82"/>
        <v>-0.02749088433</v>
      </c>
      <c r="U207" s="407">
        <f t="shared" si="82"/>
        <v>0.863504542</v>
      </c>
      <c r="V207" s="407">
        <f t="shared" si="82"/>
        <v>-0.001682103196</v>
      </c>
      <c r="W207" s="407">
        <f t="shared" si="82"/>
        <v>-0.0008601020394</v>
      </c>
      <c r="X207" s="407">
        <f t="shared" si="82"/>
        <v>-0.001405179146</v>
      </c>
      <c r="Y207" s="407">
        <f t="shared" si="82"/>
        <v>-0.01266964899</v>
      </c>
      <c r="Z207" s="407">
        <f t="shared" si="82"/>
        <v>-0.00137340028</v>
      </c>
      <c r="AA207" s="407">
        <f t="shared" si="82"/>
        <v>-0.002336503518</v>
      </c>
      <c r="AB207" s="407">
        <f t="shared" si="82"/>
        <v>-0.001826226603</v>
      </c>
      <c r="AC207" s="407">
        <f t="shared" si="82"/>
        <v>-0.001975534967</v>
      </c>
      <c r="AD207" s="407">
        <f t="shared" si="82"/>
        <v>-0.04438992754</v>
      </c>
      <c r="AF207" s="262" t="s">
        <v>156</v>
      </c>
      <c r="AG207" s="420">
        <v>103488.2317802173</v>
      </c>
      <c r="AH207" s="420">
        <v>1070554.7833719335</v>
      </c>
      <c r="AI207" s="420">
        <v>44974.062741001086</v>
      </c>
      <c r="AJ207" s="420">
        <v>928390.0274460219</v>
      </c>
      <c r="AK207" s="420">
        <v>997102.9903064863</v>
      </c>
      <c r="AL207" s="420">
        <v>1610.0329469050914</v>
      </c>
      <c r="AM207" s="420">
        <v>67189.10369935803</v>
      </c>
      <c r="AN207" s="420">
        <v>4139745.5280575166</v>
      </c>
      <c r="AO207" s="420">
        <v>5123.959547239227</v>
      </c>
      <c r="AP207" s="420">
        <v>2546676.5941470256</v>
      </c>
      <c r="AQ207" s="420">
        <v>1058446.637253678</v>
      </c>
      <c r="AR207" s="420">
        <v>3622.316717159712</v>
      </c>
      <c r="AS207" s="420">
        <v>211.89998583642506</v>
      </c>
      <c r="AT207" s="420">
        <v>1.1967773621808118E8</v>
      </c>
      <c r="AU207" s="420">
        <v>5954.875582050075</v>
      </c>
      <c r="AV207" s="420">
        <v>8169.13540005254</v>
      </c>
      <c r="AW207" s="420">
        <v>1243.734399664617</v>
      </c>
      <c r="AX207" s="420">
        <v>9346.331244274708</v>
      </c>
      <c r="AY207" s="420">
        <v>26582.79589485737</v>
      </c>
      <c r="AZ207" s="420">
        <v>459.8337677581862</v>
      </c>
      <c r="BA207" s="420">
        <v>897.6784921971927</v>
      </c>
      <c r="BB207" s="420">
        <v>453962.18417408736</v>
      </c>
      <c r="BC207" s="420">
        <v>615.328663621839</v>
      </c>
      <c r="BD207" s="420">
        <v>115800.86496906898</v>
      </c>
      <c r="BE207" s="420">
        <v>13854.824983153925</v>
      </c>
      <c r="BF207" s="420">
        <v>93.2397595706502</v>
      </c>
      <c r="BG207" s="420">
        <v>46.346999330615056</v>
      </c>
      <c r="BH207" s="420">
        <v>69.50705921790066</v>
      </c>
      <c r="BI207" s="406">
        <f t="shared" si="70"/>
        <v>131281969.1</v>
      </c>
      <c r="BJ207" s="406"/>
      <c r="BK207" s="406"/>
      <c r="BL207" s="406"/>
      <c r="BM207" s="406"/>
      <c r="BN207" s="406"/>
      <c r="BO207" s="406"/>
      <c r="BP207" s="406"/>
      <c r="BQ207" s="406"/>
      <c r="BR207" s="406"/>
      <c r="BS207" s="406"/>
      <c r="BT207" s="406"/>
      <c r="BU207" s="406"/>
      <c r="BV207" s="406"/>
      <c r="BW207" s="406"/>
      <c r="BX207" s="406"/>
      <c r="BY207" s="406"/>
      <c r="BZ207" s="406"/>
      <c r="CA207" s="406"/>
      <c r="CB207" s="406"/>
      <c r="CC207" s="406"/>
      <c r="CD207" s="406"/>
      <c r="CE207" s="406"/>
      <c r="CF207" s="406"/>
      <c r="CG207" s="406"/>
      <c r="CH207" s="406"/>
      <c r="CI207" s="406"/>
      <c r="CJ207" s="406"/>
      <c r="CK207" s="406"/>
      <c r="CL207" s="406"/>
      <c r="CM207" s="406"/>
      <c r="CN207" s="406"/>
      <c r="CO207" s="406"/>
      <c r="CP207" s="406"/>
      <c r="CQ207" s="406"/>
      <c r="CR207" s="406"/>
      <c r="CS207" s="406"/>
      <c r="CT207" s="406"/>
      <c r="CU207" s="406"/>
      <c r="CV207" s="406"/>
      <c r="CW207" s="406"/>
      <c r="CX207" s="406"/>
      <c r="CY207" s="406"/>
      <c r="CZ207" s="406"/>
      <c r="DA207" s="406"/>
      <c r="DB207" s="406"/>
      <c r="DC207" s="406"/>
      <c r="DD207" s="406"/>
      <c r="DE207" s="406"/>
      <c r="DF207" s="406"/>
      <c r="DG207" s="406"/>
      <c r="DH207" s="406"/>
      <c r="DI207" s="406"/>
      <c r="DJ207" s="406"/>
      <c r="DK207" s="406"/>
      <c r="DL207" s="406"/>
      <c r="DM207" s="406"/>
      <c r="DN207" s="406"/>
      <c r="DO207" s="406"/>
      <c r="DP207" s="406"/>
      <c r="DQ207" s="406"/>
      <c r="DR207" s="406"/>
      <c r="DS207" s="406"/>
      <c r="DT207" s="406"/>
      <c r="DU207" s="406"/>
    </row>
    <row r="208">
      <c r="B208" s="405">
        <v>20.0</v>
      </c>
      <c r="C208" s="407">
        <f t="shared" ref="C208:AD208" si="83">C177-C80</f>
        <v>-0.00003101750552</v>
      </c>
      <c r="D208" s="407">
        <f t="shared" si="83"/>
        <v>-0.00007427193801</v>
      </c>
      <c r="E208" s="407">
        <f t="shared" si="83"/>
        <v>-0.00003158991752</v>
      </c>
      <c r="F208" s="407">
        <f t="shared" si="83"/>
        <v>-0.00006928642216</v>
      </c>
      <c r="G208" s="407">
        <f t="shared" si="83"/>
        <v>-0.00004827737048</v>
      </c>
      <c r="H208" s="407">
        <f t="shared" si="83"/>
        <v>-0.001064152217</v>
      </c>
      <c r="I208" s="407">
        <f t="shared" si="83"/>
        <v>-0.000003875378719</v>
      </c>
      <c r="J208" s="407">
        <f t="shared" si="83"/>
        <v>-0.0001429099498</v>
      </c>
      <c r="K208" s="407">
        <f t="shared" si="83"/>
        <v>-0.00003773861258</v>
      </c>
      <c r="L208" s="407">
        <f t="shared" si="83"/>
        <v>-0.00005817769369</v>
      </c>
      <c r="M208" s="407">
        <f t="shared" si="83"/>
        <v>-0.00001139684422</v>
      </c>
      <c r="N208" s="407">
        <f t="shared" si="83"/>
        <v>-0.001033953114</v>
      </c>
      <c r="O208" s="407">
        <f t="shared" si="83"/>
        <v>-0.00001264894603</v>
      </c>
      <c r="P208" s="407">
        <f t="shared" si="83"/>
        <v>-0.000008074232414</v>
      </c>
      <c r="Q208" s="407">
        <f t="shared" si="83"/>
        <v>-0.0002126291031</v>
      </c>
      <c r="R208" s="407">
        <f t="shared" si="83"/>
        <v>-0.0005074944001</v>
      </c>
      <c r="S208" s="407">
        <f t="shared" si="83"/>
        <v>-0.0003827372157</v>
      </c>
      <c r="T208" s="407">
        <f t="shared" si="83"/>
        <v>-0.0006252552812</v>
      </c>
      <c r="U208" s="407">
        <f t="shared" si="83"/>
        <v>-0.0003798593915</v>
      </c>
      <c r="V208" s="407">
        <f t="shared" si="83"/>
        <v>0.9633220525</v>
      </c>
      <c r="W208" s="407">
        <f t="shared" si="83"/>
        <v>-0.0003773283262</v>
      </c>
      <c r="X208" s="407">
        <f t="shared" si="83"/>
        <v>-0.0006034669845</v>
      </c>
      <c r="Y208" s="407">
        <f t="shared" si="83"/>
        <v>-0.0003988839859</v>
      </c>
      <c r="Z208" s="407">
        <f t="shared" si="83"/>
        <v>-0.0003478964228</v>
      </c>
      <c r="AA208" s="407">
        <f t="shared" si="83"/>
        <v>-0.0004726982662</v>
      </c>
      <c r="AB208" s="407">
        <f t="shared" si="83"/>
        <v>-0.03284023471</v>
      </c>
      <c r="AC208" s="407">
        <f t="shared" si="83"/>
        <v>-0.005960373615</v>
      </c>
      <c r="AD208" s="407">
        <f t="shared" si="83"/>
        <v>-0.0004613271069</v>
      </c>
      <c r="AF208" s="263" t="s">
        <v>157</v>
      </c>
      <c r="AG208" s="420">
        <v>1.2046972727980051E7</v>
      </c>
      <c r="AH208" s="420">
        <v>6.875511637530439E7</v>
      </c>
      <c r="AI208" s="420">
        <v>2.687891878225508E7</v>
      </c>
      <c r="AJ208" s="420">
        <v>4.1549992083402954E7</v>
      </c>
      <c r="AK208" s="420">
        <v>3.646771749058787E8</v>
      </c>
      <c r="AL208" s="420">
        <v>12681.394454244002</v>
      </c>
      <c r="AM208" s="420">
        <v>1088087.734451195</v>
      </c>
      <c r="AN208" s="420">
        <v>1.2651609740273924E8</v>
      </c>
      <c r="AO208" s="420">
        <v>488168.8683443829</v>
      </c>
      <c r="AP208" s="420">
        <v>1.8438871689734645E7</v>
      </c>
      <c r="AQ208" s="420">
        <v>1.0628498120696707E7</v>
      </c>
      <c r="AR208" s="420">
        <v>27762.003063430348</v>
      </c>
      <c r="AS208" s="420">
        <v>2016.6288538060635</v>
      </c>
      <c r="AT208" s="420">
        <v>2.572811468333598E7</v>
      </c>
      <c r="AU208" s="420">
        <v>8.355951997671455E8</v>
      </c>
      <c r="AV208" s="420">
        <v>1.0939863184442587E8</v>
      </c>
      <c r="AW208" s="420">
        <v>1.159945341820647E7</v>
      </c>
      <c r="AX208" s="420">
        <v>3.842720195545252E7</v>
      </c>
      <c r="AY208" s="420">
        <v>8.792394782373927E8</v>
      </c>
      <c r="AZ208" s="420">
        <v>311642.76074348134</v>
      </c>
      <c r="BA208" s="420">
        <v>1451200.391259567</v>
      </c>
      <c r="BB208" s="420">
        <v>6.584887152128586E8</v>
      </c>
      <c r="BC208" s="420">
        <v>1815661.4166763579</v>
      </c>
      <c r="BD208" s="420">
        <v>2.8450287156713303E7</v>
      </c>
      <c r="BE208" s="420">
        <v>1.203045928112897E7</v>
      </c>
      <c r="BF208" s="420">
        <v>75272.36177090676</v>
      </c>
      <c r="BG208" s="420">
        <v>55506.339253920836</v>
      </c>
      <c r="BH208" s="420">
        <v>280303.028681007</v>
      </c>
      <c r="BI208" s="406">
        <f t="shared" si="70"/>
        <v>3274057487</v>
      </c>
      <c r="BJ208" s="406"/>
      <c r="BK208" s="406"/>
      <c r="BL208" s="406"/>
      <c r="BM208" s="406"/>
      <c r="BN208" s="406"/>
      <c r="BO208" s="406"/>
      <c r="BP208" s="406"/>
      <c r="BQ208" s="406"/>
      <c r="BR208" s="406"/>
      <c r="BS208" s="406"/>
      <c r="BT208" s="406"/>
      <c r="BU208" s="406"/>
      <c r="BV208" s="406"/>
      <c r="BW208" s="406"/>
      <c r="BX208" s="406"/>
      <c r="BY208" s="406"/>
      <c r="BZ208" s="406"/>
      <c r="CA208" s="406"/>
      <c r="CB208" s="406"/>
      <c r="CC208" s="406"/>
      <c r="CD208" s="406"/>
      <c r="CE208" s="406"/>
      <c r="CF208" s="406"/>
      <c r="CG208" s="406"/>
      <c r="CH208" s="406"/>
      <c r="CI208" s="406"/>
      <c r="CJ208" s="406"/>
      <c r="CK208" s="406"/>
      <c r="CL208" s="406"/>
      <c r="CM208" s="406"/>
      <c r="CN208" s="406"/>
      <c r="CO208" s="406"/>
      <c r="CP208" s="406"/>
      <c r="CQ208" s="406"/>
      <c r="CR208" s="406"/>
      <c r="CS208" s="406"/>
      <c r="CT208" s="406"/>
      <c r="CU208" s="406"/>
      <c r="CV208" s="406"/>
      <c r="CW208" s="406"/>
      <c r="CX208" s="406"/>
      <c r="CY208" s="406"/>
      <c r="CZ208" s="406"/>
      <c r="DA208" s="406"/>
      <c r="DB208" s="406"/>
      <c r="DC208" s="406"/>
      <c r="DD208" s="406"/>
      <c r="DE208" s="406"/>
      <c r="DF208" s="406"/>
      <c r="DG208" s="406"/>
      <c r="DH208" s="406"/>
      <c r="DI208" s="406"/>
      <c r="DJ208" s="406"/>
      <c r="DK208" s="406"/>
      <c r="DL208" s="406"/>
      <c r="DM208" s="406"/>
      <c r="DN208" s="406"/>
      <c r="DO208" s="406"/>
      <c r="DP208" s="406"/>
      <c r="DQ208" s="406"/>
      <c r="DR208" s="406"/>
      <c r="DS208" s="406"/>
      <c r="DT208" s="406"/>
      <c r="DU208" s="406"/>
    </row>
    <row r="209">
      <c r="B209" s="405">
        <v>21.0</v>
      </c>
      <c r="C209" s="407">
        <f t="shared" ref="C209:AD209" si="84">C178-C81</f>
        <v>-0.004956818682</v>
      </c>
      <c r="D209" s="407">
        <f t="shared" si="84"/>
        <v>-0.0005596434218</v>
      </c>
      <c r="E209" s="407">
        <f t="shared" si="84"/>
        <v>-0.01876442446</v>
      </c>
      <c r="F209" s="407">
        <f t="shared" si="84"/>
        <v>-0.000844817971</v>
      </c>
      <c r="G209" s="407">
        <f t="shared" si="84"/>
        <v>-0.002000582403</v>
      </c>
      <c r="H209" s="407">
        <f t="shared" si="84"/>
        <v>-0.0004000386504</v>
      </c>
      <c r="I209" s="407">
        <f t="shared" si="84"/>
        <v>-0.04727344629</v>
      </c>
      <c r="J209" s="407">
        <f t="shared" si="84"/>
        <v>-0.02761232644</v>
      </c>
      <c r="K209" s="407">
        <f t="shared" si="84"/>
        <v>-0.6426427725</v>
      </c>
      <c r="L209" s="407">
        <f t="shared" si="84"/>
        <v>-0.004914040077</v>
      </c>
      <c r="M209" s="407">
        <f t="shared" si="84"/>
        <v>-0.0002697013305</v>
      </c>
      <c r="N209" s="407">
        <f t="shared" si="84"/>
        <v>-0.0004823403154</v>
      </c>
      <c r="O209" s="407">
        <f t="shared" si="84"/>
        <v>-0.0001237668267</v>
      </c>
      <c r="P209" s="407">
        <f t="shared" si="84"/>
        <v>-0.0006414240186</v>
      </c>
      <c r="Q209" s="407">
        <f t="shared" si="84"/>
        <v>-0.004108888476</v>
      </c>
      <c r="R209" s="407">
        <f t="shared" si="84"/>
        <v>-0.004127883298</v>
      </c>
      <c r="S209" s="407">
        <f t="shared" si="84"/>
        <v>-0.006126275439</v>
      </c>
      <c r="T209" s="407">
        <f t="shared" si="84"/>
        <v>-0.006815359137</v>
      </c>
      <c r="U209" s="407">
        <f t="shared" si="84"/>
        <v>-0.004865942446</v>
      </c>
      <c r="V209" s="407">
        <f t="shared" si="84"/>
        <v>-0.005282308311</v>
      </c>
      <c r="W209" s="407">
        <f t="shared" si="84"/>
        <v>0.8827277952</v>
      </c>
      <c r="X209" s="407">
        <f t="shared" si="84"/>
        <v>-0.05812158243</v>
      </c>
      <c r="Y209" s="407">
        <f t="shared" si="84"/>
        <v>-0.04598384962</v>
      </c>
      <c r="Z209" s="407">
        <f t="shared" si="84"/>
        <v>-0.02035334297</v>
      </c>
      <c r="AA209" s="407">
        <f t="shared" si="84"/>
        <v>-0.001219211278</v>
      </c>
      <c r="AB209" s="407">
        <f t="shared" si="84"/>
        <v>-0.009728944219</v>
      </c>
      <c r="AC209" s="407">
        <f t="shared" si="84"/>
        <v>-0.01015138427</v>
      </c>
      <c r="AD209" s="407">
        <f t="shared" si="84"/>
        <v>-0.001530164089</v>
      </c>
      <c r="AF209" s="263" t="s">
        <v>158</v>
      </c>
      <c r="AG209" s="420">
        <v>240196.40470150224</v>
      </c>
      <c r="AH209" s="420">
        <v>1882308.5386510547</v>
      </c>
      <c r="AI209" s="420">
        <v>500560.6349840141</v>
      </c>
      <c r="AJ209" s="420">
        <v>2141481.942453674</v>
      </c>
      <c r="AK209" s="420">
        <v>3.450275346631115E7</v>
      </c>
      <c r="AL209" s="420">
        <v>1336.1322718698116</v>
      </c>
      <c r="AM209" s="420">
        <v>95865.56696473545</v>
      </c>
      <c r="AN209" s="420">
        <v>1.3048674872897325E7</v>
      </c>
      <c r="AO209" s="420">
        <v>27549.966488290516</v>
      </c>
      <c r="AP209" s="420">
        <v>1976467.3154326736</v>
      </c>
      <c r="AQ209" s="420">
        <v>1582165.125729463</v>
      </c>
      <c r="AR209" s="420">
        <v>2970.9816762100445</v>
      </c>
      <c r="AS209" s="420">
        <v>214.15191132298418</v>
      </c>
      <c r="AT209" s="420">
        <v>3086212.416969914</v>
      </c>
      <c r="AU209" s="420">
        <v>732293.3256480279</v>
      </c>
      <c r="AV209" s="420">
        <v>1.8233838135538164E8</v>
      </c>
      <c r="AW209" s="420">
        <v>896801.842244592</v>
      </c>
      <c r="AX209" s="420">
        <v>5521313.682606651</v>
      </c>
      <c r="AY209" s="420">
        <v>2.3158524996423416E7</v>
      </c>
      <c r="AZ209" s="420">
        <v>36935.132860469595</v>
      </c>
      <c r="BA209" s="420">
        <v>70804.10880573752</v>
      </c>
      <c r="BB209" s="420">
        <v>3.0269934613515694E7</v>
      </c>
      <c r="BC209" s="420">
        <v>71446.14700621823</v>
      </c>
      <c r="BD209" s="420">
        <v>3908763.5563149047</v>
      </c>
      <c r="BE209" s="420">
        <v>1178732.7376308376</v>
      </c>
      <c r="BF209" s="420">
        <v>10568.388439205459</v>
      </c>
      <c r="BG209" s="420">
        <v>4838.148006196199</v>
      </c>
      <c r="BH209" s="420">
        <v>75356.62636452056</v>
      </c>
      <c r="BI209" s="406">
        <f t="shared" si="70"/>
        <v>307363452.2</v>
      </c>
      <c r="BJ209" s="406"/>
      <c r="BK209" s="406"/>
      <c r="BL209" s="406"/>
      <c r="BM209" s="406"/>
      <c r="BN209" s="406"/>
      <c r="BO209" s="406"/>
      <c r="BP209" s="406"/>
      <c r="BQ209" s="406"/>
      <c r="BR209" s="406"/>
      <c r="BS209" s="406"/>
      <c r="BT209" s="406"/>
      <c r="BU209" s="406"/>
      <c r="BV209" s="406"/>
      <c r="BW209" s="406"/>
      <c r="BX209" s="406"/>
      <c r="BY209" s="406"/>
      <c r="BZ209" s="406"/>
      <c r="CA209" s="406"/>
      <c r="CB209" s="406"/>
      <c r="CC209" s="406"/>
      <c r="CD209" s="406"/>
      <c r="CE209" s="406"/>
      <c r="CF209" s="406"/>
      <c r="CG209" s="406"/>
      <c r="CH209" s="406"/>
      <c r="CI209" s="406"/>
      <c r="CJ209" s="406"/>
      <c r="CK209" s="406"/>
      <c r="CL209" s="406"/>
      <c r="CM209" s="406"/>
      <c r="CN209" s="406"/>
      <c r="CO209" s="406"/>
      <c r="CP209" s="406"/>
      <c r="CQ209" s="406"/>
      <c r="CR209" s="406"/>
      <c r="CS209" s="406"/>
      <c r="CT209" s="406"/>
      <c r="CU209" s="406"/>
      <c r="CV209" s="406"/>
      <c r="CW209" s="406"/>
      <c r="CX209" s="406"/>
      <c r="CY209" s="406"/>
      <c r="CZ209" s="406"/>
      <c r="DA209" s="406"/>
      <c r="DB209" s="406"/>
      <c r="DC209" s="406"/>
      <c r="DD209" s="406"/>
      <c r="DE209" s="406"/>
      <c r="DF209" s="406"/>
      <c r="DG209" s="406"/>
      <c r="DH209" s="406"/>
      <c r="DI209" s="406"/>
      <c r="DJ209" s="406"/>
      <c r="DK209" s="406"/>
      <c r="DL209" s="406"/>
      <c r="DM209" s="406"/>
      <c r="DN209" s="406"/>
      <c r="DO209" s="406"/>
      <c r="DP209" s="406"/>
      <c r="DQ209" s="406"/>
      <c r="DR209" s="406"/>
      <c r="DS209" s="406"/>
      <c r="DT209" s="406"/>
      <c r="DU209" s="406"/>
    </row>
    <row r="210">
      <c r="B210" s="405">
        <v>22.0</v>
      </c>
      <c r="C210" s="407">
        <f t="shared" ref="C210:AD210" si="85">C179-C82</f>
        <v>-0.1524998974</v>
      </c>
      <c r="D210" s="407">
        <f t="shared" si="85"/>
        <v>-0.07261025449</v>
      </c>
      <c r="E210" s="407">
        <f t="shared" si="85"/>
        <v>-0.04204023341</v>
      </c>
      <c r="F210" s="407">
        <f t="shared" si="85"/>
        <v>-0.06401154902</v>
      </c>
      <c r="G210" s="407">
        <f t="shared" si="85"/>
        <v>-0.01750817918</v>
      </c>
      <c r="H210" s="407">
        <f t="shared" si="85"/>
        <v>-0.009514408279</v>
      </c>
      <c r="I210" s="407">
        <f t="shared" si="85"/>
        <v>-0.01637639727</v>
      </c>
      <c r="J210" s="407">
        <f t="shared" si="85"/>
        <v>-0.1753082893</v>
      </c>
      <c r="K210" s="407">
        <f t="shared" si="85"/>
        <v>-0.01934257139</v>
      </c>
      <c r="L210" s="407">
        <f t="shared" si="85"/>
        <v>-0.01917867847</v>
      </c>
      <c r="M210" s="407">
        <f t="shared" si="85"/>
        <v>-0.02122064168</v>
      </c>
      <c r="N210" s="407">
        <f t="shared" si="85"/>
        <v>-0.007031582267</v>
      </c>
      <c r="O210" s="407">
        <f t="shared" si="85"/>
        <v>-0.00972120577</v>
      </c>
      <c r="P210" s="407">
        <f t="shared" si="85"/>
        <v>-0.01230617482</v>
      </c>
      <c r="Q210" s="407">
        <f t="shared" si="85"/>
        <v>-0.07912228861</v>
      </c>
      <c r="R210" s="407">
        <f t="shared" si="85"/>
        <v>-0.1381464013</v>
      </c>
      <c r="S210" s="407">
        <f t="shared" si="85"/>
        <v>-0.07182869096</v>
      </c>
      <c r="T210" s="407">
        <f t="shared" si="85"/>
        <v>-0.09720568752</v>
      </c>
      <c r="U210" s="407">
        <f t="shared" si="85"/>
        <v>-0.06584972971</v>
      </c>
      <c r="V210" s="407">
        <f t="shared" si="85"/>
        <v>-0.1252313002</v>
      </c>
      <c r="W210" s="407">
        <f t="shared" si="85"/>
        <v>-0.1211553055</v>
      </c>
      <c r="X210" s="407">
        <f t="shared" si="85"/>
        <v>0.5965197463</v>
      </c>
      <c r="Y210" s="407">
        <f t="shared" si="85"/>
        <v>-0.2308226296</v>
      </c>
      <c r="Z210" s="407">
        <f t="shared" si="85"/>
        <v>-0.09018987912</v>
      </c>
      <c r="AA210" s="407">
        <f t="shared" si="85"/>
        <v>-0.06934692855</v>
      </c>
      <c r="AB210" s="407">
        <f t="shared" si="85"/>
        <v>-0.1243401511</v>
      </c>
      <c r="AC210" s="407">
        <f t="shared" si="85"/>
        <v>-0.1121835321</v>
      </c>
      <c r="AD210" s="407">
        <f t="shared" si="85"/>
        <v>-0.04301739392</v>
      </c>
      <c r="AF210" s="263" t="s">
        <v>159</v>
      </c>
      <c r="AG210" s="420">
        <v>2835972.5583938877</v>
      </c>
      <c r="AH210" s="420">
        <v>1.0724753264964316E7</v>
      </c>
      <c r="AI210" s="420">
        <v>5658777.564088147</v>
      </c>
      <c r="AJ210" s="420">
        <v>1.5495455621477148E8</v>
      </c>
      <c r="AK210" s="420">
        <v>2.7874107061739553E7</v>
      </c>
      <c r="AL210" s="420">
        <v>15894.560242101046</v>
      </c>
      <c r="AM210" s="420">
        <v>1348299.2317410011</v>
      </c>
      <c r="AN210" s="420">
        <v>1.1198368875632492E8</v>
      </c>
      <c r="AO210" s="420">
        <v>416824.1395525701</v>
      </c>
      <c r="AP210" s="420">
        <v>4.0135643771351725E7</v>
      </c>
      <c r="AQ210" s="420">
        <v>1.6988305507179298E7</v>
      </c>
      <c r="AR210" s="420">
        <v>35115.78148036193</v>
      </c>
      <c r="AS210" s="420">
        <v>2159.7532783908264</v>
      </c>
      <c r="AT210" s="420">
        <v>2.732383598736456E7</v>
      </c>
      <c r="AU210" s="420">
        <v>1.1151738257980593E7</v>
      </c>
      <c r="AV210" s="420">
        <v>1.1782721141706776E7</v>
      </c>
      <c r="AW210" s="420">
        <v>3.9882745938818043E8</v>
      </c>
      <c r="AX210" s="420">
        <v>7.69676407861899E8</v>
      </c>
      <c r="AY210" s="420">
        <v>2.121040720540195E8</v>
      </c>
      <c r="AZ210" s="420">
        <v>605853.848987786</v>
      </c>
      <c r="BA210" s="420">
        <v>1175333.7352616843</v>
      </c>
      <c r="BB210" s="420">
        <v>4.5574382796031076E8</v>
      </c>
      <c r="BC210" s="420">
        <v>1595678.3213857755</v>
      </c>
      <c r="BD210" s="420">
        <v>3.458882353064852E7</v>
      </c>
      <c r="BE210" s="420">
        <v>1.3336699876825817E7</v>
      </c>
      <c r="BF210" s="420">
        <v>101857.63889858102</v>
      </c>
      <c r="BG210" s="420">
        <v>105653.53791252739</v>
      </c>
      <c r="BH210" s="420">
        <v>643543.7579095656</v>
      </c>
      <c r="BI210" s="406">
        <f t="shared" si="70"/>
        <v>2311737605</v>
      </c>
      <c r="BJ210" s="406"/>
      <c r="BK210" s="406"/>
      <c r="BL210" s="406"/>
      <c r="BM210" s="406"/>
      <c r="BN210" s="406"/>
      <c r="BO210" s="406"/>
      <c r="BP210" s="406"/>
      <c r="BQ210" s="406"/>
      <c r="BR210" s="406"/>
      <c r="BS210" s="406"/>
      <c r="BT210" s="406"/>
      <c r="BU210" s="406"/>
      <c r="BV210" s="406"/>
      <c r="BW210" s="406"/>
      <c r="BX210" s="406"/>
      <c r="BY210" s="406"/>
      <c r="BZ210" s="406"/>
      <c r="CA210" s="406"/>
      <c r="CB210" s="406"/>
      <c r="CC210" s="406"/>
      <c r="CD210" s="406"/>
      <c r="CE210" s="406"/>
      <c r="CF210" s="406"/>
      <c r="CG210" s="406"/>
      <c r="CH210" s="406"/>
      <c r="CI210" s="406"/>
      <c r="CJ210" s="406"/>
      <c r="CK210" s="406"/>
      <c r="CL210" s="406"/>
      <c r="CM210" s="406"/>
      <c r="CN210" s="406"/>
      <c r="CO210" s="406"/>
      <c r="CP210" s="406"/>
      <c r="CQ210" s="406"/>
      <c r="CR210" s="406"/>
      <c r="CS210" s="406"/>
      <c r="CT210" s="406"/>
      <c r="CU210" s="406"/>
      <c r="CV210" s="406"/>
      <c r="CW210" s="406"/>
      <c r="CX210" s="406"/>
      <c r="CY210" s="406"/>
      <c r="CZ210" s="406"/>
      <c r="DA210" s="406"/>
      <c r="DB210" s="406"/>
      <c r="DC210" s="406"/>
      <c r="DD210" s="406"/>
      <c r="DE210" s="406"/>
      <c r="DF210" s="406"/>
      <c r="DG210" s="406"/>
      <c r="DH210" s="406"/>
      <c r="DI210" s="406"/>
      <c r="DJ210" s="406"/>
      <c r="DK210" s="406"/>
      <c r="DL210" s="406"/>
      <c r="DM210" s="406"/>
      <c r="DN210" s="406"/>
      <c r="DO210" s="406"/>
      <c r="DP210" s="406"/>
      <c r="DQ210" s="406"/>
      <c r="DR210" s="406"/>
      <c r="DS210" s="406"/>
      <c r="DT210" s="406"/>
      <c r="DU210" s="406"/>
    </row>
    <row r="211">
      <c r="B211" s="405">
        <v>23.0</v>
      </c>
      <c r="C211" s="407">
        <f t="shared" ref="C211:AD211" si="86">C180-C83</f>
        <v>-0.003000402276</v>
      </c>
      <c r="D211" s="407">
        <f t="shared" si="86"/>
        <v>-0.00006863320411</v>
      </c>
      <c r="E211" s="407">
        <f t="shared" si="86"/>
        <v>-0.0003866655374</v>
      </c>
      <c r="F211" s="407">
        <f t="shared" si="86"/>
        <v>-0.00005416074759</v>
      </c>
      <c r="G211" s="407">
        <f t="shared" si="86"/>
        <v>-0.00002554777875</v>
      </c>
      <c r="H211" s="407">
        <f t="shared" si="86"/>
        <v>-0.00005521428412</v>
      </c>
      <c r="I211" s="407">
        <f t="shared" si="86"/>
        <v>-0.00006642790544</v>
      </c>
      <c r="J211" s="407">
        <f t="shared" si="86"/>
        <v>-0.0004717920312</v>
      </c>
      <c r="K211" s="407">
        <f t="shared" si="86"/>
        <v>-0.0003454381787</v>
      </c>
      <c r="L211" s="407">
        <f t="shared" si="86"/>
        <v>-0.00002925100395</v>
      </c>
      <c r="M211" s="407">
        <f t="shared" si="86"/>
        <v>-0.00002707844364</v>
      </c>
      <c r="N211" s="407">
        <f t="shared" si="86"/>
        <v>-0.00005679503977</v>
      </c>
      <c r="O211" s="407">
        <f t="shared" si="86"/>
        <v>-0.00001073426208</v>
      </c>
      <c r="P211" s="407">
        <f t="shared" si="86"/>
        <v>-0.00002189706929</v>
      </c>
      <c r="Q211" s="407">
        <f t="shared" si="86"/>
        <v>-0.06431873416</v>
      </c>
      <c r="R211" s="407">
        <f t="shared" si="86"/>
        <v>-0.00067976669</v>
      </c>
      <c r="S211" s="407">
        <f t="shared" si="86"/>
        <v>-0.002922547606</v>
      </c>
      <c r="T211" s="407">
        <f t="shared" si="86"/>
        <v>-0.001091613114</v>
      </c>
      <c r="U211" s="407">
        <f t="shared" si="86"/>
        <v>-0.0005700295838</v>
      </c>
      <c r="V211" s="407">
        <f t="shared" si="86"/>
        <v>-0.0004516155823</v>
      </c>
      <c r="W211" s="407">
        <f t="shared" si="86"/>
        <v>-0.003094283728</v>
      </c>
      <c r="X211" s="407">
        <f t="shared" si="86"/>
        <v>-0.00135566462</v>
      </c>
      <c r="Y211" s="407">
        <f t="shared" si="86"/>
        <v>0.8431675004</v>
      </c>
      <c r="Z211" s="407">
        <f t="shared" si="86"/>
        <v>-0.0004301509697</v>
      </c>
      <c r="AA211" s="407">
        <f t="shared" si="86"/>
        <v>-0.0003837593513</v>
      </c>
      <c r="AB211" s="407">
        <f t="shared" si="86"/>
        <v>-0.0004069478294</v>
      </c>
      <c r="AC211" s="407">
        <f t="shared" si="86"/>
        <v>-0.0009868896358</v>
      </c>
      <c r="AD211" s="407">
        <f t="shared" si="86"/>
        <v>-0.0002979135396</v>
      </c>
      <c r="AF211" s="263" t="s">
        <v>160</v>
      </c>
      <c r="AG211" s="420">
        <v>536751.6984718654</v>
      </c>
      <c r="AH211" s="420">
        <v>2334867.5535699218</v>
      </c>
      <c r="AI211" s="420">
        <v>2002080.0191051976</v>
      </c>
      <c r="AJ211" s="420">
        <v>3.4704227837239556E7</v>
      </c>
      <c r="AK211" s="420">
        <v>6670233.2792673465</v>
      </c>
      <c r="AL211" s="420">
        <v>3651.0271971886114</v>
      </c>
      <c r="AM211" s="420">
        <v>259674.78487750216</v>
      </c>
      <c r="AN211" s="420">
        <v>2.252509207852775E7</v>
      </c>
      <c r="AO211" s="420">
        <v>70377.1829687516</v>
      </c>
      <c r="AP211" s="420">
        <v>1.2263012431776183E7</v>
      </c>
      <c r="AQ211" s="420">
        <v>3881038.103043894</v>
      </c>
      <c r="AR211" s="420">
        <v>8047.353936469494</v>
      </c>
      <c r="AS211" s="420">
        <v>474.8886749130716</v>
      </c>
      <c r="AT211" s="420">
        <v>9222360.855188448</v>
      </c>
      <c r="AU211" s="420">
        <v>1702175.180050044</v>
      </c>
      <c r="AV211" s="420">
        <v>2875653.8777205274</v>
      </c>
      <c r="AW211" s="420">
        <v>1429321.9556047292</v>
      </c>
      <c r="AX211" s="420">
        <v>3.40469375881237E8</v>
      </c>
      <c r="AY211" s="420">
        <v>5.557854592336527E7</v>
      </c>
      <c r="AZ211" s="420">
        <v>79096.62254505235</v>
      </c>
      <c r="BA211" s="420">
        <v>149229.85753998283</v>
      </c>
      <c r="BB211" s="420">
        <v>6.484605880262094E7</v>
      </c>
      <c r="BC211" s="420">
        <v>153020.97268702512</v>
      </c>
      <c r="BD211" s="420">
        <v>6079889.967174342</v>
      </c>
      <c r="BE211" s="420">
        <v>3043931.990640959</v>
      </c>
      <c r="BF211" s="420">
        <v>22373.202365901678</v>
      </c>
      <c r="BG211" s="420">
        <v>11563.003887202598</v>
      </c>
      <c r="BH211" s="420">
        <v>142533.51524282782</v>
      </c>
      <c r="BI211" s="406">
        <f t="shared" si="70"/>
        <v>571064659.8</v>
      </c>
      <c r="BJ211" s="406"/>
      <c r="BK211" s="406"/>
      <c r="BL211" s="406"/>
      <c r="BM211" s="406"/>
      <c r="BN211" s="406"/>
      <c r="BO211" s="406"/>
      <c r="BP211" s="406"/>
      <c r="BQ211" s="406"/>
      <c r="BR211" s="406"/>
      <c r="BS211" s="406"/>
      <c r="BT211" s="406"/>
      <c r="BU211" s="406"/>
      <c r="BV211" s="406"/>
      <c r="BW211" s="406"/>
      <c r="BX211" s="406"/>
      <c r="BY211" s="406"/>
      <c r="BZ211" s="406"/>
      <c r="CA211" s="406"/>
      <c r="CB211" s="406"/>
      <c r="CC211" s="406"/>
      <c r="CD211" s="406"/>
      <c r="CE211" s="406"/>
      <c r="CF211" s="406"/>
      <c r="CG211" s="406"/>
      <c r="CH211" s="406"/>
      <c r="CI211" s="406"/>
      <c r="CJ211" s="406"/>
      <c r="CK211" s="406"/>
      <c r="CL211" s="406"/>
      <c r="CM211" s="406"/>
      <c r="CN211" s="406"/>
      <c r="CO211" s="406"/>
      <c r="CP211" s="406"/>
      <c r="CQ211" s="406"/>
      <c r="CR211" s="406"/>
      <c r="CS211" s="406"/>
      <c r="CT211" s="406"/>
      <c r="CU211" s="406"/>
      <c r="CV211" s="406"/>
      <c r="CW211" s="406"/>
      <c r="CX211" s="406"/>
      <c r="CY211" s="406"/>
      <c r="CZ211" s="406"/>
      <c r="DA211" s="406"/>
      <c r="DB211" s="406"/>
      <c r="DC211" s="406"/>
      <c r="DD211" s="406"/>
      <c r="DE211" s="406"/>
      <c r="DF211" s="406"/>
      <c r="DG211" s="406"/>
      <c r="DH211" s="406"/>
      <c r="DI211" s="406"/>
      <c r="DJ211" s="406"/>
      <c r="DK211" s="406"/>
      <c r="DL211" s="406"/>
      <c r="DM211" s="406"/>
      <c r="DN211" s="406"/>
      <c r="DO211" s="406"/>
      <c r="DP211" s="406"/>
      <c r="DQ211" s="406"/>
      <c r="DR211" s="406"/>
      <c r="DS211" s="406"/>
      <c r="DT211" s="406"/>
      <c r="DU211" s="406"/>
    </row>
    <row r="212">
      <c r="B212" s="405">
        <v>24.0</v>
      </c>
      <c r="C212" s="407">
        <f t="shared" ref="C212:AD212" si="87">C181-C84</f>
        <v>-0.00931831518</v>
      </c>
      <c r="D212" s="407">
        <f t="shared" si="87"/>
        <v>-0.04568608023</v>
      </c>
      <c r="E212" s="407">
        <f t="shared" si="87"/>
        <v>-0.02163489181</v>
      </c>
      <c r="F212" s="407">
        <f t="shared" si="87"/>
        <v>-0.08535530431</v>
      </c>
      <c r="G212" s="407">
        <f t="shared" si="87"/>
        <v>-0.01915249489</v>
      </c>
      <c r="H212" s="407">
        <f t="shared" si="87"/>
        <v>-0.01058463497</v>
      </c>
      <c r="I212" s="407">
        <f t="shared" si="87"/>
        <v>-0.02562309319</v>
      </c>
      <c r="J212" s="407">
        <f t="shared" si="87"/>
        <v>-0.03550638096</v>
      </c>
      <c r="K212" s="407">
        <f t="shared" si="87"/>
        <v>-0.08854859864</v>
      </c>
      <c r="L212" s="407">
        <f t="shared" si="87"/>
        <v>-0.04160223989</v>
      </c>
      <c r="M212" s="407">
        <f t="shared" si="87"/>
        <v>-0.00652326488</v>
      </c>
      <c r="N212" s="407">
        <f t="shared" si="87"/>
        <v>-0.01276767151</v>
      </c>
      <c r="O212" s="407">
        <f t="shared" si="87"/>
        <v>-0.01313950472</v>
      </c>
      <c r="P212" s="407">
        <f t="shared" si="87"/>
        <v>-0.005484299924</v>
      </c>
      <c r="Q212" s="407">
        <f t="shared" si="87"/>
        <v>-0.06697580073</v>
      </c>
      <c r="R212" s="407">
        <f t="shared" si="87"/>
        <v>-0.2063798507</v>
      </c>
      <c r="S212" s="407">
        <f t="shared" si="87"/>
        <v>-0.1155159443</v>
      </c>
      <c r="T212" s="407">
        <f t="shared" si="87"/>
        <v>-0.1323078673</v>
      </c>
      <c r="U212" s="407">
        <f t="shared" si="87"/>
        <v>-0.09484351565</v>
      </c>
      <c r="V212" s="407">
        <f t="shared" si="87"/>
        <v>-0.09364600636</v>
      </c>
      <c r="W212" s="407">
        <f t="shared" si="87"/>
        <v>-0.0861563623</v>
      </c>
      <c r="X212" s="407">
        <f t="shared" si="87"/>
        <v>-0.1086743866</v>
      </c>
      <c r="Y212" s="407">
        <f t="shared" si="87"/>
        <v>-0.2043359244</v>
      </c>
      <c r="Z212" s="407">
        <f t="shared" si="87"/>
        <v>0.8347606455</v>
      </c>
      <c r="AA212" s="407">
        <f t="shared" si="87"/>
        <v>-0.06203655932</v>
      </c>
      <c r="AB212" s="407">
        <f t="shared" si="87"/>
        <v>-0.09406529708</v>
      </c>
      <c r="AC212" s="407">
        <f t="shared" si="87"/>
        <v>-0.09221967695</v>
      </c>
      <c r="AD212" s="407">
        <f t="shared" si="87"/>
        <v>-0.1099968315</v>
      </c>
      <c r="AF212" s="263" t="s">
        <v>161</v>
      </c>
      <c r="AG212" s="420">
        <v>202834.01293515356</v>
      </c>
      <c r="AH212" s="420">
        <v>2004616.8265852146</v>
      </c>
      <c r="AI212" s="420">
        <v>733256.3277845385</v>
      </c>
      <c r="AJ212" s="420">
        <v>4650035.539709881</v>
      </c>
      <c r="AK212" s="420">
        <v>3.129171087664687E7</v>
      </c>
      <c r="AL212" s="420">
        <v>1233.7471522019762</v>
      </c>
      <c r="AM212" s="420">
        <v>86866.12152161737</v>
      </c>
      <c r="AN212" s="420">
        <v>9589406.065484904</v>
      </c>
      <c r="AO212" s="420">
        <v>26481.117588897494</v>
      </c>
      <c r="AP212" s="420">
        <v>2717484.0465283855</v>
      </c>
      <c r="AQ212" s="420">
        <v>1504682.5562880824</v>
      </c>
      <c r="AR212" s="420">
        <v>2731.7645584567745</v>
      </c>
      <c r="AS212" s="420">
        <v>179.078818133861</v>
      </c>
      <c r="AT212" s="420">
        <v>3746686.010172303</v>
      </c>
      <c r="AU212" s="420">
        <v>767578.3763826337</v>
      </c>
      <c r="AV212" s="420">
        <v>5130055.457643387</v>
      </c>
      <c r="AW212" s="420">
        <v>1952760.70856439</v>
      </c>
      <c r="AX212" s="420">
        <v>8444956.98883415</v>
      </c>
      <c r="AY212" s="420">
        <v>4.655301762186485E8</v>
      </c>
      <c r="AZ212" s="420">
        <v>29976.635810772015</v>
      </c>
      <c r="BA212" s="420">
        <v>68209.12028382198</v>
      </c>
      <c r="BB212" s="420">
        <v>2.6961308142161615E7</v>
      </c>
      <c r="BC212" s="420">
        <v>99025.1418334411</v>
      </c>
      <c r="BD212" s="420">
        <v>2557452.805750408</v>
      </c>
      <c r="BE212" s="420">
        <v>1268787.075613252</v>
      </c>
      <c r="BF212" s="420">
        <v>6485.650410625045</v>
      </c>
      <c r="BG212" s="420">
        <v>4730.16587778364</v>
      </c>
      <c r="BH212" s="420">
        <v>66277.45368431721</v>
      </c>
      <c r="BI212" s="406">
        <f t="shared" si="70"/>
        <v>569445984</v>
      </c>
      <c r="BJ212" s="406"/>
      <c r="BK212" s="406"/>
      <c r="BL212" s="406"/>
      <c r="BM212" s="406"/>
      <c r="BN212" s="406"/>
      <c r="BO212" s="406"/>
      <c r="BP212" s="406"/>
      <c r="BQ212" s="406"/>
      <c r="BR212" s="406"/>
      <c r="BS212" s="406"/>
      <c r="BT212" s="406"/>
      <c r="BU212" s="406"/>
      <c r="BV212" s="406"/>
      <c r="BW212" s="406"/>
      <c r="BX212" s="406"/>
      <c r="BY212" s="406"/>
      <c r="BZ212" s="406"/>
      <c r="CA212" s="406"/>
      <c r="CB212" s="406"/>
      <c r="CC212" s="406"/>
      <c r="CD212" s="406"/>
      <c r="CE212" s="406"/>
      <c r="CF212" s="406"/>
      <c r="CG212" s="406"/>
      <c r="CH212" s="406"/>
      <c r="CI212" s="406"/>
      <c r="CJ212" s="406"/>
      <c r="CK212" s="406"/>
      <c r="CL212" s="406"/>
      <c r="CM212" s="406"/>
      <c r="CN212" s="406"/>
      <c r="CO212" s="406"/>
      <c r="CP212" s="406"/>
      <c r="CQ212" s="406"/>
      <c r="CR212" s="406"/>
      <c r="CS212" s="406"/>
      <c r="CT212" s="406"/>
      <c r="CU212" s="406"/>
      <c r="CV212" s="406"/>
      <c r="CW212" s="406"/>
      <c r="CX212" s="406"/>
      <c r="CY212" s="406"/>
      <c r="CZ212" s="406"/>
      <c r="DA212" s="406"/>
      <c r="DB212" s="406"/>
      <c r="DC212" s="406"/>
      <c r="DD212" s="406"/>
      <c r="DE212" s="406"/>
      <c r="DF212" s="406"/>
      <c r="DG212" s="406"/>
      <c r="DH212" s="406"/>
      <c r="DI212" s="406"/>
      <c r="DJ212" s="406"/>
      <c r="DK212" s="406"/>
      <c r="DL212" s="406"/>
      <c r="DM212" s="406"/>
      <c r="DN212" s="406"/>
      <c r="DO212" s="406"/>
      <c r="DP212" s="406"/>
      <c r="DQ212" s="406"/>
      <c r="DR212" s="406"/>
      <c r="DS212" s="406"/>
      <c r="DT212" s="406"/>
      <c r="DU212" s="406"/>
    </row>
    <row r="213">
      <c r="B213" s="405">
        <v>25.0</v>
      </c>
      <c r="C213" s="407">
        <f t="shared" ref="C213:AD213" si="88">C182-C85</f>
        <v>-0.00508910242</v>
      </c>
      <c r="D213" s="407">
        <f t="shared" si="88"/>
        <v>-0.02649157395</v>
      </c>
      <c r="E213" s="407">
        <f t="shared" si="88"/>
        <v>-0.005746621507</v>
      </c>
      <c r="F213" s="407">
        <f t="shared" si="88"/>
        <v>-0.06162439575</v>
      </c>
      <c r="G213" s="407">
        <f t="shared" si="88"/>
        <v>-0.007556833171</v>
      </c>
      <c r="H213" s="407">
        <f t="shared" si="88"/>
        <v>-0.003672249048</v>
      </c>
      <c r="I213" s="407">
        <f t="shared" si="88"/>
        <v>-0.0046681523</v>
      </c>
      <c r="J213" s="407">
        <f t="shared" si="88"/>
        <v>-0.01745512988</v>
      </c>
      <c r="K213" s="407">
        <f t="shared" si="88"/>
        <v>-0.01332301663</v>
      </c>
      <c r="L213" s="407">
        <f t="shared" si="88"/>
        <v>-0.0143655859</v>
      </c>
      <c r="M213" s="407">
        <f t="shared" si="88"/>
        <v>-0.02638435792</v>
      </c>
      <c r="N213" s="407">
        <f t="shared" si="88"/>
        <v>-0.003727681857</v>
      </c>
      <c r="O213" s="407">
        <f t="shared" si="88"/>
        <v>-0.002115708586</v>
      </c>
      <c r="P213" s="407">
        <f t="shared" si="88"/>
        <v>-0.00489013001</v>
      </c>
      <c r="Q213" s="407">
        <f t="shared" si="88"/>
        <v>-0.04432625479</v>
      </c>
      <c r="R213" s="407">
        <f t="shared" si="88"/>
        <v>-0.08519907741</v>
      </c>
      <c r="S213" s="407">
        <f t="shared" si="88"/>
        <v>-0.04681823704</v>
      </c>
      <c r="T213" s="407">
        <f t="shared" si="88"/>
        <v>-0.04960956421</v>
      </c>
      <c r="U213" s="407">
        <f t="shared" si="88"/>
        <v>-0.05407671496</v>
      </c>
      <c r="V213" s="407">
        <f t="shared" si="88"/>
        <v>-0.1726569203</v>
      </c>
      <c r="W213" s="407">
        <f t="shared" si="88"/>
        <v>-0.08062617621</v>
      </c>
      <c r="X213" s="407">
        <f t="shared" si="88"/>
        <v>-0.07466945559</v>
      </c>
      <c r="Y213" s="407">
        <f t="shared" si="88"/>
        <v>-0.09112488407</v>
      </c>
      <c r="Z213" s="407">
        <f t="shared" si="88"/>
        <v>-0.1082310681</v>
      </c>
      <c r="AA213" s="407">
        <f t="shared" si="88"/>
        <v>0.7850981789</v>
      </c>
      <c r="AB213" s="407">
        <f t="shared" si="88"/>
        <v>-0.1513882395</v>
      </c>
      <c r="AC213" s="407">
        <f t="shared" si="88"/>
        <v>-0.1209488703</v>
      </c>
      <c r="AD213" s="407">
        <f t="shared" si="88"/>
        <v>-0.111531924</v>
      </c>
      <c r="AF213" s="263" t="s">
        <v>162</v>
      </c>
      <c r="AG213" s="420">
        <v>4029230.93378073</v>
      </c>
      <c r="AH213" s="420">
        <v>1.2777411203023221E7</v>
      </c>
      <c r="AI213" s="420">
        <v>1486032.576771078</v>
      </c>
      <c r="AJ213" s="420">
        <v>1.5498139157696668E7</v>
      </c>
      <c r="AK213" s="420">
        <v>2.0950133801958684E7</v>
      </c>
      <c r="AL213" s="420">
        <v>176619.47596609098</v>
      </c>
      <c r="AM213" s="420">
        <v>1420598.6340168172</v>
      </c>
      <c r="AN213" s="420">
        <v>1.7945795143920043E8</v>
      </c>
      <c r="AO213" s="420">
        <v>599339.9294093093</v>
      </c>
      <c r="AP213" s="420">
        <v>2.19264982779937E7</v>
      </c>
      <c r="AQ213" s="420">
        <v>1.0937370901114622E7</v>
      </c>
      <c r="AR213" s="420">
        <v>399441.7307549349</v>
      </c>
      <c r="AS213" s="420">
        <v>2862.826104210182</v>
      </c>
      <c r="AT213" s="420">
        <v>4799398.799319084</v>
      </c>
      <c r="AU213" s="420">
        <v>9473322.013925632</v>
      </c>
      <c r="AV213" s="420">
        <v>1.2457680439883549E7</v>
      </c>
      <c r="AW213" s="420">
        <v>2315654.4903316475</v>
      </c>
      <c r="AX213" s="420">
        <v>2.0732684839863446E7</v>
      </c>
      <c r="AY213" s="420">
        <v>4.901740028198711E7</v>
      </c>
      <c r="AZ213" s="420">
        <v>6.002231123418441E8</v>
      </c>
      <c r="BA213" s="420">
        <v>1906213.9459310365</v>
      </c>
      <c r="BB213" s="420">
        <v>7.727999417968994E8</v>
      </c>
      <c r="BC213" s="420">
        <v>639303.2554036067</v>
      </c>
      <c r="BD213" s="420">
        <v>5.075624570437526E7</v>
      </c>
      <c r="BE213" s="420">
        <v>2.230653941734723E7</v>
      </c>
      <c r="BF213" s="420">
        <v>4563322.910202313</v>
      </c>
      <c r="BG213" s="420">
        <v>719749.6755825068</v>
      </c>
      <c r="BH213" s="420">
        <v>121934.51142590957</v>
      </c>
      <c r="BI213" s="406">
        <f t="shared" si="70"/>
        <v>1822494135</v>
      </c>
      <c r="BJ213" s="406"/>
      <c r="BK213" s="406"/>
      <c r="BL213" s="406"/>
      <c r="BM213" s="406"/>
      <c r="BN213" s="406"/>
      <c r="BO213" s="406"/>
      <c r="BP213" s="406"/>
      <c r="BQ213" s="406"/>
      <c r="BR213" s="406"/>
      <c r="BS213" s="406"/>
      <c r="BT213" s="406"/>
      <c r="BU213" s="406"/>
      <c r="BV213" s="406"/>
      <c r="BW213" s="406"/>
      <c r="BX213" s="406"/>
      <c r="BY213" s="406"/>
      <c r="BZ213" s="406"/>
      <c r="CA213" s="406"/>
      <c r="CB213" s="406"/>
      <c r="CC213" s="406"/>
      <c r="CD213" s="406"/>
      <c r="CE213" s="406"/>
      <c r="CF213" s="406"/>
      <c r="CG213" s="406"/>
      <c r="CH213" s="406"/>
      <c r="CI213" s="406"/>
      <c r="CJ213" s="406"/>
      <c r="CK213" s="406"/>
      <c r="CL213" s="406"/>
      <c r="CM213" s="406"/>
      <c r="CN213" s="406"/>
      <c r="CO213" s="406"/>
      <c r="CP213" s="406"/>
      <c r="CQ213" s="406"/>
      <c r="CR213" s="406"/>
      <c r="CS213" s="406"/>
      <c r="CT213" s="406"/>
      <c r="CU213" s="406"/>
      <c r="CV213" s="406"/>
      <c r="CW213" s="406"/>
      <c r="CX213" s="406"/>
      <c r="CY213" s="406"/>
      <c r="CZ213" s="406"/>
      <c r="DA213" s="406"/>
      <c r="DB213" s="406"/>
      <c r="DC213" s="406"/>
      <c r="DD213" s="406"/>
      <c r="DE213" s="406"/>
      <c r="DF213" s="406"/>
      <c r="DG213" s="406"/>
      <c r="DH213" s="406"/>
      <c r="DI213" s="406"/>
      <c r="DJ213" s="406"/>
      <c r="DK213" s="406"/>
      <c r="DL213" s="406"/>
      <c r="DM213" s="406"/>
      <c r="DN213" s="406"/>
      <c r="DO213" s="406"/>
      <c r="DP213" s="406"/>
      <c r="DQ213" s="406"/>
      <c r="DR213" s="406"/>
      <c r="DS213" s="406"/>
      <c r="DT213" s="406"/>
      <c r="DU213" s="406"/>
    </row>
    <row r="214">
      <c r="B214" s="405">
        <v>26.0</v>
      </c>
      <c r="C214" s="407">
        <f t="shared" ref="C214:AD214" si="89">C183-C86</f>
        <v>-0.0000205325037</v>
      </c>
      <c r="D214" s="407">
        <f t="shared" si="89"/>
        <v>-0.0001636771139</v>
      </c>
      <c r="E214" s="407">
        <f t="shared" si="89"/>
        <v>-0.0000264994424</v>
      </c>
      <c r="F214" s="407">
        <f t="shared" si="89"/>
        <v>-0.0001671188006</v>
      </c>
      <c r="G214" s="407">
        <f t="shared" si="89"/>
        <v>-0.00008518692915</v>
      </c>
      <c r="H214" s="407">
        <f t="shared" si="89"/>
        <v>-0.002351569584</v>
      </c>
      <c r="I214" s="407">
        <f t="shared" si="89"/>
        <v>-0.00001597366134</v>
      </c>
      <c r="J214" s="407">
        <f t="shared" si="89"/>
        <v>-0.0006581049234</v>
      </c>
      <c r="K214" s="407">
        <f t="shared" si="89"/>
        <v>-0.0000899083377</v>
      </c>
      <c r="L214" s="407">
        <f t="shared" si="89"/>
        <v>-0.000171923805</v>
      </c>
      <c r="M214" s="407">
        <f t="shared" si="89"/>
        <v>-0.00001882006022</v>
      </c>
      <c r="N214" s="407">
        <f t="shared" si="89"/>
        <v>-0.003271682832</v>
      </c>
      <c r="O214" s="407">
        <f t="shared" si="89"/>
        <v>-0.00003126341118</v>
      </c>
      <c r="P214" s="407">
        <f t="shared" si="89"/>
        <v>-0.00001667369123</v>
      </c>
      <c r="Q214" s="407">
        <f t="shared" si="89"/>
        <v>-0.000600366624</v>
      </c>
      <c r="R214" s="407">
        <f t="shared" si="89"/>
        <v>-0.001550399511</v>
      </c>
      <c r="S214" s="407">
        <f t="shared" si="89"/>
        <v>-0.001418503979</v>
      </c>
      <c r="T214" s="407">
        <f t="shared" si="89"/>
        <v>-0.001887904518</v>
      </c>
      <c r="U214" s="407">
        <f t="shared" si="89"/>
        <v>-0.001072845521</v>
      </c>
      <c r="V214" s="407">
        <f t="shared" si="89"/>
        <v>-0.07727175276</v>
      </c>
      <c r="W214" s="407">
        <f t="shared" si="89"/>
        <v>-0.001388836201</v>
      </c>
      <c r="X214" s="407">
        <f t="shared" si="89"/>
        <v>-0.001318245737</v>
      </c>
      <c r="Y214" s="407">
        <f t="shared" si="89"/>
        <v>-0.0009742685296</v>
      </c>
      <c r="Z214" s="407">
        <f t="shared" si="89"/>
        <v>-0.001007307371</v>
      </c>
      <c r="AA214" s="407">
        <f t="shared" si="89"/>
        <v>-0.001391852636</v>
      </c>
      <c r="AB214" s="407">
        <f t="shared" si="89"/>
        <v>0.9163773366</v>
      </c>
      <c r="AC214" s="407">
        <f t="shared" si="89"/>
        <v>-0.01157763535</v>
      </c>
      <c r="AD214" s="407">
        <f t="shared" si="89"/>
        <v>-0.001753668397</v>
      </c>
      <c r="AF214" s="263" t="s">
        <v>163</v>
      </c>
      <c r="AG214" s="420">
        <v>9825937.195303319</v>
      </c>
      <c r="AH214" s="420">
        <v>2.177804640886211E7</v>
      </c>
      <c r="AI214" s="420">
        <v>5157325.002169519</v>
      </c>
      <c r="AJ214" s="420">
        <v>2.3681582321288224E7</v>
      </c>
      <c r="AK214" s="420">
        <v>3.500769508465519E7</v>
      </c>
      <c r="AL214" s="420">
        <v>39357.39139387272</v>
      </c>
      <c r="AM214" s="420">
        <v>1.4751108868770318E7</v>
      </c>
      <c r="AN214" s="420">
        <v>5.265745453891873E8</v>
      </c>
      <c r="AO214" s="420">
        <v>1.612605235471268E7</v>
      </c>
      <c r="AP214" s="420">
        <v>4.234665302475578E7</v>
      </c>
      <c r="AQ214" s="420">
        <v>1.79606365568516E7</v>
      </c>
      <c r="AR214" s="420">
        <v>85440.44894051617</v>
      </c>
      <c r="AS214" s="420">
        <v>7033.8294570545095</v>
      </c>
      <c r="AT214" s="420">
        <v>9950186.655825755</v>
      </c>
      <c r="AU214" s="420">
        <v>1.2004676575654386E7</v>
      </c>
      <c r="AV214" s="420">
        <v>1.1241225186957186E7</v>
      </c>
      <c r="AW214" s="420">
        <v>2062144.0442060945</v>
      </c>
      <c r="AX214" s="420">
        <v>1.594911465714093E7</v>
      </c>
      <c r="AY214" s="420">
        <v>4.3656754593050815E7</v>
      </c>
      <c r="AZ214" s="420">
        <v>549012.047406713</v>
      </c>
      <c r="BA214" s="420">
        <v>6.828629611651205E7</v>
      </c>
      <c r="BB214" s="420">
        <v>1.7590909684023905E9</v>
      </c>
      <c r="BC214" s="420">
        <v>1440163.0833477445</v>
      </c>
      <c r="BD214" s="420">
        <v>7.774029062626366E7</v>
      </c>
      <c r="BE214" s="420">
        <v>1.157249796998817E7</v>
      </c>
      <c r="BF214" s="420">
        <v>131388.77490692041</v>
      </c>
      <c r="BG214" s="420">
        <v>95252.93483823199</v>
      </c>
      <c r="BH214" s="420">
        <v>67220.28305096361</v>
      </c>
      <c r="BI214" s="406">
        <f t="shared" si="70"/>
        <v>2727178606</v>
      </c>
      <c r="BJ214" s="406"/>
      <c r="BK214" s="406"/>
      <c r="BL214" s="406"/>
      <c r="BM214" s="406"/>
      <c r="BN214" s="406"/>
      <c r="BO214" s="406"/>
      <c r="BP214" s="406"/>
      <c r="BQ214" s="406"/>
      <c r="BR214" s="406"/>
      <c r="BS214" s="406"/>
      <c r="BT214" s="406"/>
      <c r="BU214" s="406"/>
      <c r="BV214" s="406"/>
      <c r="BW214" s="406"/>
      <c r="BX214" s="406"/>
      <c r="BY214" s="406"/>
      <c r="BZ214" s="406"/>
      <c r="CA214" s="406"/>
      <c r="CB214" s="406"/>
      <c r="CC214" s="406"/>
      <c r="CD214" s="406"/>
      <c r="CE214" s="406"/>
      <c r="CF214" s="406"/>
      <c r="CG214" s="406"/>
      <c r="CH214" s="406"/>
      <c r="CI214" s="406"/>
      <c r="CJ214" s="406"/>
      <c r="CK214" s="406"/>
      <c r="CL214" s="406"/>
      <c r="CM214" s="406"/>
      <c r="CN214" s="406"/>
      <c r="CO214" s="406"/>
      <c r="CP214" s="406"/>
      <c r="CQ214" s="406"/>
      <c r="CR214" s="406"/>
      <c r="CS214" s="406"/>
      <c r="CT214" s="406"/>
      <c r="CU214" s="406"/>
      <c r="CV214" s="406"/>
      <c r="CW214" s="406"/>
      <c r="CX214" s="406"/>
      <c r="CY214" s="406"/>
      <c r="CZ214" s="406"/>
      <c r="DA214" s="406"/>
      <c r="DB214" s="406"/>
      <c r="DC214" s="406"/>
      <c r="DD214" s="406"/>
      <c r="DE214" s="406"/>
      <c r="DF214" s="406"/>
      <c r="DG214" s="406"/>
      <c r="DH214" s="406"/>
      <c r="DI214" s="406"/>
      <c r="DJ214" s="406"/>
      <c r="DK214" s="406"/>
      <c r="DL214" s="406"/>
      <c r="DM214" s="406"/>
      <c r="DN214" s="406"/>
      <c r="DO214" s="406"/>
      <c r="DP214" s="406"/>
      <c r="DQ214" s="406"/>
      <c r="DR214" s="406"/>
      <c r="DS214" s="406"/>
      <c r="DT214" s="406"/>
      <c r="DU214" s="406"/>
    </row>
    <row r="215">
      <c r="B215" s="405">
        <v>27.0</v>
      </c>
      <c r="C215" s="407">
        <f t="shared" ref="C215:AD215" si="90">C184-C87</f>
        <v>-0.000007233435615</v>
      </c>
      <c r="D215" s="407">
        <f t="shared" si="90"/>
        <v>-0.00006510812453</v>
      </c>
      <c r="E215" s="407">
        <f t="shared" si="90"/>
        <v>-0.00001345170637</v>
      </c>
      <c r="F215" s="407">
        <f t="shared" si="90"/>
        <v>-0.00007935522742</v>
      </c>
      <c r="G215" s="407">
        <f t="shared" si="90"/>
        <v>-0.00003588227131</v>
      </c>
      <c r="H215" s="407">
        <f t="shared" si="90"/>
        <v>-0.0002571060657</v>
      </c>
      <c r="I215" s="407">
        <f t="shared" si="90"/>
        <v>-0.00002043549079</v>
      </c>
      <c r="J215" s="407">
        <f t="shared" si="90"/>
        <v>-0.00006103435791</v>
      </c>
      <c r="K215" s="407">
        <f t="shared" si="90"/>
        <v>-0.00004990078884</v>
      </c>
      <c r="L215" s="407">
        <f t="shared" si="90"/>
        <v>-0.0001418928502</v>
      </c>
      <c r="M215" s="407">
        <f t="shared" si="90"/>
        <v>-0.00001147408482</v>
      </c>
      <c r="N215" s="407">
        <f t="shared" si="90"/>
        <v>-0.0002852436981</v>
      </c>
      <c r="O215" s="407">
        <f t="shared" si="90"/>
        <v>-0.000004577302369</v>
      </c>
      <c r="P215" s="407">
        <f t="shared" si="90"/>
        <v>-0.00000848799468</v>
      </c>
      <c r="Q215" s="407">
        <f t="shared" si="90"/>
        <v>-0.001282913366</v>
      </c>
      <c r="R215" s="407">
        <f t="shared" si="90"/>
        <v>-0.001299415702</v>
      </c>
      <c r="S215" s="407">
        <f t="shared" si="90"/>
        <v>-0.0005962029268</v>
      </c>
      <c r="T215" s="407">
        <f t="shared" si="90"/>
        <v>-0.0006618171107</v>
      </c>
      <c r="U215" s="407">
        <f t="shared" si="90"/>
        <v>-0.0006181872823</v>
      </c>
      <c r="V215" s="407">
        <f t="shared" si="90"/>
        <v>-0.008680845179</v>
      </c>
      <c r="W215" s="407">
        <f t="shared" si="90"/>
        <v>-0.0007496647544</v>
      </c>
      <c r="X215" s="407">
        <f t="shared" si="90"/>
        <v>-0.000542602049</v>
      </c>
      <c r="Y215" s="407">
        <f t="shared" si="90"/>
        <v>-0.001479460546</v>
      </c>
      <c r="Z215" s="407">
        <f t="shared" si="90"/>
        <v>-0.0005683555212</v>
      </c>
      <c r="AA215" s="407">
        <f t="shared" si="90"/>
        <v>-0.0007707629993</v>
      </c>
      <c r="AB215" s="407">
        <f t="shared" si="90"/>
        <v>-0.007850969944</v>
      </c>
      <c r="AC215" s="407">
        <f t="shared" si="90"/>
        <v>0.954663401</v>
      </c>
      <c r="AD215" s="407">
        <f t="shared" si="90"/>
        <v>-0.001250578248</v>
      </c>
      <c r="AF215" s="263" t="s">
        <v>164</v>
      </c>
      <c r="AG215" s="420">
        <v>6.453970098780772E7</v>
      </c>
      <c r="AH215" s="420">
        <v>1.440420719415237E8</v>
      </c>
      <c r="AI215" s="420">
        <v>1.5125247274273919E7</v>
      </c>
      <c r="AJ215" s="420">
        <v>1.346003116632251E8</v>
      </c>
      <c r="AK215" s="420">
        <v>1.5346382362809962E8</v>
      </c>
      <c r="AL215" s="420">
        <v>173163.38431884872</v>
      </c>
      <c r="AM215" s="420">
        <v>1.4630675031587813E7</v>
      </c>
      <c r="AN215" s="420">
        <v>2.253244609229548E9</v>
      </c>
      <c r="AO215" s="420">
        <v>4071296.697088799</v>
      </c>
      <c r="AP215" s="420">
        <v>1.642606852202541E8</v>
      </c>
      <c r="AQ215" s="420">
        <v>1.0386439252146752E8</v>
      </c>
      <c r="AR215" s="420">
        <v>365186.85784894123</v>
      </c>
      <c r="AS215" s="420">
        <v>32424.875113509395</v>
      </c>
      <c r="AT215" s="420">
        <v>4.4998656264635086E7</v>
      </c>
      <c r="AU215" s="420">
        <v>6.905835563210504E7</v>
      </c>
      <c r="AV215" s="420">
        <v>7.472665156157373E7</v>
      </c>
      <c r="AW215" s="420">
        <v>1.1272855820098449E7</v>
      </c>
      <c r="AX215" s="420">
        <v>9.105160135107337E7</v>
      </c>
      <c r="AY215" s="420">
        <v>2.5055352280699226E8</v>
      </c>
      <c r="AZ215" s="420">
        <v>3737286.0315640294</v>
      </c>
      <c r="BA215" s="420">
        <v>1.2350439216718838E7</v>
      </c>
      <c r="BB215" s="420">
        <v>1.8141862637629723E10</v>
      </c>
      <c r="BC215" s="420">
        <v>5556571.1936984295</v>
      </c>
      <c r="BD215" s="420">
        <v>2.879727778937501E8</v>
      </c>
      <c r="BE215" s="420">
        <v>8.867385200269058E7</v>
      </c>
      <c r="BF215" s="420">
        <v>775880.235297759</v>
      </c>
      <c r="BG215" s="420">
        <v>530605.6713210358</v>
      </c>
      <c r="BH215" s="420">
        <v>417666.91448848305</v>
      </c>
      <c r="BI215" s="406">
        <f t="shared" si="70"/>
        <v>22135952950</v>
      </c>
      <c r="BJ215" s="406"/>
      <c r="BK215" s="406"/>
      <c r="BL215" s="406"/>
      <c r="BM215" s="406"/>
      <c r="BN215" s="406"/>
      <c r="BO215" s="406"/>
      <c r="BP215" s="406"/>
      <c r="BQ215" s="406"/>
      <c r="BR215" s="406"/>
      <c r="BS215" s="406"/>
      <c r="BT215" s="406"/>
      <c r="BU215" s="406"/>
      <c r="BV215" s="406"/>
      <c r="BW215" s="406"/>
      <c r="BX215" s="406"/>
      <c r="BY215" s="406"/>
      <c r="BZ215" s="406"/>
      <c r="CA215" s="406"/>
      <c r="CB215" s="406"/>
      <c r="CC215" s="406"/>
      <c r="CD215" s="406"/>
      <c r="CE215" s="406"/>
      <c r="CF215" s="406"/>
      <c r="CG215" s="406"/>
      <c r="CH215" s="406"/>
      <c r="CI215" s="406"/>
      <c r="CJ215" s="406"/>
      <c r="CK215" s="406"/>
      <c r="CL215" s="406"/>
      <c r="CM215" s="406"/>
      <c r="CN215" s="406"/>
      <c r="CO215" s="406"/>
      <c r="CP215" s="406"/>
      <c r="CQ215" s="406"/>
      <c r="CR215" s="406"/>
      <c r="CS215" s="406"/>
      <c r="CT215" s="406"/>
      <c r="CU215" s="406"/>
      <c r="CV215" s="406"/>
      <c r="CW215" s="406"/>
      <c r="CX215" s="406"/>
      <c r="CY215" s="406"/>
      <c r="CZ215" s="406"/>
      <c r="DA215" s="406"/>
      <c r="DB215" s="406"/>
      <c r="DC215" s="406"/>
      <c r="DD215" s="406"/>
      <c r="DE215" s="406"/>
      <c r="DF215" s="406"/>
      <c r="DG215" s="406"/>
      <c r="DH215" s="406"/>
      <c r="DI215" s="406"/>
      <c r="DJ215" s="406"/>
      <c r="DK215" s="406"/>
      <c r="DL215" s="406"/>
      <c r="DM215" s="406"/>
      <c r="DN215" s="406"/>
      <c r="DO215" s="406"/>
      <c r="DP215" s="406"/>
      <c r="DQ215" s="406"/>
      <c r="DR215" s="406"/>
      <c r="DS215" s="406"/>
      <c r="DT215" s="406"/>
      <c r="DU215" s="406"/>
    </row>
    <row r="216">
      <c r="B216" s="405">
        <v>28.0</v>
      </c>
      <c r="C216" s="407">
        <f t="shared" ref="C216:AD216" si="91">C185-C88</f>
        <v>-0.0004846124597</v>
      </c>
      <c r="D216" s="407">
        <f t="shared" si="91"/>
        <v>-0.002096004997</v>
      </c>
      <c r="E216" s="407">
        <f t="shared" si="91"/>
        <v>-0.0006287997182</v>
      </c>
      <c r="F216" s="407">
        <f t="shared" si="91"/>
        <v>-0.001761230318</v>
      </c>
      <c r="G216" s="407">
        <f t="shared" si="91"/>
        <v>-0.0008581949526</v>
      </c>
      <c r="H216" s="407">
        <f t="shared" si="91"/>
        <v>-0.0005826186503</v>
      </c>
      <c r="I216" s="407">
        <f t="shared" si="91"/>
        <v>-0.0003760117191</v>
      </c>
      <c r="J216" s="407">
        <f t="shared" si="91"/>
        <v>-0.001570656704</v>
      </c>
      <c r="K216" s="407">
        <f t="shared" si="91"/>
        <v>-0.0006703853705</v>
      </c>
      <c r="L216" s="407">
        <f t="shared" si="91"/>
        <v>-0.00892275863</v>
      </c>
      <c r="M216" s="407">
        <f t="shared" si="91"/>
        <v>-0.02547062674</v>
      </c>
      <c r="N216" s="407">
        <f t="shared" si="91"/>
        <v>-0.0005923028947</v>
      </c>
      <c r="O216" s="407">
        <f t="shared" si="91"/>
        <v>-0.0007442409952</v>
      </c>
      <c r="P216" s="407">
        <f t="shared" si="91"/>
        <v>-0.002494874099</v>
      </c>
      <c r="Q216" s="407">
        <f t="shared" si="91"/>
        <v>-0.002214868344</v>
      </c>
      <c r="R216" s="407">
        <f t="shared" si="91"/>
        <v>-0.005929534641</v>
      </c>
      <c r="S216" s="407">
        <f t="shared" si="91"/>
        <v>-0.002568370126</v>
      </c>
      <c r="T216" s="407">
        <f t="shared" si="91"/>
        <v>-0.004898568762</v>
      </c>
      <c r="U216" s="407">
        <f t="shared" si="91"/>
        <v>-0.002196452773</v>
      </c>
      <c r="V216" s="407">
        <f t="shared" si="91"/>
        <v>-0.005289193915</v>
      </c>
      <c r="W216" s="407">
        <f t="shared" si="91"/>
        <v>-0.004275054895</v>
      </c>
      <c r="X216" s="407">
        <f t="shared" si="91"/>
        <v>-0.005263945279</v>
      </c>
      <c r="Y216" s="407">
        <f t="shared" si="91"/>
        <v>-0.005708123558</v>
      </c>
      <c r="Z216" s="407">
        <f t="shared" si="91"/>
        <v>-0.01012120054</v>
      </c>
      <c r="AA216" s="407">
        <f t="shared" si="91"/>
        <v>-0.01391051791</v>
      </c>
      <c r="AB216" s="407">
        <f t="shared" si="91"/>
        <v>-0.00681468535</v>
      </c>
      <c r="AC216" s="407">
        <f t="shared" si="91"/>
        <v>-0.00414772913</v>
      </c>
      <c r="AD216" s="407">
        <f t="shared" si="91"/>
        <v>0.9906736309</v>
      </c>
      <c r="AF216" s="263" t="s">
        <v>165</v>
      </c>
      <c r="AG216" s="420">
        <v>2786945.6264587636</v>
      </c>
      <c r="AH216" s="420">
        <v>6549026.541667788</v>
      </c>
      <c r="AI216" s="420">
        <v>2170386.999330373</v>
      </c>
      <c r="AJ216" s="420">
        <v>4416041.065335632</v>
      </c>
      <c r="AK216" s="420">
        <v>2.758845600756036E7</v>
      </c>
      <c r="AL216" s="420">
        <v>2865.3239485774443</v>
      </c>
      <c r="AM216" s="420">
        <v>297653.3462233846</v>
      </c>
      <c r="AN216" s="420">
        <v>3.1109033650578327E7</v>
      </c>
      <c r="AO216" s="420">
        <v>173227.7696166039</v>
      </c>
      <c r="AP216" s="420">
        <v>2969191.008572339</v>
      </c>
      <c r="AQ216" s="420">
        <v>1708988.3170211432</v>
      </c>
      <c r="AR216" s="420">
        <v>6274.194919483651</v>
      </c>
      <c r="AS216" s="420">
        <v>450.7836822722122</v>
      </c>
      <c r="AT216" s="420">
        <v>2323440.016346533</v>
      </c>
      <c r="AU216" s="420">
        <v>6.002970226620515E7</v>
      </c>
      <c r="AV216" s="420">
        <v>8707484.072379088</v>
      </c>
      <c r="AW216" s="420">
        <v>1356939.4626459007</v>
      </c>
      <c r="AX216" s="420">
        <v>5152344.949719042</v>
      </c>
      <c r="AY216" s="420">
        <v>6.640465658032073E7</v>
      </c>
      <c r="AZ216" s="420">
        <v>64106.5609807184</v>
      </c>
      <c r="BA216" s="420">
        <v>589482.3544251627</v>
      </c>
      <c r="BB216" s="420">
        <v>1.324073932758822E8</v>
      </c>
      <c r="BC216" s="420">
        <v>2.545710023393745E7</v>
      </c>
      <c r="BD216" s="420">
        <v>5822068.921770415</v>
      </c>
      <c r="BE216" s="420">
        <v>2049786.1128613588</v>
      </c>
      <c r="BF216" s="420">
        <v>13837.229149796749</v>
      </c>
      <c r="BG216" s="420">
        <v>13292.66153651629</v>
      </c>
      <c r="BH216" s="420">
        <v>26678.871817334046</v>
      </c>
      <c r="BI216" s="406">
        <f t="shared" si="70"/>
        <v>390196854.2</v>
      </c>
      <c r="BJ216" s="406"/>
      <c r="CO216" s="24"/>
      <c r="CP216" s="24"/>
      <c r="CQ216" s="24"/>
      <c r="CR216" s="24"/>
      <c r="CS216" s="24"/>
      <c r="CT216" s="24"/>
      <c r="CU216" s="24"/>
      <c r="CV216" s="24"/>
      <c r="CW216" s="24"/>
      <c r="CX216" s="24"/>
      <c r="CY216" s="24"/>
      <c r="CZ216" s="24"/>
      <c r="DA216" s="24"/>
      <c r="DB216" s="24"/>
      <c r="DC216" s="24"/>
      <c r="DD216" s="24"/>
      <c r="DE216" s="24"/>
      <c r="DF216" s="24"/>
      <c r="DG216" s="24"/>
      <c r="DH216" s="24"/>
      <c r="DI216" s="24"/>
      <c r="DJ216" s="24"/>
      <c r="DK216" s="24"/>
      <c r="DL216" s="24"/>
      <c r="DM216" s="24"/>
      <c r="DN216" s="24"/>
      <c r="DO216" s="24"/>
      <c r="DP216" s="24"/>
      <c r="DQ216" s="24"/>
      <c r="DR216" s="24"/>
      <c r="DS216" s="24"/>
      <c r="DT216" s="24"/>
      <c r="DU216" s="24"/>
    </row>
    <row r="217">
      <c r="B217" s="13" t="s">
        <v>178</v>
      </c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  <c r="AA217" s="24"/>
      <c r="AB217" s="24"/>
      <c r="AC217" s="24"/>
      <c r="AD217" s="24"/>
      <c r="AF217" s="263" t="s">
        <v>166</v>
      </c>
      <c r="AG217" s="420">
        <v>4.437806562294646E7</v>
      </c>
      <c r="AH217" s="420">
        <v>1.9704356772133115E8</v>
      </c>
      <c r="AI217" s="420">
        <v>2.163436207728456E7</v>
      </c>
      <c r="AJ217" s="420">
        <v>2.982564808686801E8</v>
      </c>
      <c r="AK217" s="420">
        <v>3.1132138856344444E8</v>
      </c>
      <c r="AL217" s="420">
        <v>277900.23557073425</v>
      </c>
      <c r="AM217" s="420">
        <v>2.902009864897369E7</v>
      </c>
      <c r="AN217" s="420">
        <v>2.0041933760741732E9</v>
      </c>
      <c r="AO217" s="420">
        <v>1.0586683489037791E7</v>
      </c>
      <c r="AP217" s="420">
        <v>3.9931910184669775E8</v>
      </c>
      <c r="AQ217" s="420">
        <v>1.2721659714158878E8</v>
      </c>
      <c r="AR217" s="420">
        <v>640699.7478301286</v>
      </c>
      <c r="AS217" s="420">
        <v>40079.98994296393</v>
      </c>
      <c r="AT217" s="420">
        <v>6.799755818860479E7</v>
      </c>
      <c r="AU217" s="420">
        <v>1.3294607054201336E8</v>
      </c>
      <c r="AV217" s="420">
        <v>2.009365468050349E8</v>
      </c>
      <c r="AW217" s="420">
        <v>3.1718293411568068E7</v>
      </c>
      <c r="AX217" s="420">
        <v>2.4239315711727232E8</v>
      </c>
      <c r="AY217" s="420">
        <v>6.222911544123343E8</v>
      </c>
      <c r="AZ217" s="420">
        <v>6683147.399491398</v>
      </c>
      <c r="BA217" s="420">
        <v>2.118186056372737E7</v>
      </c>
      <c r="BB217" s="420">
        <v>7.780178652178746E9</v>
      </c>
      <c r="BC217" s="420">
        <v>1.0951773153346471E7</v>
      </c>
      <c r="BD217" s="420">
        <v>4.434381363065767E9</v>
      </c>
      <c r="BE217" s="420">
        <v>1.77863128563897E8</v>
      </c>
      <c r="BF217" s="420">
        <v>1395883.382060301</v>
      </c>
      <c r="BG217" s="420">
        <v>999494.8172313464</v>
      </c>
      <c r="BH217" s="420">
        <v>1438939.1697907795</v>
      </c>
      <c r="BI217" s="406">
        <f t="shared" si="70"/>
        <v>17177285425</v>
      </c>
      <c r="BJ217" s="406"/>
      <c r="CO217" s="419"/>
      <c r="CP217" s="419"/>
      <c r="CQ217" s="419"/>
      <c r="CR217" s="419"/>
      <c r="CS217" s="419"/>
      <c r="CT217" s="419"/>
      <c r="CU217" s="419"/>
      <c r="CV217" s="419"/>
      <c r="CW217" s="419"/>
      <c r="CX217" s="419"/>
      <c r="CY217" s="419"/>
      <c r="CZ217" s="419"/>
      <c r="DA217" s="419"/>
      <c r="DB217" s="419"/>
      <c r="DC217" s="419"/>
      <c r="DD217" s="419"/>
      <c r="DE217" s="419"/>
      <c r="DF217" s="419"/>
      <c r="DG217" s="419"/>
      <c r="DH217" s="419"/>
      <c r="DI217" s="419"/>
      <c r="DJ217" s="419"/>
      <c r="DK217" s="419"/>
      <c r="DL217" s="419"/>
      <c r="DM217" s="419"/>
      <c r="DN217" s="419"/>
      <c r="DO217" s="419"/>
      <c r="DP217" s="419"/>
      <c r="DQ217" s="419"/>
      <c r="DR217" s="419"/>
      <c r="DS217" s="419"/>
      <c r="DT217" s="419"/>
      <c r="DU217" s="419"/>
    </row>
    <row r="218">
      <c r="B218" s="425" t="s">
        <v>179</v>
      </c>
      <c r="C218" s="426"/>
      <c r="D218" s="426"/>
      <c r="E218" s="426"/>
      <c r="F218" s="426"/>
      <c r="G218" s="426"/>
      <c r="H218" s="426"/>
      <c r="I218" s="426"/>
      <c r="J218" s="426"/>
      <c r="K218" s="426"/>
      <c r="L218" s="426"/>
      <c r="M218" s="426"/>
      <c r="N218" s="426"/>
      <c r="O218" s="426"/>
      <c r="P218" s="426"/>
      <c r="Q218" s="426"/>
      <c r="R218" s="426"/>
      <c r="S218" s="426"/>
      <c r="T218" s="426"/>
      <c r="U218" s="426"/>
      <c r="V218" s="426"/>
      <c r="W218" s="426"/>
      <c r="X218" s="426"/>
      <c r="Y218" s="426"/>
      <c r="Z218" s="426"/>
      <c r="AA218" s="426"/>
      <c r="AB218" s="426"/>
      <c r="AC218" s="426"/>
      <c r="AD218" s="426"/>
      <c r="AF218" s="263" t="s">
        <v>167</v>
      </c>
      <c r="AG218" s="420">
        <v>1866047.9348770021</v>
      </c>
      <c r="AH218" s="420">
        <v>8055735.168647685</v>
      </c>
      <c r="AI218" s="420">
        <v>786737.3454223609</v>
      </c>
      <c r="AJ218" s="420">
        <v>1.271555320014959E7</v>
      </c>
      <c r="AK218" s="420">
        <v>1.1188015182234194E7</v>
      </c>
      <c r="AL218" s="420">
        <v>10574.435310597002</v>
      </c>
      <c r="AM218" s="420">
        <v>891410.1074003244</v>
      </c>
      <c r="AN218" s="420">
        <v>7.969433982576443E7</v>
      </c>
      <c r="AO218" s="420">
        <v>361826.40791601717</v>
      </c>
      <c r="AP218" s="420">
        <v>1.3573962030917494E7</v>
      </c>
      <c r="AQ218" s="420">
        <v>9927469.710964492</v>
      </c>
      <c r="AR218" s="420">
        <v>23624.86097299656</v>
      </c>
      <c r="AS218" s="420">
        <v>1417.5810013768598</v>
      </c>
      <c r="AT218" s="420">
        <v>2930514.2154053445</v>
      </c>
      <c r="AU218" s="420">
        <v>5356838.993899085</v>
      </c>
      <c r="AV218" s="420">
        <v>6481063.163953846</v>
      </c>
      <c r="AW218" s="420">
        <v>1012846.0369063596</v>
      </c>
      <c r="AX218" s="420">
        <v>7459761.7633597</v>
      </c>
      <c r="AY218" s="420">
        <v>2.3539326030151308E7</v>
      </c>
      <c r="AZ218" s="420">
        <v>532187.7288168098</v>
      </c>
      <c r="BA218" s="420">
        <v>1085447.9534283301</v>
      </c>
      <c r="BB218" s="420">
        <v>3.3544063974359626E8</v>
      </c>
      <c r="BC218" s="420">
        <v>372853.1306169587</v>
      </c>
      <c r="BD218" s="420">
        <v>3.728402247282534E7</v>
      </c>
      <c r="BE218" s="420">
        <v>9.222957911720428E7</v>
      </c>
      <c r="BF218" s="420">
        <v>102066.12880232294</v>
      </c>
      <c r="BG218" s="420">
        <v>64184.32161097753</v>
      </c>
      <c r="BH218" s="420">
        <v>74604.2450996257</v>
      </c>
      <c r="BI218" s="406">
        <f t="shared" si="70"/>
        <v>653062648.8</v>
      </c>
      <c r="BJ218" s="406"/>
      <c r="CO218" s="406"/>
      <c r="CP218" s="406"/>
      <c r="CQ218" s="406"/>
      <c r="CR218" s="406"/>
      <c r="CS218" s="406"/>
      <c r="CT218" s="406"/>
      <c r="CU218" s="406"/>
      <c r="CV218" s="406"/>
      <c r="CW218" s="406"/>
      <c r="CX218" s="406"/>
      <c r="CY218" s="406"/>
      <c r="CZ218" s="406"/>
      <c r="DA218" s="406"/>
      <c r="DB218" s="406"/>
      <c r="DC218" s="406"/>
      <c r="DD218" s="406"/>
      <c r="DE218" s="406"/>
      <c r="DF218" s="406"/>
      <c r="DG218" s="406"/>
      <c r="DH218" s="406"/>
      <c r="DI218" s="406"/>
      <c r="DJ218" s="406"/>
      <c r="DK218" s="406"/>
      <c r="DL218" s="406"/>
      <c r="DM218" s="406"/>
      <c r="DN218" s="406"/>
      <c r="DO218" s="406"/>
      <c r="DP218" s="406"/>
      <c r="DQ218" s="406"/>
      <c r="DR218" s="406"/>
      <c r="DS218" s="406"/>
      <c r="DT218" s="406"/>
      <c r="DU218" s="406"/>
    </row>
    <row r="219">
      <c r="B219" s="404"/>
      <c r="C219" s="405">
        <v>1.0</v>
      </c>
      <c r="D219" s="405">
        <v>2.0</v>
      </c>
      <c r="E219" s="405">
        <v>3.0</v>
      </c>
      <c r="F219" s="405">
        <v>4.0</v>
      </c>
      <c r="G219" s="405">
        <v>5.0</v>
      </c>
      <c r="H219" s="405">
        <v>6.0</v>
      </c>
      <c r="I219" s="405">
        <v>7.0</v>
      </c>
      <c r="J219" s="405">
        <v>8.0</v>
      </c>
      <c r="K219" s="405">
        <v>9.0</v>
      </c>
      <c r="L219" s="405">
        <v>10.0</v>
      </c>
      <c r="M219" s="405">
        <v>11.0</v>
      </c>
      <c r="N219" s="405">
        <v>12.0</v>
      </c>
      <c r="O219" s="405">
        <v>13.0</v>
      </c>
      <c r="P219" s="405">
        <v>14.0</v>
      </c>
      <c r="Q219" s="405">
        <v>15.0</v>
      </c>
      <c r="R219" s="405">
        <v>16.0</v>
      </c>
      <c r="S219" s="405">
        <v>17.0</v>
      </c>
      <c r="T219" s="405">
        <v>18.0</v>
      </c>
      <c r="U219" s="405">
        <v>19.0</v>
      </c>
      <c r="V219" s="405">
        <v>20.0</v>
      </c>
      <c r="W219" s="405">
        <v>21.0</v>
      </c>
      <c r="X219" s="405">
        <v>22.0</v>
      </c>
      <c r="Y219" s="405">
        <v>23.0</v>
      </c>
      <c r="Z219" s="405">
        <v>24.0</v>
      </c>
      <c r="AA219" s="405">
        <v>25.0</v>
      </c>
      <c r="AB219" s="405">
        <v>26.0</v>
      </c>
      <c r="AC219" s="405">
        <v>27.0</v>
      </c>
      <c r="AD219" s="405">
        <v>28.0</v>
      </c>
      <c r="AF219" s="263" t="s">
        <v>168</v>
      </c>
      <c r="AG219" s="420">
        <v>2704044.2536781947</v>
      </c>
      <c r="AH219" s="420">
        <v>9016277.2698775</v>
      </c>
      <c r="AI219" s="420">
        <v>1045910.6549879742</v>
      </c>
      <c r="AJ219" s="420">
        <v>1.1393204802693153E7</v>
      </c>
      <c r="AK219" s="420">
        <v>1.448615525812907E7</v>
      </c>
      <c r="AL219" s="420">
        <v>119224.78486411863</v>
      </c>
      <c r="AM219" s="420">
        <v>1127661.7439392689</v>
      </c>
      <c r="AN219" s="420">
        <v>1.5021864502566132E8</v>
      </c>
      <c r="AO219" s="420">
        <v>488087.2124045946</v>
      </c>
      <c r="AP219" s="420">
        <v>1.6954145016830806E7</v>
      </c>
      <c r="AQ219" s="420">
        <v>8330431.9088738505</v>
      </c>
      <c r="AR219" s="420">
        <v>324564.76312957535</v>
      </c>
      <c r="AS219" s="420">
        <v>2295.4012052337393</v>
      </c>
      <c r="AT219" s="420">
        <v>3600501.009850641</v>
      </c>
      <c r="AU219" s="420">
        <v>6877008.514688764</v>
      </c>
      <c r="AV219" s="420">
        <v>9518463.665058</v>
      </c>
      <c r="AW219" s="420">
        <v>1972831.1493569687</v>
      </c>
      <c r="AX219" s="420">
        <v>1.6437227126405247E7</v>
      </c>
      <c r="AY219" s="420">
        <v>3.655413501647532E7</v>
      </c>
      <c r="AZ219" s="420">
        <v>1.4150201126652831E7</v>
      </c>
      <c r="BA219" s="420">
        <v>1611839.327304337</v>
      </c>
      <c r="BB219" s="420">
        <v>5.035114988203903E8</v>
      </c>
      <c r="BC219" s="420">
        <v>444551.1164503929</v>
      </c>
      <c r="BD219" s="420">
        <v>3.824736399657438E7</v>
      </c>
      <c r="BE219" s="420">
        <v>1.7126963753712013E7</v>
      </c>
      <c r="BF219" s="420">
        <v>3.632379687652905E7</v>
      </c>
      <c r="BG219" s="420">
        <v>400531.7602429279</v>
      </c>
      <c r="BH219" s="420">
        <v>107200.39671544044</v>
      </c>
      <c r="BI219" s="406">
        <f t="shared" si="70"/>
        <v>903094761.8</v>
      </c>
      <c r="BJ219" s="406"/>
      <c r="CO219" s="406"/>
      <c r="CP219" s="406"/>
      <c r="CQ219" s="406"/>
      <c r="CR219" s="406"/>
      <c r="CS219" s="406"/>
      <c r="CT219" s="406"/>
      <c r="CU219" s="406"/>
      <c r="CV219" s="406"/>
      <c r="CW219" s="406"/>
      <c r="CX219" s="406"/>
      <c r="CY219" s="406"/>
      <c r="CZ219" s="406"/>
      <c r="DA219" s="406"/>
      <c r="DB219" s="406"/>
      <c r="DC219" s="406"/>
      <c r="DD219" s="406"/>
      <c r="DE219" s="406"/>
      <c r="DF219" s="406"/>
      <c r="DG219" s="406"/>
      <c r="DH219" s="406"/>
      <c r="DI219" s="406"/>
      <c r="DJ219" s="406"/>
      <c r="DK219" s="406"/>
      <c r="DL219" s="406"/>
      <c r="DM219" s="406"/>
      <c r="DN219" s="406"/>
      <c r="DO219" s="406"/>
      <c r="DP219" s="406"/>
      <c r="DQ219" s="406"/>
      <c r="DR219" s="406"/>
      <c r="DS219" s="406"/>
      <c r="DT219" s="406"/>
      <c r="DU219" s="406"/>
    </row>
    <row r="220">
      <c r="B220" s="405">
        <v>1.0</v>
      </c>
      <c r="C220" s="427">
        <f t="array" ref="C220:AD247">MINVERSE(C189:AD216)</f>
        <v>1.060491748</v>
      </c>
      <c r="D220" s="427">
        <v>0.12324533237150045</v>
      </c>
      <c r="E220" s="427">
        <v>0.0849369561643146</v>
      </c>
      <c r="F220" s="427">
        <v>0.00990147130483393</v>
      </c>
      <c r="G220" s="427">
        <v>0.009924657747586985</v>
      </c>
      <c r="H220" s="427">
        <v>2.769387049633588E-4</v>
      </c>
      <c r="I220" s="427">
        <v>1.360760062616014E-4</v>
      </c>
      <c r="J220" s="427">
        <v>4.519324192255006E-4</v>
      </c>
      <c r="K220" s="427">
        <v>8.637570472534752E-4</v>
      </c>
      <c r="L220" s="427">
        <v>6.255566165438726E-4</v>
      </c>
      <c r="M220" s="427">
        <v>3.195437368282323E-4</v>
      </c>
      <c r="N220" s="427">
        <v>2.7176285404855626E-4</v>
      </c>
      <c r="O220" s="427">
        <v>2.0894265558451088E-4</v>
      </c>
      <c r="P220" s="427">
        <v>0.004405831679090376</v>
      </c>
      <c r="Q220" s="427">
        <v>2.20819923179034E-5</v>
      </c>
      <c r="R220" s="427">
        <v>1.0049724283230556E-4</v>
      </c>
      <c r="S220" s="427">
        <v>1.4467664454856737E-4</v>
      </c>
      <c r="T220" s="427">
        <v>7.402315926026458E-5</v>
      </c>
      <c r="U220" s="427">
        <v>2.2559419646952256E-4</v>
      </c>
      <c r="V220" s="427">
        <v>1.500848364148122E-5</v>
      </c>
      <c r="W220" s="427">
        <v>1.1202940633555234E-5</v>
      </c>
      <c r="X220" s="427">
        <v>1.5022959500448313E-5</v>
      </c>
      <c r="Y220" s="427">
        <v>2.796416403101444E-5</v>
      </c>
      <c r="Z220" s="427">
        <v>1.1444900364838942E-5</v>
      </c>
      <c r="AA220" s="427">
        <v>1.0630563564615457E-5</v>
      </c>
      <c r="AB220" s="427">
        <v>1.6676051928158307E-5</v>
      </c>
      <c r="AC220" s="427">
        <v>7.090285847567778E-6</v>
      </c>
      <c r="AD220" s="427">
        <v>5.425335400960869E-5</v>
      </c>
      <c r="AF220" s="263" t="s">
        <v>169</v>
      </c>
      <c r="AG220" s="420">
        <v>38909.195075095384</v>
      </c>
      <c r="AH220" s="420">
        <v>143023.972572741</v>
      </c>
      <c r="AI220" s="420">
        <v>20999.69787381577</v>
      </c>
      <c r="AJ220" s="420">
        <v>178482.69399306597</v>
      </c>
      <c r="AK220" s="420">
        <v>308916.9073903102</v>
      </c>
      <c r="AL220" s="420">
        <v>554.9005530688058</v>
      </c>
      <c r="AM220" s="420">
        <v>17818.61661997663</v>
      </c>
      <c r="AN220" s="420">
        <v>1543488.507945613</v>
      </c>
      <c r="AO220" s="420">
        <v>8386.916453818752</v>
      </c>
      <c r="AP220" s="420">
        <v>304299.7485917307</v>
      </c>
      <c r="AQ220" s="420">
        <v>119296.84181068485</v>
      </c>
      <c r="AR220" s="420">
        <v>1316.766551279171</v>
      </c>
      <c r="AS220" s="420">
        <v>25.824397259081177</v>
      </c>
      <c r="AT220" s="420">
        <v>57531.1142612538</v>
      </c>
      <c r="AU220" s="420">
        <v>284483.03296668123</v>
      </c>
      <c r="AV220" s="420">
        <v>230330.14598921148</v>
      </c>
      <c r="AW220" s="420">
        <v>32038.662041611908</v>
      </c>
      <c r="AX220" s="420">
        <v>231321.90034017392</v>
      </c>
      <c r="AY220" s="420">
        <v>818059.8151799564</v>
      </c>
      <c r="AZ220" s="420">
        <v>59047.54713293142</v>
      </c>
      <c r="BA220" s="420">
        <v>27914.844143827988</v>
      </c>
      <c r="BB220" s="420">
        <v>7520563.596921129</v>
      </c>
      <c r="BC220" s="420">
        <v>12814.993202286083</v>
      </c>
      <c r="BD220" s="420">
        <v>677419.5511767338</v>
      </c>
      <c r="BE220" s="420">
        <v>303703.73572256695</v>
      </c>
      <c r="BF220" s="420">
        <v>11365.695466207493</v>
      </c>
      <c r="BG220" s="420">
        <v>967274.1159708778</v>
      </c>
      <c r="BH220" s="420">
        <v>2282.4222022460667</v>
      </c>
      <c r="BI220" s="406">
        <f t="shared" si="70"/>
        <v>13921671.76</v>
      </c>
      <c r="BJ220" s="406"/>
      <c r="CO220" s="406"/>
      <c r="CP220" s="406"/>
      <c r="CQ220" s="406"/>
      <c r="CR220" s="406"/>
      <c r="CS220" s="406"/>
      <c r="CT220" s="406"/>
      <c r="CU220" s="406"/>
      <c r="CV220" s="406"/>
      <c r="CW220" s="406"/>
      <c r="CX220" s="406"/>
      <c r="CY220" s="406"/>
      <c r="CZ220" s="406"/>
      <c r="DA220" s="406"/>
      <c r="DB220" s="406"/>
      <c r="DC220" s="406"/>
      <c r="DD220" s="406"/>
      <c r="DE220" s="406"/>
      <c r="DF220" s="406"/>
      <c r="DG220" s="406"/>
      <c r="DH220" s="406"/>
      <c r="DI220" s="406"/>
      <c r="DJ220" s="406"/>
      <c r="DK220" s="406"/>
      <c r="DL220" s="406"/>
      <c r="DM220" s="406"/>
      <c r="DN220" s="406"/>
      <c r="DO220" s="406"/>
      <c r="DP220" s="406"/>
      <c r="DQ220" s="406"/>
      <c r="DR220" s="406"/>
      <c r="DS220" s="406"/>
      <c r="DT220" s="406"/>
      <c r="DU220" s="406"/>
    </row>
    <row r="221">
      <c r="B221" s="405">
        <v>2.0</v>
      </c>
      <c r="C221" s="427">
        <v>2.0630532287406732E-4</v>
      </c>
      <c r="D221" s="427">
        <v>1.0053704332577464</v>
      </c>
      <c r="E221" s="427">
        <v>0.026743956376991798</v>
      </c>
      <c r="F221" s="427">
        <v>0.0038818583065223893</v>
      </c>
      <c r="G221" s="427">
        <v>0.018349156869195637</v>
      </c>
      <c r="H221" s="427">
        <v>0.0010432204836391705</v>
      </c>
      <c r="I221" s="427">
        <v>1.4786383123566152E-4</v>
      </c>
      <c r="J221" s="427">
        <v>3.1264325460677613E-4</v>
      </c>
      <c r="K221" s="427">
        <v>3.540714186719827E-4</v>
      </c>
      <c r="L221" s="427">
        <v>5.818095684840545E-4</v>
      </c>
      <c r="M221" s="427">
        <v>5.018091612297636E-4</v>
      </c>
      <c r="N221" s="427">
        <v>0.0010387680482952483</v>
      </c>
      <c r="O221" s="427">
        <v>2.2240601539729113E-4</v>
      </c>
      <c r="P221" s="427">
        <v>0.00984811580480978</v>
      </c>
      <c r="Q221" s="427">
        <v>9.164944508361123E-6</v>
      </c>
      <c r="R221" s="427">
        <v>8.803106160743855E-5</v>
      </c>
      <c r="S221" s="427">
        <v>6.0651165020320196E-5</v>
      </c>
      <c r="T221" s="427">
        <v>5.004813998732323E-5</v>
      </c>
      <c r="U221" s="427">
        <v>1.1778462228595436E-4</v>
      </c>
      <c r="V221" s="427">
        <v>1.3034617521103524E-5</v>
      </c>
      <c r="W221" s="427">
        <v>1.2921585091914536E-5</v>
      </c>
      <c r="X221" s="427">
        <v>1.4083089820465893E-5</v>
      </c>
      <c r="Y221" s="427">
        <v>3.190258556612113E-5</v>
      </c>
      <c r="Z221" s="427">
        <v>1.6772922894053156E-5</v>
      </c>
      <c r="AA221" s="427">
        <v>1.1540013130538243E-5</v>
      </c>
      <c r="AB221" s="427">
        <v>2.744910886676338E-5</v>
      </c>
      <c r="AC221" s="427">
        <v>8.651637241568938E-6</v>
      </c>
      <c r="AD221" s="427">
        <v>1.2766214828694187E-4</v>
      </c>
      <c r="AF221" s="267" t="s">
        <v>170</v>
      </c>
      <c r="AG221" s="420">
        <v>218019.35961200658</v>
      </c>
      <c r="AH221" s="420">
        <v>1003238.5929128755</v>
      </c>
      <c r="AI221" s="420">
        <v>88705.9035327746</v>
      </c>
      <c r="AJ221" s="420">
        <v>1082775.9736683667</v>
      </c>
      <c r="AK221" s="420">
        <v>1246669.05122883</v>
      </c>
      <c r="AL221" s="420">
        <v>2073.332874907007</v>
      </c>
      <c r="AM221" s="420">
        <v>113276.8356762526</v>
      </c>
      <c r="AN221" s="420">
        <v>7938298.914882186</v>
      </c>
      <c r="AO221" s="420">
        <v>24566.102363677153</v>
      </c>
      <c r="AP221" s="420">
        <v>3886760.834287263</v>
      </c>
      <c r="AQ221" s="420">
        <v>4546212.839346536</v>
      </c>
      <c r="AR221" s="420">
        <v>4680.285482840072</v>
      </c>
      <c r="AS221" s="420">
        <v>235.1914003395025</v>
      </c>
      <c r="AT221" s="420">
        <v>593853.2650298893</v>
      </c>
      <c r="AU221" s="420">
        <v>312569.85879847454</v>
      </c>
      <c r="AV221" s="420">
        <v>426475.03615098423</v>
      </c>
      <c r="AW221" s="420">
        <v>61474.380280255966</v>
      </c>
      <c r="AX221" s="420">
        <v>543809.5425072513</v>
      </c>
      <c r="AY221" s="420">
        <v>1308534.2843401253</v>
      </c>
      <c r="AZ221" s="420">
        <v>22968.025031761306</v>
      </c>
      <c r="BA221" s="420">
        <v>62424.12251364122</v>
      </c>
      <c r="BB221" s="420">
        <v>2.2074409601806495E7</v>
      </c>
      <c r="BC221" s="420">
        <v>23742.02521907151</v>
      </c>
      <c r="BD221" s="420">
        <v>2896711.841742957</v>
      </c>
      <c r="BE221" s="420">
        <v>1357306.9528207</v>
      </c>
      <c r="BF221" s="420">
        <v>5198.81669890703</v>
      </c>
      <c r="BG221" s="420">
        <v>2964.8532274094014</v>
      </c>
      <c r="BH221" s="420">
        <v>334937.91431986017</v>
      </c>
      <c r="BI221" s="406">
        <f t="shared" si="70"/>
        <v>50182893.74</v>
      </c>
      <c r="BJ221" s="406"/>
      <c r="CO221" s="406"/>
      <c r="CP221" s="406"/>
      <c r="CQ221" s="406"/>
      <c r="CR221" s="406"/>
      <c r="CS221" s="406"/>
      <c r="CT221" s="406"/>
      <c r="CU221" s="406"/>
      <c r="CV221" s="406"/>
      <c r="CW221" s="406"/>
      <c r="CX221" s="406"/>
      <c r="CY221" s="406"/>
      <c r="CZ221" s="406"/>
      <c r="DA221" s="406"/>
      <c r="DB221" s="406"/>
      <c r="DC221" s="406"/>
      <c r="DD221" s="406"/>
      <c r="DE221" s="406"/>
      <c r="DF221" s="406"/>
      <c r="DG221" s="406"/>
      <c r="DH221" s="406"/>
      <c r="DI221" s="406"/>
      <c r="DJ221" s="406"/>
      <c r="DK221" s="406"/>
      <c r="DL221" s="406"/>
      <c r="DM221" s="406"/>
      <c r="DN221" s="406"/>
      <c r="DO221" s="406"/>
      <c r="DP221" s="406"/>
      <c r="DQ221" s="406"/>
      <c r="DR221" s="406"/>
      <c r="DS221" s="406"/>
      <c r="DT221" s="406"/>
      <c r="DU221" s="406"/>
    </row>
    <row r="222">
      <c r="B222" s="405">
        <v>3.0</v>
      </c>
      <c r="C222" s="427">
        <v>4.79368115503643E-4</v>
      </c>
      <c r="D222" s="427">
        <v>8.85248972532443E-4</v>
      </c>
      <c r="E222" s="427">
        <v>1.0046206888385603</v>
      </c>
      <c r="F222" s="427">
        <v>0.11404304835046823</v>
      </c>
      <c r="G222" s="427">
        <v>8.67186547383877E-4</v>
      </c>
      <c r="H222" s="427">
        <v>6.335325535900793E-4</v>
      </c>
      <c r="I222" s="427">
        <v>4.1233359498426793E-4</v>
      </c>
      <c r="J222" s="427">
        <v>5.329215522544824E-4</v>
      </c>
      <c r="K222" s="427">
        <v>0.008950748365125768</v>
      </c>
      <c r="L222" s="427">
        <v>0.0033084225341953014</v>
      </c>
      <c r="M222" s="427">
        <v>6.056584604617801E-4</v>
      </c>
      <c r="N222" s="427">
        <v>6.140665155881345E-4</v>
      </c>
      <c r="O222" s="427">
        <v>5.500481975248E-4</v>
      </c>
      <c r="P222" s="427">
        <v>0.0040722850813734</v>
      </c>
      <c r="Q222" s="427">
        <v>6.320614308212114E-6</v>
      </c>
      <c r="R222" s="427">
        <v>1.3051942775610693E-5</v>
      </c>
      <c r="S222" s="427">
        <v>1.6606493031896373E-5</v>
      </c>
      <c r="T222" s="427">
        <v>8.211144838011174E-5</v>
      </c>
      <c r="U222" s="427">
        <v>3.429373305448999E-5</v>
      </c>
      <c r="V222" s="427">
        <v>1.638891378739461E-5</v>
      </c>
      <c r="W222" s="427">
        <v>5.103412441869887E-6</v>
      </c>
      <c r="X222" s="427">
        <v>1.1014248808180515E-5</v>
      </c>
      <c r="Y222" s="427">
        <v>2.428731970815767E-5</v>
      </c>
      <c r="Z222" s="427">
        <v>9.511064893861172E-6</v>
      </c>
      <c r="AA222" s="427">
        <v>5.397669613871475E-6</v>
      </c>
      <c r="AB222" s="427">
        <v>1.8172251618550287E-5</v>
      </c>
      <c r="AC222" s="427">
        <v>5.141314874250374E-6</v>
      </c>
      <c r="AD222" s="427">
        <v>2.034921621053862E-5</v>
      </c>
      <c r="AF222" s="25" t="s">
        <v>44</v>
      </c>
      <c r="AG222" s="264" t="s">
        <v>39</v>
      </c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9"/>
      <c r="AU222" s="422" t="s">
        <v>40</v>
      </c>
      <c r="AV222" s="423"/>
      <c r="AW222" s="423"/>
      <c r="AX222" s="423"/>
      <c r="AY222" s="423"/>
      <c r="AZ222" s="423"/>
      <c r="BA222" s="423"/>
      <c r="BB222" s="423"/>
      <c r="BC222" s="423"/>
      <c r="BD222" s="423"/>
      <c r="BE222" s="423"/>
      <c r="BF222" s="423"/>
      <c r="BG222" s="423"/>
      <c r="BH222" s="424"/>
      <c r="BI222" s="24"/>
      <c r="BJ222" s="406"/>
      <c r="CO222" s="406"/>
      <c r="CP222" s="406"/>
      <c r="CQ222" s="406"/>
      <c r="CR222" s="406"/>
      <c r="CS222" s="406"/>
      <c r="CT222" s="406"/>
      <c r="CU222" s="406"/>
      <c r="CV222" s="406"/>
      <c r="CW222" s="406"/>
      <c r="CX222" s="406"/>
      <c r="CY222" s="406"/>
      <c r="CZ222" s="406"/>
      <c r="DA222" s="406"/>
      <c r="DB222" s="406"/>
      <c r="DC222" s="406"/>
      <c r="DD222" s="406"/>
      <c r="DE222" s="406"/>
      <c r="DF222" s="406"/>
      <c r="DG222" s="406"/>
      <c r="DH222" s="406"/>
      <c r="DI222" s="406"/>
      <c r="DJ222" s="406"/>
      <c r="DK222" s="406"/>
      <c r="DL222" s="406"/>
      <c r="DM222" s="406"/>
      <c r="DN222" s="406"/>
      <c r="DO222" s="406"/>
      <c r="DP222" s="406"/>
      <c r="DQ222" s="406"/>
      <c r="DR222" s="406"/>
      <c r="DS222" s="406"/>
      <c r="DT222" s="406"/>
      <c r="DU222" s="406"/>
    </row>
    <row r="223">
      <c r="B223" s="405">
        <v>4.0</v>
      </c>
      <c r="C223" s="427">
        <v>0.0012469254948611053</v>
      </c>
      <c r="D223" s="427">
        <v>0.001813258519578313</v>
      </c>
      <c r="E223" s="427">
        <v>0.013678491368572443</v>
      </c>
      <c r="F223" s="427">
        <v>1.0594121669873735</v>
      </c>
      <c r="G223" s="427">
        <v>6.642964027990929E-4</v>
      </c>
      <c r="H223" s="427">
        <v>0.0013024756467378304</v>
      </c>
      <c r="I223" s="427">
        <v>6.496237324177365E-4</v>
      </c>
      <c r="J223" s="427">
        <v>0.0010902695007379746</v>
      </c>
      <c r="K223" s="427">
        <v>0.001141406373419339</v>
      </c>
      <c r="L223" s="427">
        <v>0.001520372216234992</v>
      </c>
      <c r="M223" s="427">
        <v>0.0023329643073483814</v>
      </c>
      <c r="N223" s="427">
        <v>0.0013042499072478807</v>
      </c>
      <c r="O223" s="427">
        <v>9.749227611939126E-4</v>
      </c>
      <c r="P223" s="427">
        <v>0.017048796507947855</v>
      </c>
      <c r="Q223" s="427">
        <v>1.841819969179324E-5</v>
      </c>
      <c r="R223" s="427">
        <v>3.365769386469779E-5</v>
      </c>
      <c r="S223" s="427">
        <v>4.9791489363694E-5</v>
      </c>
      <c r="T223" s="427">
        <v>3.292436219368652E-4</v>
      </c>
      <c r="U223" s="427">
        <v>1.527369618007193E-4</v>
      </c>
      <c r="V223" s="427">
        <v>2.621478737174172E-5</v>
      </c>
      <c r="W223" s="427">
        <v>1.7518490566749255E-5</v>
      </c>
      <c r="X223" s="427">
        <v>2.4845118822107454E-5</v>
      </c>
      <c r="Y223" s="427">
        <v>3.4391831291764784E-5</v>
      </c>
      <c r="Z223" s="427">
        <v>2.383759787374045E-5</v>
      </c>
      <c r="AA223" s="427">
        <v>1.718954167144381E-5</v>
      </c>
      <c r="AB223" s="427">
        <v>2.448038149442888E-5</v>
      </c>
      <c r="AC223" s="427">
        <v>1.355351595122408E-5</v>
      </c>
      <c r="AD223" s="427">
        <v>1.1085437010810918E-4</v>
      </c>
      <c r="AF223" s="25" t="s">
        <v>57</v>
      </c>
      <c r="AG223" s="265" t="s">
        <v>58</v>
      </c>
      <c r="AH223" s="25" t="s">
        <v>59</v>
      </c>
      <c r="AI223" s="25" t="s">
        <v>60</v>
      </c>
      <c r="AJ223" s="25" t="s">
        <v>61</v>
      </c>
      <c r="AK223" s="25" t="s">
        <v>62</v>
      </c>
      <c r="AL223" s="25" t="s">
        <v>63</v>
      </c>
      <c r="AM223" s="25" t="s">
        <v>64</v>
      </c>
      <c r="AN223" s="25" t="s">
        <v>65</v>
      </c>
      <c r="AO223" s="25" t="s">
        <v>66</v>
      </c>
      <c r="AP223" s="25" t="s">
        <v>67</v>
      </c>
      <c r="AQ223" s="25" t="s">
        <v>68</v>
      </c>
      <c r="AR223" s="25" t="s">
        <v>69</v>
      </c>
      <c r="AS223" s="25" t="s">
        <v>70</v>
      </c>
      <c r="AT223" s="17" t="s">
        <v>71</v>
      </c>
      <c r="AU223" s="25" t="s">
        <v>58</v>
      </c>
      <c r="AV223" s="25" t="s">
        <v>59</v>
      </c>
      <c r="AW223" s="25" t="s">
        <v>60</v>
      </c>
      <c r="AX223" s="25" t="s">
        <v>61</v>
      </c>
      <c r="AY223" s="25" t="s">
        <v>62</v>
      </c>
      <c r="AZ223" s="25" t="s">
        <v>63</v>
      </c>
      <c r="BA223" s="25" t="s">
        <v>64</v>
      </c>
      <c r="BB223" s="25" t="s">
        <v>65</v>
      </c>
      <c r="BC223" s="25" t="s">
        <v>66</v>
      </c>
      <c r="BD223" s="25" t="s">
        <v>67</v>
      </c>
      <c r="BE223" s="25" t="s">
        <v>68</v>
      </c>
      <c r="BF223" s="25" t="s">
        <v>69</v>
      </c>
      <c r="BG223" s="25" t="s">
        <v>70</v>
      </c>
      <c r="BH223" s="25" t="s">
        <v>71</v>
      </c>
      <c r="BI223" s="24"/>
      <c r="BJ223" s="406"/>
      <c r="CO223" s="406"/>
      <c r="CP223" s="406"/>
      <c r="CQ223" s="406"/>
      <c r="CR223" s="406"/>
      <c r="CS223" s="406"/>
      <c r="CT223" s="406"/>
      <c r="CU223" s="406"/>
      <c r="CV223" s="406"/>
      <c r="CW223" s="406"/>
      <c r="CX223" s="406"/>
      <c r="CY223" s="406"/>
      <c r="CZ223" s="406"/>
      <c r="DA223" s="406"/>
      <c r="DB223" s="406"/>
      <c r="DC223" s="406"/>
      <c r="DD223" s="406"/>
      <c r="DE223" s="406"/>
      <c r="DF223" s="406"/>
      <c r="DG223" s="406"/>
      <c r="DH223" s="406"/>
      <c r="DI223" s="406"/>
      <c r="DJ223" s="406"/>
      <c r="DK223" s="406"/>
      <c r="DL223" s="406"/>
      <c r="DM223" s="406"/>
      <c r="DN223" s="406"/>
      <c r="DO223" s="406"/>
      <c r="DP223" s="406"/>
      <c r="DQ223" s="406"/>
      <c r="DR223" s="406"/>
      <c r="DS223" s="406"/>
      <c r="DT223" s="406"/>
      <c r="DU223" s="406"/>
    </row>
    <row r="224">
      <c r="B224" s="405">
        <v>5.0</v>
      </c>
      <c r="C224" s="427">
        <v>5.415441068711675E-4</v>
      </c>
      <c r="D224" s="427">
        <v>0.011046280903837373</v>
      </c>
      <c r="E224" s="427">
        <v>0.08547783608094675</v>
      </c>
      <c r="F224" s="427">
        <v>0.016544171244633234</v>
      </c>
      <c r="G224" s="427">
        <v>1.069165672716513</v>
      </c>
      <c r="H224" s="427">
        <v>8.878494347510655E-4</v>
      </c>
      <c r="I224" s="427">
        <v>4.06503399321993E-4</v>
      </c>
      <c r="J224" s="427">
        <v>9.708204896561251E-4</v>
      </c>
      <c r="K224" s="427">
        <v>0.001025967067163654</v>
      </c>
      <c r="L224" s="427">
        <v>0.0013858851598439698</v>
      </c>
      <c r="M224" s="427">
        <v>0.001578619024772461</v>
      </c>
      <c r="N224" s="427">
        <v>8.849459557377339E-4</v>
      </c>
      <c r="O224" s="427">
        <v>6.414467433521792E-4</v>
      </c>
      <c r="P224" s="427">
        <v>0.02720855475139977</v>
      </c>
      <c r="Q224" s="427">
        <v>2.2227337069597693E-5</v>
      </c>
      <c r="R224" s="427">
        <v>1.9932542784210715E-4</v>
      </c>
      <c r="S224" s="427">
        <v>1.9916896527560863E-4</v>
      </c>
      <c r="T224" s="427">
        <v>2.1710695214475134E-4</v>
      </c>
      <c r="U224" s="427">
        <v>5.13543774893123E-4</v>
      </c>
      <c r="V224" s="427">
        <v>3.10579951901449E-5</v>
      </c>
      <c r="W224" s="427">
        <v>2.4690045660120022E-5</v>
      </c>
      <c r="X224" s="427">
        <v>3.971550261143932E-5</v>
      </c>
      <c r="Y224" s="427">
        <v>7.329394577705353E-5</v>
      </c>
      <c r="Z224" s="427">
        <v>3.6397543982046485E-5</v>
      </c>
      <c r="AA224" s="427">
        <v>2.7542698107035384E-5</v>
      </c>
      <c r="AB224" s="427">
        <v>4.073500286409414E-5</v>
      </c>
      <c r="AC224" s="427">
        <v>1.9753303483677057E-5</v>
      </c>
      <c r="AD224" s="427">
        <v>1.9946897137389458E-4</v>
      </c>
      <c r="AF224" s="418" t="s">
        <v>180</v>
      </c>
      <c r="AG224" s="406">
        <f t="shared" ref="AG224:BH224" si="92">SUM(AG$194:AG$221)</f>
        <v>547655744.9</v>
      </c>
      <c r="AH224" s="406">
        <f t="shared" si="92"/>
        <v>922779444.5</v>
      </c>
      <c r="AI224" s="406">
        <f t="shared" si="92"/>
        <v>553558647.6</v>
      </c>
      <c r="AJ224" s="406">
        <f t="shared" si="92"/>
        <v>1431904953</v>
      </c>
      <c r="AK224" s="406">
        <f t="shared" si="92"/>
        <v>1423375978</v>
      </c>
      <c r="AL224" s="406">
        <f t="shared" si="92"/>
        <v>8200392.003</v>
      </c>
      <c r="AM224" s="406">
        <f t="shared" si="92"/>
        <v>254139256.2</v>
      </c>
      <c r="AN224" s="406">
        <f t="shared" si="92"/>
        <v>9655911869</v>
      </c>
      <c r="AO224" s="406">
        <f t="shared" si="92"/>
        <v>40106662.04</v>
      </c>
      <c r="AP224" s="406">
        <f t="shared" si="92"/>
        <v>2412499641</v>
      </c>
      <c r="AQ224" s="406">
        <f t="shared" si="92"/>
        <v>599980170.8</v>
      </c>
      <c r="AR224" s="406">
        <f t="shared" si="92"/>
        <v>15818265.2</v>
      </c>
      <c r="AS224" s="406">
        <f t="shared" si="92"/>
        <v>163583.0911</v>
      </c>
      <c r="AT224" s="406">
        <f t="shared" si="92"/>
        <v>431731442.7</v>
      </c>
      <c r="AU224" s="406">
        <f t="shared" si="92"/>
        <v>1146548406</v>
      </c>
      <c r="AV224" s="406">
        <f t="shared" si="92"/>
        <v>636646147.5</v>
      </c>
      <c r="AW224" s="406">
        <f t="shared" si="92"/>
        <v>466581301.7</v>
      </c>
      <c r="AX224" s="406">
        <f t="shared" si="92"/>
        <v>1563148173</v>
      </c>
      <c r="AY224" s="406">
        <f t="shared" si="92"/>
        <v>2731600719</v>
      </c>
      <c r="AZ224" s="406">
        <f t="shared" si="92"/>
        <v>627113023.4</v>
      </c>
      <c r="BA224" s="406">
        <f t="shared" si="92"/>
        <v>110049613.1</v>
      </c>
      <c r="BB224" s="406">
        <f t="shared" si="92"/>
        <v>30714769745</v>
      </c>
      <c r="BC224" s="406">
        <f t="shared" si="92"/>
        <v>48651482.13</v>
      </c>
      <c r="BD224" s="406">
        <f t="shared" si="92"/>
        <v>5012930660</v>
      </c>
      <c r="BE224" s="406">
        <f t="shared" si="92"/>
        <v>444650478.7</v>
      </c>
      <c r="BF224" s="406">
        <f t="shared" si="92"/>
        <v>43544130.94</v>
      </c>
      <c r="BG224" s="406">
        <f t="shared" si="92"/>
        <v>3977557.508</v>
      </c>
      <c r="BH224" s="406">
        <f t="shared" si="92"/>
        <v>3802054.639</v>
      </c>
      <c r="BI224" s="24"/>
      <c r="BJ224" s="406"/>
      <c r="CO224" s="406"/>
      <c r="CP224" s="406"/>
      <c r="CQ224" s="406"/>
      <c r="CR224" s="406"/>
      <c r="CS224" s="406"/>
      <c r="CT224" s="406"/>
      <c r="CU224" s="406"/>
      <c r="CV224" s="406"/>
      <c r="CW224" s="406"/>
      <c r="CX224" s="406"/>
      <c r="CY224" s="406"/>
      <c r="CZ224" s="406"/>
      <c r="DA224" s="406"/>
      <c r="DB224" s="406"/>
      <c r="DC224" s="406"/>
      <c r="DD224" s="406"/>
      <c r="DE224" s="406"/>
      <c r="DF224" s="406"/>
      <c r="DG224" s="406"/>
      <c r="DH224" s="406"/>
      <c r="DI224" s="406"/>
      <c r="DJ224" s="406"/>
      <c r="DK224" s="406"/>
      <c r="DL224" s="406"/>
      <c r="DM224" s="406"/>
      <c r="DN224" s="406"/>
      <c r="DO224" s="406"/>
      <c r="DP224" s="406"/>
      <c r="DQ224" s="406"/>
      <c r="DR224" s="406"/>
      <c r="DS224" s="406"/>
      <c r="DT224" s="406"/>
      <c r="DU224" s="406"/>
    </row>
    <row r="225">
      <c r="B225" s="405">
        <v>6.0</v>
      </c>
      <c r="C225" s="427">
        <v>0.012125162959903573</v>
      </c>
      <c r="D225" s="427">
        <v>0.0036647728101457436</v>
      </c>
      <c r="E225" s="427">
        <v>0.0026418599431898807</v>
      </c>
      <c r="F225" s="427">
        <v>0.004518783354658421</v>
      </c>
      <c r="G225" s="427">
        <v>0.0011127712298613765</v>
      </c>
      <c r="H225" s="427">
        <v>1.1796448488482447</v>
      </c>
      <c r="I225" s="427">
        <v>0.0016711850055176408</v>
      </c>
      <c r="J225" s="427">
        <v>0.0030546317598090377</v>
      </c>
      <c r="K225" s="427">
        <v>0.001267449484290079</v>
      </c>
      <c r="L225" s="427">
        <v>0.003460837807938695</v>
      </c>
      <c r="M225" s="427">
        <v>0.0064216627724754975</v>
      </c>
      <c r="N225" s="427">
        <v>0.18112402201217712</v>
      </c>
      <c r="O225" s="427">
        <v>0.002865578782336994</v>
      </c>
      <c r="P225" s="427">
        <v>0.0019834188622555185</v>
      </c>
      <c r="Q225" s="427">
        <v>5.335053427114887E-6</v>
      </c>
      <c r="R225" s="427">
        <v>1.0759634346357792E-5</v>
      </c>
      <c r="S225" s="427">
        <v>8.665779054450214E-6</v>
      </c>
      <c r="T225" s="427">
        <v>1.3093696890275001E-5</v>
      </c>
      <c r="U225" s="427">
        <v>1.0653803825871663E-5</v>
      </c>
      <c r="V225" s="427">
        <v>2.8860712383686273E-5</v>
      </c>
      <c r="W225" s="427">
        <v>4.367431458641448E-6</v>
      </c>
      <c r="X225" s="427">
        <v>1.1477541172525562E-5</v>
      </c>
      <c r="Y225" s="427">
        <v>1.0157719525147994E-5</v>
      </c>
      <c r="Z225" s="427">
        <v>6.438285739637786E-6</v>
      </c>
      <c r="AA225" s="427">
        <v>3.959225654088022E-6</v>
      </c>
      <c r="AB225" s="427">
        <v>3.2320179397424205E-5</v>
      </c>
      <c r="AC225" s="427">
        <v>6.428018955481669E-6</v>
      </c>
      <c r="AD225" s="427">
        <v>5.457167144570522E-6</v>
      </c>
      <c r="BJ225" s="406"/>
      <c r="CO225" s="406"/>
      <c r="CP225" s="406"/>
      <c r="CQ225" s="406"/>
      <c r="CR225" s="406"/>
      <c r="CS225" s="406"/>
      <c r="CT225" s="406"/>
      <c r="CU225" s="406"/>
      <c r="CV225" s="406"/>
      <c r="CW225" s="406"/>
      <c r="CX225" s="406"/>
      <c r="CY225" s="406"/>
      <c r="CZ225" s="406"/>
      <c r="DA225" s="406"/>
      <c r="DB225" s="406"/>
      <c r="DC225" s="406"/>
      <c r="DD225" s="406"/>
      <c r="DE225" s="406"/>
      <c r="DF225" s="406"/>
      <c r="DG225" s="406"/>
      <c r="DH225" s="406"/>
      <c r="DI225" s="406"/>
      <c r="DJ225" s="406"/>
      <c r="DK225" s="406"/>
      <c r="DL225" s="406"/>
      <c r="DM225" s="406"/>
      <c r="DN225" s="406"/>
      <c r="DO225" s="406"/>
      <c r="DP225" s="406"/>
      <c r="DQ225" s="406"/>
      <c r="DR225" s="406"/>
      <c r="DS225" s="406"/>
      <c r="DT225" s="406"/>
      <c r="DU225" s="406"/>
    </row>
    <row r="226">
      <c r="B226" s="405">
        <v>7.0</v>
      </c>
      <c r="C226" s="427">
        <v>0.01642389515442452</v>
      </c>
      <c r="D226" s="427">
        <v>0.008828908684230915</v>
      </c>
      <c r="E226" s="427">
        <v>0.008671823112456387</v>
      </c>
      <c r="F226" s="427">
        <v>0.005594770506380157</v>
      </c>
      <c r="G226" s="427">
        <v>0.00203982747301907</v>
      </c>
      <c r="H226" s="427">
        <v>0.019339156481815944</v>
      </c>
      <c r="I226" s="427">
        <v>1.1753636928706916</v>
      </c>
      <c r="J226" s="427">
        <v>0.013579771319184268</v>
      </c>
      <c r="K226" s="427">
        <v>0.04281483104159134</v>
      </c>
      <c r="L226" s="427">
        <v>0.006243923994511305</v>
      </c>
      <c r="M226" s="427">
        <v>0.00330898213013611</v>
      </c>
      <c r="N226" s="427">
        <v>0.018782769487059668</v>
      </c>
      <c r="O226" s="427">
        <v>0.005721084787158441</v>
      </c>
      <c r="P226" s="427">
        <v>0.007635073256746306</v>
      </c>
      <c r="Q226" s="427">
        <v>5.815935466973946E-5</v>
      </c>
      <c r="R226" s="427">
        <v>5.799702627336636E-5</v>
      </c>
      <c r="S226" s="427">
        <v>3.661094832236917E-5</v>
      </c>
      <c r="T226" s="427">
        <v>5.7079449911609724E-5</v>
      </c>
      <c r="U226" s="427">
        <v>5.7226032625847625E-5</v>
      </c>
      <c r="V226" s="427">
        <v>5.189845027249258E-5</v>
      </c>
      <c r="W226" s="427">
        <v>2.2405702671905684E-5</v>
      </c>
      <c r="X226" s="427">
        <v>6.0197705339206875E-5</v>
      </c>
      <c r="Y226" s="427">
        <v>5.341744122168763E-5</v>
      </c>
      <c r="Z226" s="427">
        <v>2.9039724840375626E-5</v>
      </c>
      <c r="AA226" s="427">
        <v>1.4666103413581663E-5</v>
      </c>
      <c r="AB226" s="427">
        <v>5.80927390492988E-5</v>
      </c>
      <c r="AC226" s="427">
        <v>3.2575030715027166E-5</v>
      </c>
      <c r="AD226" s="427">
        <v>3.603199303108871E-5</v>
      </c>
      <c r="AF226" s="428" t="s">
        <v>181</v>
      </c>
      <c r="BJ226" s="406"/>
      <c r="CO226" s="406"/>
      <c r="CP226" s="406"/>
      <c r="CQ226" s="406"/>
      <c r="CR226" s="406"/>
      <c r="CS226" s="406"/>
      <c r="CT226" s="406"/>
      <c r="CU226" s="406"/>
      <c r="CV226" s="406"/>
      <c r="CW226" s="406"/>
      <c r="CX226" s="406"/>
      <c r="CY226" s="406"/>
      <c r="CZ226" s="406"/>
      <c r="DA226" s="406"/>
      <c r="DB226" s="406"/>
      <c r="DC226" s="406"/>
      <c r="DD226" s="406"/>
      <c r="DE226" s="406"/>
      <c r="DF226" s="406"/>
      <c r="DG226" s="406"/>
      <c r="DH226" s="406"/>
      <c r="DI226" s="406"/>
      <c r="DJ226" s="406"/>
      <c r="DK226" s="406"/>
      <c r="DL226" s="406"/>
      <c r="DM226" s="406"/>
      <c r="DN226" s="406"/>
      <c r="DO226" s="406"/>
      <c r="DP226" s="406"/>
      <c r="DQ226" s="406"/>
      <c r="DR226" s="406"/>
      <c r="DS226" s="406"/>
      <c r="DT226" s="406"/>
      <c r="DU226" s="406"/>
    </row>
    <row r="227">
      <c r="B227" s="405">
        <v>8.0</v>
      </c>
      <c r="C227" s="427">
        <v>0.1623283716477257</v>
      </c>
      <c r="D227" s="427">
        <v>0.14939382020909647</v>
      </c>
      <c r="E227" s="427">
        <v>0.1355580711281652</v>
      </c>
      <c r="F227" s="427">
        <v>0.11564447952914256</v>
      </c>
      <c r="G227" s="427">
        <v>0.03790866955715132</v>
      </c>
      <c r="H227" s="427">
        <v>0.14471720142839928</v>
      </c>
      <c r="I227" s="427">
        <v>0.10717829319123179</v>
      </c>
      <c r="J227" s="427">
        <v>1.2930974848459305</v>
      </c>
      <c r="K227" s="427">
        <v>0.03202604036973347</v>
      </c>
      <c r="L227" s="427">
        <v>0.09853036075870471</v>
      </c>
      <c r="M227" s="427">
        <v>0.1250487909193729</v>
      </c>
      <c r="N227" s="427">
        <v>0.13679517209616485</v>
      </c>
      <c r="O227" s="427">
        <v>0.3251379629274156</v>
      </c>
      <c r="P227" s="427">
        <v>0.07067522252077137</v>
      </c>
      <c r="Q227" s="427">
        <v>7.391724150900164E-4</v>
      </c>
      <c r="R227" s="427">
        <v>0.0013468090708643966</v>
      </c>
      <c r="S227" s="427">
        <v>7.477048862698263E-4</v>
      </c>
      <c r="T227" s="427">
        <v>0.0011896567194602083</v>
      </c>
      <c r="U227" s="427">
        <v>0.0010066340020664644</v>
      </c>
      <c r="V227" s="427">
        <v>0.001198339702910926</v>
      </c>
      <c r="W227" s="427">
        <v>6.685025366798575E-4</v>
      </c>
      <c r="X227" s="427">
        <v>0.0025147682364751907</v>
      </c>
      <c r="Y227" s="427">
        <v>0.0015853940542033813</v>
      </c>
      <c r="Z227" s="427">
        <v>7.012070128405864E-4</v>
      </c>
      <c r="AA227" s="427">
        <v>4.782012362750489E-4</v>
      </c>
      <c r="AB227" s="427">
        <v>0.0012904487584571194</v>
      </c>
      <c r="AC227" s="427">
        <v>7.251904310658183E-4</v>
      </c>
      <c r="AD227" s="427">
        <v>5.330204867780297E-4</v>
      </c>
      <c r="AL227" s="406"/>
      <c r="AM227" s="406"/>
      <c r="AN227" s="406"/>
      <c r="AO227" s="406"/>
      <c r="AP227" s="406"/>
      <c r="AQ227" s="406"/>
      <c r="AR227" s="406"/>
      <c r="AS227" s="406"/>
      <c r="AT227" s="406"/>
      <c r="AU227" s="406"/>
      <c r="AV227" s="406"/>
      <c r="AW227" s="406"/>
      <c r="AX227" s="406"/>
      <c r="AY227" s="406"/>
      <c r="AZ227" s="406"/>
      <c r="BA227" s="406"/>
      <c r="BB227" s="406"/>
      <c r="BC227" s="406"/>
      <c r="BD227" s="406"/>
      <c r="BE227" s="406"/>
      <c r="BF227" s="406"/>
      <c r="BG227" s="406"/>
      <c r="BH227" s="406"/>
      <c r="BJ227" s="406"/>
      <c r="CO227" s="406"/>
      <c r="CP227" s="406"/>
      <c r="CQ227" s="406"/>
      <c r="CR227" s="406"/>
      <c r="CS227" s="406"/>
      <c r="CT227" s="406"/>
      <c r="CU227" s="406"/>
      <c r="CV227" s="406"/>
      <c r="CW227" s="406"/>
      <c r="CX227" s="406"/>
      <c r="CY227" s="406"/>
      <c r="CZ227" s="406"/>
      <c r="DA227" s="406"/>
      <c r="DB227" s="406"/>
      <c r="DC227" s="406"/>
      <c r="DD227" s="406"/>
      <c r="DE227" s="406"/>
      <c r="DF227" s="406"/>
      <c r="DG227" s="406"/>
      <c r="DH227" s="406"/>
      <c r="DI227" s="406"/>
      <c r="DJ227" s="406"/>
      <c r="DK227" s="406"/>
      <c r="DL227" s="406"/>
      <c r="DM227" s="406"/>
      <c r="DN227" s="406"/>
      <c r="DO227" s="406"/>
      <c r="DP227" s="406"/>
      <c r="DQ227" s="406"/>
      <c r="DR227" s="406"/>
      <c r="DS227" s="406"/>
      <c r="DT227" s="406"/>
      <c r="DU227" s="406"/>
    </row>
    <row r="228">
      <c r="B228" s="405">
        <v>9.0</v>
      </c>
      <c r="C228" s="427">
        <v>0.0012176854825683785</v>
      </c>
      <c r="D228" s="427">
        <v>2.6774774709189446E-4</v>
      </c>
      <c r="E228" s="427">
        <v>0.011421608221266191</v>
      </c>
      <c r="F228" s="427">
        <v>0.0014016762229095195</v>
      </c>
      <c r="G228" s="427">
        <v>0.0038320496207208303</v>
      </c>
      <c r="H228" s="427">
        <v>0.0013418912116299152</v>
      </c>
      <c r="I228" s="427">
        <v>8.346581258416161E-5</v>
      </c>
      <c r="J228" s="427">
        <v>1.1348534013581374E-4</v>
      </c>
      <c r="K228" s="427">
        <v>1.0001285513544054</v>
      </c>
      <c r="L228" s="427">
        <v>1.2852746365174086E-4</v>
      </c>
      <c r="M228" s="427">
        <v>1.479222791783957E-4</v>
      </c>
      <c r="N228" s="427">
        <v>0.0013371801810206372</v>
      </c>
      <c r="O228" s="427">
        <v>8.657373590986164E-5</v>
      </c>
      <c r="P228" s="427">
        <v>0.002196961712947306</v>
      </c>
      <c r="Q228" s="427">
        <v>9.79643228547463E-6</v>
      </c>
      <c r="R228" s="427">
        <v>6.620621624828594E-6</v>
      </c>
      <c r="S228" s="427">
        <v>1.1503145635985212E-5</v>
      </c>
      <c r="T228" s="427">
        <v>9.596821735297375E-6</v>
      </c>
      <c r="U228" s="427">
        <v>3.628077369006293E-5</v>
      </c>
      <c r="V228" s="427">
        <v>2.264025023239411E-6</v>
      </c>
      <c r="W228" s="427">
        <v>1.1986587187457797E-6</v>
      </c>
      <c r="X228" s="427">
        <v>3.1040562226258924E-6</v>
      </c>
      <c r="Y228" s="427">
        <v>4.503329839668351E-6</v>
      </c>
      <c r="Z228" s="427">
        <v>2.120356193293291E-6</v>
      </c>
      <c r="AA228" s="427">
        <v>1.341609721082451E-6</v>
      </c>
      <c r="AB228" s="427">
        <v>2.1770347737352656E-6</v>
      </c>
      <c r="AC228" s="427">
        <v>1.1843341405662987E-6</v>
      </c>
      <c r="AD228" s="427">
        <v>7.029211768668163E-6</v>
      </c>
      <c r="AF228" s="25"/>
      <c r="AG228" s="264" t="s">
        <v>39</v>
      </c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9"/>
      <c r="AU228" s="422" t="s">
        <v>40</v>
      </c>
      <c r="AV228" s="423"/>
      <c r="AW228" s="423"/>
      <c r="AX228" s="423"/>
      <c r="AY228" s="423"/>
      <c r="AZ228" s="423"/>
      <c r="BA228" s="423"/>
      <c r="BB228" s="423"/>
      <c r="BC228" s="423"/>
      <c r="BD228" s="423"/>
      <c r="BE228" s="423"/>
      <c r="BF228" s="423"/>
      <c r="BG228" s="423"/>
      <c r="BH228" s="424"/>
      <c r="BJ228" s="406"/>
      <c r="CO228" s="406"/>
      <c r="CP228" s="406"/>
      <c r="CQ228" s="406"/>
      <c r="CR228" s="406"/>
      <c r="CS228" s="406"/>
      <c r="CT228" s="406"/>
      <c r="CU228" s="406"/>
      <c r="CV228" s="406"/>
      <c r="CW228" s="406"/>
      <c r="CX228" s="406"/>
      <c r="CY228" s="406"/>
      <c r="CZ228" s="406"/>
      <c r="DA228" s="406"/>
      <c r="DB228" s="406"/>
      <c r="DC228" s="406"/>
      <c r="DD228" s="406"/>
      <c r="DE228" s="406"/>
      <c r="DF228" s="406"/>
      <c r="DG228" s="406"/>
      <c r="DH228" s="406"/>
      <c r="DI228" s="406"/>
      <c r="DJ228" s="406"/>
      <c r="DK228" s="406"/>
      <c r="DL228" s="406"/>
      <c r="DM228" s="406"/>
      <c r="DN228" s="406"/>
      <c r="DO228" s="406"/>
      <c r="DP228" s="406"/>
      <c r="DQ228" s="406"/>
      <c r="DR228" s="406"/>
      <c r="DS228" s="406"/>
      <c r="DT228" s="406"/>
      <c r="DU228" s="406"/>
    </row>
    <row r="229">
      <c r="B229" s="405">
        <v>10.0</v>
      </c>
      <c r="C229" s="427">
        <v>0.09161865067250399</v>
      </c>
      <c r="D229" s="427">
        <v>0.1329238927654962</v>
      </c>
      <c r="E229" s="427">
        <v>0.08631621669193933</v>
      </c>
      <c r="F229" s="427">
        <v>0.1430034439565594</v>
      </c>
      <c r="G229" s="427">
        <v>0.04916982277021784</v>
      </c>
      <c r="H229" s="427">
        <v>0.11482133973786653</v>
      </c>
      <c r="I229" s="427">
        <v>0.1010564309987803</v>
      </c>
      <c r="J229" s="427">
        <v>0.08470849383197565</v>
      </c>
      <c r="K229" s="427">
        <v>0.08056214510512871</v>
      </c>
      <c r="L229" s="427">
        <v>1.1589934524237484</v>
      </c>
      <c r="M229" s="427">
        <v>0.0648483126464753</v>
      </c>
      <c r="N229" s="427">
        <v>0.10748473845850821</v>
      </c>
      <c r="O229" s="427">
        <v>0.08682279117360533</v>
      </c>
      <c r="P229" s="427">
        <v>0.07677090834699384</v>
      </c>
      <c r="Q229" s="427">
        <v>4.060250769131872E-4</v>
      </c>
      <c r="R229" s="427">
        <v>8.984436668060526E-4</v>
      </c>
      <c r="S229" s="427">
        <v>5.015627765460032E-4</v>
      </c>
      <c r="T229" s="427">
        <v>8.43787973226343E-4</v>
      </c>
      <c r="U229" s="427">
        <v>6.592245097412007E-4</v>
      </c>
      <c r="V229" s="427">
        <v>0.0015758002470713205</v>
      </c>
      <c r="W229" s="427">
        <v>3.1079441274391726E-4</v>
      </c>
      <c r="X229" s="427">
        <v>7.545191992794058E-4</v>
      </c>
      <c r="Y229" s="427">
        <v>7.475178503715017E-4</v>
      </c>
      <c r="Z229" s="427">
        <v>7.084597453667781E-4</v>
      </c>
      <c r="AA229" s="427">
        <v>2.699642205598013E-4</v>
      </c>
      <c r="AB229" s="427">
        <v>8.897260671615321E-4</v>
      </c>
      <c r="AC229" s="427">
        <v>4.890298628677877E-4</v>
      </c>
      <c r="AD229" s="427">
        <v>3.689837516243574E-4</v>
      </c>
      <c r="AF229" s="25"/>
      <c r="AG229" s="429" t="s">
        <v>58</v>
      </c>
      <c r="AH229" s="285" t="s">
        <v>59</v>
      </c>
      <c r="AI229" s="285" t="s">
        <v>60</v>
      </c>
      <c r="AJ229" s="285" t="s">
        <v>61</v>
      </c>
      <c r="AK229" s="285" t="s">
        <v>62</v>
      </c>
      <c r="AL229" s="285" t="s">
        <v>63</v>
      </c>
      <c r="AM229" s="430" t="s">
        <v>64</v>
      </c>
      <c r="AN229" s="430" t="s">
        <v>65</v>
      </c>
      <c r="AO229" s="430" t="s">
        <v>66</v>
      </c>
      <c r="AP229" s="287" t="s">
        <v>67</v>
      </c>
      <c r="AQ229" s="287" t="s">
        <v>68</v>
      </c>
      <c r="AR229" s="430" t="s">
        <v>69</v>
      </c>
      <c r="AS229" s="430" t="s">
        <v>70</v>
      </c>
      <c r="AT229" s="97" t="s">
        <v>71</v>
      </c>
      <c r="AU229" s="429" t="s">
        <v>58</v>
      </c>
      <c r="AV229" s="285" t="s">
        <v>59</v>
      </c>
      <c r="AW229" s="285" t="s">
        <v>60</v>
      </c>
      <c r="AX229" s="285" t="s">
        <v>61</v>
      </c>
      <c r="AY229" s="285" t="s">
        <v>62</v>
      </c>
      <c r="AZ229" s="285" t="s">
        <v>63</v>
      </c>
      <c r="BA229" s="430" t="s">
        <v>64</v>
      </c>
      <c r="BB229" s="430" t="s">
        <v>65</v>
      </c>
      <c r="BC229" s="430" t="s">
        <v>66</v>
      </c>
      <c r="BD229" s="287" t="s">
        <v>67</v>
      </c>
      <c r="BE229" s="287" t="s">
        <v>68</v>
      </c>
      <c r="BF229" s="430" t="s">
        <v>69</v>
      </c>
      <c r="BG229" s="430" t="s">
        <v>70</v>
      </c>
      <c r="BH229" s="97" t="s">
        <v>71</v>
      </c>
      <c r="BJ229" s="24"/>
      <c r="CO229" s="406"/>
      <c r="CP229" s="406"/>
      <c r="CQ229" s="406"/>
      <c r="CR229" s="406"/>
      <c r="CS229" s="406"/>
      <c r="CT229" s="406"/>
      <c r="CU229" s="406"/>
      <c r="CV229" s="406"/>
      <c r="CW229" s="406"/>
      <c r="CX229" s="406"/>
      <c r="CY229" s="406"/>
      <c r="CZ229" s="406"/>
      <c r="DA229" s="406"/>
      <c r="DB229" s="406"/>
      <c r="DC229" s="406"/>
      <c r="DD229" s="406"/>
      <c r="DE229" s="406"/>
      <c r="DF229" s="406"/>
      <c r="DG229" s="406"/>
      <c r="DH229" s="406"/>
      <c r="DI229" s="406"/>
      <c r="DJ229" s="406"/>
      <c r="DK229" s="406"/>
      <c r="DL229" s="406"/>
      <c r="DM229" s="406"/>
      <c r="DN229" s="406"/>
      <c r="DO229" s="406"/>
      <c r="DP229" s="406"/>
      <c r="DQ229" s="406"/>
      <c r="DR229" s="406"/>
      <c r="DS229" s="406"/>
      <c r="DT229" s="406"/>
      <c r="DU229" s="406"/>
    </row>
    <row r="230">
      <c r="B230" s="405">
        <v>11.0</v>
      </c>
      <c r="C230" s="427">
        <v>0.13261550968004424</v>
      </c>
      <c r="D230" s="427">
        <v>0.2116002077550325</v>
      </c>
      <c r="E230" s="427">
        <v>0.13711993750248422</v>
      </c>
      <c r="F230" s="427">
        <v>0.20531366853837105</v>
      </c>
      <c r="G230" s="427">
        <v>0.07844162415586826</v>
      </c>
      <c r="H230" s="427">
        <v>0.18118664658801276</v>
      </c>
      <c r="I230" s="427">
        <v>0.08567736965592136</v>
      </c>
      <c r="J230" s="427">
        <v>0.12004340128402617</v>
      </c>
      <c r="K230" s="427">
        <v>0.0338915366106524</v>
      </c>
      <c r="L230" s="427">
        <v>0.2051233040260738</v>
      </c>
      <c r="M230" s="427">
        <v>1.258524531731456</v>
      </c>
      <c r="N230" s="427">
        <v>0.1846486291496447</v>
      </c>
      <c r="O230" s="427">
        <v>0.13496073399918068</v>
      </c>
      <c r="P230" s="427">
        <v>0.09415930344090048</v>
      </c>
      <c r="Q230" s="427">
        <v>2.8379755301241995E-4</v>
      </c>
      <c r="R230" s="427">
        <v>5.801722532832249E-4</v>
      </c>
      <c r="S230" s="427">
        <v>3.4785390328257354E-4</v>
      </c>
      <c r="T230" s="427">
        <v>5.803140034822264E-4</v>
      </c>
      <c r="U230" s="427">
        <v>5.283206400474815E-4</v>
      </c>
      <c r="V230" s="427">
        <v>8.316031289634112E-4</v>
      </c>
      <c r="W230" s="427">
        <v>2.607552019917587E-4</v>
      </c>
      <c r="X230" s="427">
        <v>6.1342106097578E-4</v>
      </c>
      <c r="Y230" s="427">
        <v>5.54415910344669E-4</v>
      </c>
      <c r="Z230" s="427">
        <v>3.913972740255487E-4</v>
      </c>
      <c r="AA230" s="427">
        <v>2.9516158622677166E-4</v>
      </c>
      <c r="AB230" s="427">
        <v>8.232602362379294E-4</v>
      </c>
      <c r="AC230" s="427">
        <v>3.310384364875272E-4</v>
      </c>
      <c r="AD230" s="427">
        <v>3.039457897647847E-4</v>
      </c>
      <c r="AE230" s="431" t="s">
        <v>182</v>
      </c>
      <c r="AF230" s="281" t="s">
        <v>172</v>
      </c>
      <c r="AG230" s="406">
        <f t="shared" ref="AG230:BH230" si="93">SUM(AG$159:AG$186)</f>
        <v>320076390.6</v>
      </c>
      <c r="AH230" s="406">
        <f t="shared" si="93"/>
        <v>319207515.4</v>
      </c>
      <c r="AI230" s="406">
        <f t="shared" si="93"/>
        <v>3619641311</v>
      </c>
      <c r="AJ230" s="406">
        <f t="shared" si="93"/>
        <v>970268687.2</v>
      </c>
      <c r="AK230" s="406">
        <f t="shared" si="93"/>
        <v>1108011344</v>
      </c>
      <c r="AL230" s="406">
        <f t="shared" si="93"/>
        <v>60813294.03</v>
      </c>
      <c r="AM230" s="406">
        <f t="shared" si="93"/>
        <v>363427012.4</v>
      </c>
      <c r="AN230" s="406">
        <f t="shared" si="93"/>
        <v>27087038890</v>
      </c>
      <c r="AO230" s="406">
        <f t="shared" si="93"/>
        <v>24330162</v>
      </c>
      <c r="AP230" s="406">
        <f t="shared" si="93"/>
        <v>21486554552</v>
      </c>
      <c r="AQ230" s="406">
        <f t="shared" si="93"/>
        <v>23084968462</v>
      </c>
      <c r="AR230" s="406">
        <f t="shared" si="93"/>
        <v>69232910.12</v>
      </c>
      <c r="AS230" s="406">
        <f t="shared" si="93"/>
        <v>1830863.976</v>
      </c>
      <c r="AT230" s="432">
        <f t="shared" si="93"/>
        <v>1351214987</v>
      </c>
      <c r="AU230" s="406">
        <f t="shared" si="93"/>
        <v>1035478945613</v>
      </c>
      <c r="AV230" s="406">
        <f t="shared" si="93"/>
        <v>441671151257</v>
      </c>
      <c r="AW230" s="406">
        <f t="shared" si="93"/>
        <v>1967419292781</v>
      </c>
      <c r="AX230" s="406">
        <f t="shared" si="93"/>
        <v>1785808548118</v>
      </c>
      <c r="AY230" s="406">
        <f t="shared" si="93"/>
        <v>1086188339054</v>
      </c>
      <c r="AZ230" s="406">
        <f t="shared" si="93"/>
        <v>645777989230</v>
      </c>
      <c r="BA230" s="406">
        <f t="shared" si="93"/>
        <v>158214472677</v>
      </c>
      <c r="BB230" s="406">
        <f t="shared" si="93"/>
        <v>14141072341477</v>
      </c>
      <c r="BC230" s="406">
        <f t="shared" si="93"/>
        <v>314507863427</v>
      </c>
      <c r="BD230" s="406">
        <f t="shared" si="93"/>
        <v>9759092483152</v>
      </c>
      <c r="BE230" s="406">
        <f t="shared" si="93"/>
        <v>6965800776251</v>
      </c>
      <c r="BF230" s="406">
        <f t="shared" si="93"/>
        <v>347370569476</v>
      </c>
      <c r="BG230" s="406">
        <f t="shared" si="93"/>
        <v>51324146040</v>
      </c>
      <c r="BH230" s="406">
        <f t="shared" si="93"/>
        <v>952444818243</v>
      </c>
      <c r="BI230" s="281" t="s">
        <v>172</v>
      </c>
      <c r="BJ230" s="24"/>
      <c r="CO230" s="406"/>
      <c r="CP230" s="406"/>
      <c r="CQ230" s="406"/>
      <c r="CR230" s="406"/>
      <c r="CS230" s="406"/>
      <c r="CT230" s="406"/>
      <c r="CU230" s="406"/>
      <c r="CV230" s="406"/>
      <c r="CW230" s="406"/>
      <c r="CX230" s="406"/>
      <c r="CY230" s="406"/>
      <c r="CZ230" s="406"/>
      <c r="DA230" s="406"/>
      <c r="DB230" s="406"/>
      <c r="DC230" s="406"/>
      <c r="DD230" s="406"/>
      <c r="DE230" s="406"/>
      <c r="DF230" s="406"/>
      <c r="DG230" s="406"/>
      <c r="DH230" s="406"/>
      <c r="DI230" s="406"/>
      <c r="DJ230" s="406"/>
      <c r="DK230" s="406"/>
      <c r="DL230" s="406"/>
      <c r="DM230" s="406"/>
      <c r="DN230" s="406"/>
      <c r="DO230" s="406"/>
      <c r="DP230" s="406"/>
      <c r="DQ230" s="406"/>
      <c r="DR230" s="406"/>
      <c r="DS230" s="406"/>
      <c r="DT230" s="406"/>
      <c r="DU230" s="406"/>
    </row>
    <row r="231">
      <c r="B231" s="405">
        <v>12.0</v>
      </c>
      <c r="C231" s="427">
        <v>0.01014366566460748</v>
      </c>
      <c r="D231" s="427">
        <v>0.005571800856857901</v>
      </c>
      <c r="E231" s="427">
        <v>0.004356899378182846</v>
      </c>
      <c r="F231" s="427">
        <v>0.011384781884475271</v>
      </c>
      <c r="G231" s="427">
        <v>0.0020418664397957916</v>
      </c>
      <c r="H231" s="427">
        <v>0.34804226019058465</v>
      </c>
      <c r="I231" s="427">
        <v>0.0033210031288485615</v>
      </c>
      <c r="J231" s="427">
        <v>0.006657663581131044</v>
      </c>
      <c r="K231" s="427">
        <v>0.002511415109637909</v>
      </c>
      <c r="L231" s="427">
        <v>0.006793015057406835</v>
      </c>
      <c r="M231" s="427">
        <v>0.012204702814597028</v>
      </c>
      <c r="N231" s="427">
        <v>1.3521375351099683</v>
      </c>
      <c r="O231" s="427">
        <v>0.005473428730914187</v>
      </c>
      <c r="P231" s="427">
        <v>0.003793738257059966</v>
      </c>
      <c r="Q231" s="427">
        <v>1.0931646170613725E-5</v>
      </c>
      <c r="R231" s="427">
        <v>2.1233019476076217E-5</v>
      </c>
      <c r="S231" s="427">
        <v>1.590417200882362E-5</v>
      </c>
      <c r="T231" s="427">
        <v>2.658906028646126E-5</v>
      </c>
      <c r="U231" s="427">
        <v>1.8986366862148672E-5</v>
      </c>
      <c r="V231" s="427">
        <v>6.5935741819255E-5</v>
      </c>
      <c r="W231" s="427">
        <v>8.815700470560061E-6</v>
      </c>
      <c r="X231" s="427">
        <v>2.3935792329559236E-5</v>
      </c>
      <c r="Y231" s="427">
        <v>2.1999628254046193E-5</v>
      </c>
      <c r="Z231" s="427">
        <v>1.2790222955976516E-5</v>
      </c>
      <c r="AA231" s="427">
        <v>7.978274106121782E-6</v>
      </c>
      <c r="AB231" s="427">
        <v>7.080754873624901E-5</v>
      </c>
      <c r="AC231" s="427">
        <v>1.3383582520767439E-5</v>
      </c>
      <c r="AD231" s="427">
        <v>1.0594517624974739E-5</v>
      </c>
      <c r="AE231" s="433" t="s">
        <v>183</v>
      </c>
      <c r="AF231" s="434" t="s">
        <v>184</v>
      </c>
      <c r="AG231" s="435">
        <v>3.3589403255233616E8</v>
      </c>
      <c r="AH231" s="435">
        <v>3.3590118856693286E8</v>
      </c>
      <c r="AI231" s="435">
        <v>3.8859997222611113E9</v>
      </c>
      <c r="AJ231" s="435">
        <v>9.647858710383941E8</v>
      </c>
      <c r="AK231" s="435">
        <v>1.2457489238178153E9</v>
      </c>
      <c r="AL231" s="435">
        <v>6.082129003720927E7</v>
      </c>
      <c r="AM231" s="435">
        <v>3.635122966688292E8</v>
      </c>
      <c r="AN231" s="435">
        <v>2.709439440808421E10</v>
      </c>
      <c r="AO231" s="435">
        <v>2.4417000682975322E7</v>
      </c>
      <c r="AP231" s="435">
        <v>2.154106202243274E10</v>
      </c>
      <c r="AQ231" s="435">
        <v>2.308329178434262E10</v>
      </c>
      <c r="AR231" s="435">
        <v>6.924310974331911E7</v>
      </c>
      <c r="AS231" s="435">
        <v>1832213.1640040386</v>
      </c>
      <c r="AT231" s="436">
        <v>1.3546729228796895E9</v>
      </c>
      <c r="AU231" s="435">
        <v>1.035480419364575E12</v>
      </c>
      <c r="AV231" s="435">
        <v>4.4167281033303503E11</v>
      </c>
      <c r="AW231" s="435">
        <v>1.9674225990674058E12</v>
      </c>
      <c r="AX231" s="435">
        <v>1.7858352838810315E12</v>
      </c>
      <c r="AY231" s="435">
        <v>1.0861999723339963E12</v>
      </c>
      <c r="AZ231" s="435">
        <v>6.457781899138298E11</v>
      </c>
      <c r="BA231" s="435">
        <v>1.5821477564443304E11</v>
      </c>
      <c r="BB231" s="435">
        <v>1.4141122982932164E13</v>
      </c>
      <c r="BC231" s="435">
        <v>3.14509299242361E11</v>
      </c>
      <c r="BD231" s="435">
        <v>9.759114040894309E12</v>
      </c>
      <c r="BE231" s="435">
        <v>6.965839563486422E12</v>
      </c>
      <c r="BF231" s="435">
        <v>3.473709238900564E11</v>
      </c>
      <c r="BG231" s="435">
        <v>5.132427475247046E10</v>
      </c>
      <c r="BH231" s="435">
        <v>9.524572958153253E11</v>
      </c>
      <c r="BI231" s="281" t="s">
        <v>184</v>
      </c>
      <c r="BJ231" s="24"/>
      <c r="CO231" s="406"/>
      <c r="CP231" s="406"/>
      <c r="CQ231" s="406"/>
      <c r="CR231" s="406"/>
      <c r="CS231" s="406"/>
      <c r="CT231" s="406"/>
      <c r="CU231" s="406"/>
      <c r="CV231" s="406"/>
      <c r="CW231" s="406"/>
      <c r="CX231" s="406"/>
      <c r="CY231" s="406"/>
      <c r="CZ231" s="406"/>
      <c r="DA231" s="406"/>
      <c r="DB231" s="406"/>
      <c r="DC231" s="406"/>
      <c r="DD231" s="406"/>
      <c r="DE231" s="406"/>
      <c r="DF231" s="406"/>
      <c r="DG231" s="406"/>
      <c r="DH231" s="406"/>
      <c r="DI231" s="406"/>
      <c r="DJ231" s="406"/>
      <c r="DK231" s="406"/>
      <c r="DL231" s="406"/>
      <c r="DM231" s="406"/>
      <c r="DN231" s="406"/>
      <c r="DO231" s="406"/>
      <c r="DP231" s="406"/>
      <c r="DQ231" s="406"/>
      <c r="DR231" s="406"/>
      <c r="DS231" s="406"/>
      <c r="DT231" s="406"/>
      <c r="DU231" s="406"/>
    </row>
    <row r="232">
      <c r="B232" s="405">
        <v>13.0</v>
      </c>
      <c r="C232" s="427">
        <v>0.001814916194150565</v>
      </c>
      <c r="D232" s="427">
        <v>0.0028847583110927907</v>
      </c>
      <c r="E232" s="427">
        <v>0.002011683829309549</v>
      </c>
      <c r="F232" s="427">
        <v>0.0013713167553849694</v>
      </c>
      <c r="G232" s="427">
        <v>8.181228463245575E-4</v>
      </c>
      <c r="H232" s="427">
        <v>0.0039632329057956595</v>
      </c>
      <c r="I232" s="427">
        <v>6.354456047728847E-4</v>
      </c>
      <c r="J232" s="427">
        <v>9.851957956503133E-4</v>
      </c>
      <c r="K232" s="427">
        <v>5.461891090570009E-4</v>
      </c>
      <c r="L232" s="427">
        <v>0.0014208395539824976</v>
      </c>
      <c r="M232" s="427">
        <v>0.0036874087201452625</v>
      </c>
      <c r="N232" s="427">
        <v>0.003998609545530543</v>
      </c>
      <c r="O232" s="427">
        <v>1.020899730198511</v>
      </c>
      <c r="P232" s="427">
        <v>0.002068655885630035</v>
      </c>
      <c r="Q232" s="427">
        <v>1.7745224318631537E-6</v>
      </c>
      <c r="R232" s="427">
        <v>3.73684776656704E-6</v>
      </c>
      <c r="S232" s="427">
        <v>2.3661003123551202E-6</v>
      </c>
      <c r="T232" s="427">
        <v>3.671440373820081E-6</v>
      </c>
      <c r="U232" s="427">
        <v>3.590754603752636E-6</v>
      </c>
      <c r="V232" s="427">
        <v>4.665019256203765E-6</v>
      </c>
      <c r="W232" s="427">
        <v>1.5285394144758772E-6</v>
      </c>
      <c r="X232" s="427">
        <v>3.927862197858676E-6</v>
      </c>
      <c r="Y232" s="427">
        <v>3.6110263106807237E-6</v>
      </c>
      <c r="Z232" s="427">
        <v>2.828955692457451E-6</v>
      </c>
      <c r="AA232" s="427">
        <v>1.5871389010360861E-6</v>
      </c>
      <c r="AB232" s="427">
        <v>4.296011812004014E-6</v>
      </c>
      <c r="AC232" s="427">
        <v>2.019362104937666E-6</v>
      </c>
      <c r="AD232" s="427">
        <v>2.11454530650649E-6</v>
      </c>
      <c r="AE232" s="431" t="s">
        <v>182</v>
      </c>
      <c r="AF232" s="21" t="s">
        <v>185</v>
      </c>
      <c r="AG232" s="406">
        <f t="shared" ref="AG232:BH232" si="94">SUM(AG$194:AG$221)</f>
        <v>547655744.9</v>
      </c>
      <c r="AH232" s="406">
        <f t="shared" si="94"/>
        <v>922779444.5</v>
      </c>
      <c r="AI232" s="406">
        <f t="shared" si="94"/>
        <v>553558647.6</v>
      </c>
      <c r="AJ232" s="406">
        <f t="shared" si="94"/>
        <v>1431904953</v>
      </c>
      <c r="AK232" s="406">
        <f t="shared" si="94"/>
        <v>1423375978</v>
      </c>
      <c r="AL232" s="406">
        <f t="shared" si="94"/>
        <v>8200392.003</v>
      </c>
      <c r="AM232" s="406">
        <f t="shared" si="94"/>
        <v>254139256.2</v>
      </c>
      <c r="AN232" s="406">
        <f t="shared" si="94"/>
        <v>9655911869</v>
      </c>
      <c r="AO232" s="406">
        <f t="shared" si="94"/>
        <v>40106662.04</v>
      </c>
      <c r="AP232" s="406">
        <f t="shared" si="94"/>
        <v>2412499641</v>
      </c>
      <c r="AQ232" s="406">
        <f t="shared" si="94"/>
        <v>599980170.8</v>
      </c>
      <c r="AR232" s="406">
        <f t="shared" si="94"/>
        <v>15818265.2</v>
      </c>
      <c r="AS232" s="406">
        <f t="shared" si="94"/>
        <v>163583.0911</v>
      </c>
      <c r="AT232" s="432">
        <f t="shared" si="94"/>
        <v>431731442.7</v>
      </c>
      <c r="AU232" s="406">
        <f t="shared" si="94"/>
        <v>1146548406</v>
      </c>
      <c r="AV232" s="406">
        <f t="shared" si="94"/>
        <v>636646147.5</v>
      </c>
      <c r="AW232" s="406">
        <f t="shared" si="94"/>
        <v>466581301.7</v>
      </c>
      <c r="AX232" s="406">
        <f t="shared" si="94"/>
        <v>1563148173</v>
      </c>
      <c r="AY232" s="406">
        <f t="shared" si="94"/>
        <v>2731600719</v>
      </c>
      <c r="AZ232" s="406">
        <f t="shared" si="94"/>
        <v>627113023.4</v>
      </c>
      <c r="BA232" s="406">
        <f t="shared" si="94"/>
        <v>110049613.1</v>
      </c>
      <c r="BB232" s="406">
        <f t="shared" si="94"/>
        <v>30714769745</v>
      </c>
      <c r="BC232" s="406">
        <f t="shared" si="94"/>
        <v>48651482.13</v>
      </c>
      <c r="BD232" s="406">
        <f t="shared" si="94"/>
        <v>5012930660</v>
      </c>
      <c r="BE232" s="406">
        <f t="shared" si="94"/>
        <v>444650478.7</v>
      </c>
      <c r="BF232" s="406">
        <f t="shared" si="94"/>
        <v>43544130.94</v>
      </c>
      <c r="BG232" s="406">
        <f t="shared" si="94"/>
        <v>3977557.508</v>
      </c>
      <c r="BH232" s="406">
        <f t="shared" si="94"/>
        <v>3802054.639</v>
      </c>
      <c r="BI232" s="21" t="s">
        <v>185</v>
      </c>
      <c r="BJ232" s="406"/>
      <c r="CO232" s="406"/>
      <c r="CP232" s="406"/>
      <c r="CQ232" s="406"/>
      <c r="CR232" s="406"/>
      <c r="CS232" s="406"/>
      <c r="CT232" s="406"/>
      <c r="CU232" s="406"/>
      <c r="CV232" s="406"/>
      <c r="CW232" s="406"/>
      <c r="CX232" s="406"/>
      <c r="CY232" s="406"/>
      <c r="CZ232" s="406"/>
      <c r="DA232" s="406"/>
      <c r="DB232" s="406"/>
      <c r="DC232" s="406"/>
      <c r="DD232" s="406"/>
      <c r="DE232" s="406"/>
      <c r="DF232" s="406"/>
      <c r="DG232" s="406"/>
      <c r="DH232" s="406"/>
      <c r="DI232" s="406"/>
      <c r="DJ232" s="406"/>
      <c r="DK232" s="406"/>
      <c r="DL232" s="406"/>
      <c r="DM232" s="406"/>
      <c r="DN232" s="406"/>
      <c r="DO232" s="406"/>
      <c r="DP232" s="406"/>
      <c r="DQ232" s="406"/>
      <c r="DR232" s="406"/>
      <c r="DS232" s="406"/>
      <c r="DT232" s="406"/>
      <c r="DU232" s="406"/>
    </row>
    <row r="233">
      <c r="B233" s="405">
        <v>14.0</v>
      </c>
      <c r="C233" s="427">
        <v>0.002979276605192354</v>
      </c>
      <c r="D233" s="427">
        <v>0.009797317242837016</v>
      </c>
      <c r="E233" s="427">
        <v>0.0033725045988610863</v>
      </c>
      <c r="F233" s="427">
        <v>0.00880760682748662</v>
      </c>
      <c r="G233" s="427">
        <v>0.003314980609439861</v>
      </c>
      <c r="H233" s="427">
        <v>0.004554986966216258</v>
      </c>
      <c r="I233" s="427">
        <v>0.002422709568728658</v>
      </c>
      <c r="J233" s="427">
        <v>0.00412487315992382</v>
      </c>
      <c r="K233" s="427">
        <v>0.0016878093408001548</v>
      </c>
      <c r="L233" s="427">
        <v>0.008167606000965994</v>
      </c>
      <c r="M233" s="427">
        <v>0.005584051605347619</v>
      </c>
      <c r="N233" s="427">
        <v>0.00453933200649414</v>
      </c>
      <c r="O233" s="427">
        <v>0.004696975976980884</v>
      </c>
      <c r="P233" s="427">
        <v>1.0112909121452054</v>
      </c>
      <c r="Q233" s="427">
        <v>1.1342818314006031E-4</v>
      </c>
      <c r="R233" s="427">
        <v>2.1111866334857813E-4</v>
      </c>
      <c r="S233" s="427">
        <v>1.2542302250866368E-4</v>
      </c>
      <c r="T233" s="427">
        <v>1.7039947898190658E-4</v>
      </c>
      <c r="U233" s="427">
        <v>1.521770946446716E-4</v>
      </c>
      <c r="V233" s="427">
        <v>2.0009036211548117E-4</v>
      </c>
      <c r="W233" s="427">
        <v>1.0687743550497003E-4</v>
      </c>
      <c r="X233" s="427">
        <v>2.2594659198810983E-4</v>
      </c>
      <c r="Y233" s="427">
        <v>3.4006183779683533E-4</v>
      </c>
      <c r="Z233" s="427">
        <v>4.674172508517293E-4</v>
      </c>
      <c r="AA233" s="427">
        <v>1.4558403240240783E-4</v>
      </c>
      <c r="AB233" s="427">
        <v>1.9403241882664105E-4</v>
      </c>
      <c r="AC233" s="427">
        <v>1.1898738603489782E-4</v>
      </c>
      <c r="AD233" s="427">
        <v>1.4308894149114704E-4</v>
      </c>
      <c r="AE233" s="433" t="s">
        <v>183</v>
      </c>
      <c r="AF233" s="437" t="s">
        <v>186</v>
      </c>
      <c r="AG233" s="438">
        <v>5.459839803917032E8</v>
      </c>
      <c r="AH233" s="438">
        <v>9.224863524764595E8</v>
      </c>
      <c r="AI233" s="438">
        <v>6.240080147432452E8</v>
      </c>
      <c r="AJ233" s="438">
        <v>1.495004188225733E9</v>
      </c>
      <c r="AK233" s="438">
        <v>1.42428189062521E9</v>
      </c>
      <c r="AL233" s="438">
        <v>8201470.22784522</v>
      </c>
      <c r="AM233" s="438">
        <v>2.541988942747979E8</v>
      </c>
      <c r="AN233" s="438">
        <v>9.65853394337096E9</v>
      </c>
      <c r="AO233" s="438">
        <v>4.024980985900257E7</v>
      </c>
      <c r="AP233" s="438">
        <v>2.418619712298831E9</v>
      </c>
      <c r="AQ233" s="438">
        <v>5.999365937994617E8</v>
      </c>
      <c r="AR233" s="438">
        <v>1.5820595594707645E7</v>
      </c>
      <c r="AS233" s="438">
        <v>163703.63757329158</v>
      </c>
      <c r="AT233" s="439">
        <v>4.328363000583927E8</v>
      </c>
      <c r="AU233" s="438">
        <v>1.2068947761960416E9</v>
      </c>
      <c r="AV233" s="438">
        <v>6.063319419147055E8</v>
      </c>
      <c r="AW233" s="438">
        <v>4.4436389122879195E8</v>
      </c>
      <c r="AX233" s="438">
        <v>1.5631715751399891E9</v>
      </c>
      <c r="AY233" s="438">
        <v>2.7316299746240425E9</v>
      </c>
      <c r="AZ233" s="438">
        <v>6.271132182557409E8</v>
      </c>
      <c r="BA233" s="438">
        <v>1.100498238199118E8</v>
      </c>
      <c r="BB233" s="438">
        <v>3.071487973946755E10</v>
      </c>
      <c r="BC233" s="438">
        <v>4.865170423570702E7</v>
      </c>
      <c r="BD233" s="438">
        <v>5.012941733205952E9</v>
      </c>
      <c r="BE233" s="438">
        <v>4.4465295459944737E8</v>
      </c>
      <c r="BF233" s="438">
        <v>4.3544175371084034E7</v>
      </c>
      <c r="BG233" s="438">
        <v>3977567.4833856835</v>
      </c>
      <c r="BH233" s="438">
        <v>3802104.448394049</v>
      </c>
      <c r="BI233" s="21" t="s">
        <v>186</v>
      </c>
      <c r="CO233" s="406"/>
      <c r="CP233" s="406"/>
      <c r="CQ233" s="406"/>
      <c r="CR233" s="406"/>
      <c r="CS233" s="406"/>
      <c r="CT233" s="406"/>
      <c r="CU233" s="406"/>
      <c r="CV233" s="406"/>
      <c r="CW233" s="406"/>
      <c r="CX233" s="406"/>
      <c r="CY233" s="406"/>
      <c r="CZ233" s="406"/>
      <c r="DA233" s="406"/>
      <c r="DB233" s="406"/>
      <c r="DC233" s="406"/>
      <c r="DD233" s="406"/>
      <c r="DE233" s="406"/>
      <c r="DF233" s="406"/>
      <c r="DG233" s="406"/>
      <c r="DH233" s="406"/>
      <c r="DI233" s="406"/>
      <c r="DJ233" s="406"/>
      <c r="DK233" s="406"/>
      <c r="DL233" s="406"/>
      <c r="DM233" s="406"/>
      <c r="DN233" s="406"/>
      <c r="DO233" s="406"/>
      <c r="DP233" s="406"/>
      <c r="DQ233" s="406"/>
      <c r="DR233" s="406"/>
      <c r="DS233" s="406"/>
      <c r="DT233" s="406"/>
      <c r="DU233" s="406"/>
    </row>
    <row r="234">
      <c r="B234" s="405">
        <v>15.0</v>
      </c>
      <c r="C234" s="427">
        <v>0.027509428912849975</v>
      </c>
      <c r="D234" s="427">
        <v>0.04990994415348151</v>
      </c>
      <c r="E234" s="427">
        <v>0.1598770079223266</v>
      </c>
      <c r="F234" s="427">
        <v>0.03126671001961478</v>
      </c>
      <c r="G234" s="427">
        <v>0.09616861094392325</v>
      </c>
      <c r="H234" s="427">
        <v>0.0028457921332781903</v>
      </c>
      <c r="I234" s="427">
        <v>0.0031120761077632897</v>
      </c>
      <c r="J234" s="427">
        <v>0.009999229296752227</v>
      </c>
      <c r="K234" s="427">
        <v>0.012754738568584998</v>
      </c>
      <c r="L234" s="427">
        <v>0.004690715712000684</v>
      </c>
      <c r="M234" s="427">
        <v>0.004447706732488794</v>
      </c>
      <c r="N234" s="427">
        <v>0.00275956173060379</v>
      </c>
      <c r="O234" s="427">
        <v>0.003545660716959988</v>
      </c>
      <c r="P234" s="427">
        <v>0.017244654180028376</v>
      </c>
      <c r="Q234" s="427">
        <v>1.2624901775436776</v>
      </c>
      <c r="R234" s="427">
        <v>0.2242571051040069</v>
      </c>
      <c r="S234" s="427">
        <v>0.09278353800760099</v>
      </c>
      <c r="T234" s="427">
        <v>0.05557118326795531</v>
      </c>
      <c r="U234" s="427">
        <v>0.39924510414161224</v>
      </c>
      <c r="V234" s="427">
        <v>0.010756380098530952</v>
      </c>
      <c r="W234" s="427">
        <v>0.013704916035187725</v>
      </c>
      <c r="X234" s="427">
        <v>0.02599670120797053</v>
      </c>
      <c r="Y234" s="427">
        <v>0.07959199744875925</v>
      </c>
      <c r="Z234" s="427">
        <v>0.009108846328640303</v>
      </c>
      <c r="AA234" s="427">
        <v>0.01002717733110781</v>
      </c>
      <c r="AB234" s="427">
        <v>0.012424888017881204</v>
      </c>
      <c r="AC234" s="427">
        <v>0.011303310967513547</v>
      </c>
      <c r="AD234" s="427">
        <v>0.04577082439855912</v>
      </c>
      <c r="AE234" s="431" t="s">
        <v>182</v>
      </c>
      <c r="AF234" s="281" t="s">
        <v>187</v>
      </c>
      <c r="AG234" s="406">
        <f>SUM($AG159:$BH159)</f>
        <v>1128383042</v>
      </c>
      <c r="AH234" s="406">
        <f>SUM($AG160:$BH160)</f>
        <v>193816256.3</v>
      </c>
      <c r="AI234" s="406">
        <f>SUM($AG161:$BH161)</f>
        <v>4896046893</v>
      </c>
      <c r="AJ234" s="406">
        <f>SUM($AG162:$BH162)</f>
        <v>296934023.8</v>
      </c>
      <c r="AK234" s="406">
        <f>SUM($AG163:$BH163)</f>
        <v>319435867.8</v>
      </c>
      <c r="AL234" s="406">
        <f>SUM($AG164:$BH164)</f>
        <v>1287710165</v>
      </c>
      <c r="AM234" s="406">
        <f>SUM($AG165:$BH165)</f>
        <v>1236218092</v>
      </c>
      <c r="AN234" s="406">
        <f>SUM($AG166:$BH166)</f>
        <v>23416307919</v>
      </c>
      <c r="AO234" s="406">
        <f>SUM($AG167:$BH167)</f>
        <v>20740330.48</v>
      </c>
      <c r="AP234" s="406">
        <f>SUM($AG168:$BH168)</f>
        <v>23075206214</v>
      </c>
      <c r="AQ234" s="406">
        <f>SUM($AG169:$BH169)</f>
        <v>5625039046</v>
      </c>
      <c r="AR234" s="406">
        <f>SUM($AG170:$BH170)</f>
        <v>1880357643</v>
      </c>
      <c r="AS234" s="406">
        <f>SUM($AG171:$BH171)</f>
        <v>5853033.545</v>
      </c>
      <c r="AT234" s="432">
        <f>SUM($AG172:$BH172)</f>
        <v>1165365038</v>
      </c>
      <c r="AU234" s="406">
        <f>SUM($AG173:$BH173)</f>
        <v>1907204637890</v>
      </c>
      <c r="AV234" s="406">
        <f>SUM($AG174:$BH174)</f>
        <v>206250740699</v>
      </c>
      <c r="AW234" s="406">
        <f>SUM($AG175:$BH175)</f>
        <v>3327312977250</v>
      </c>
      <c r="AX234" s="406">
        <f>SUM($AG176:$BH176)</f>
        <v>547716017050</v>
      </c>
      <c r="AY234" s="406">
        <f>SUM($AG177:$BH177)</f>
        <v>262153940872</v>
      </c>
      <c r="AZ234" s="406">
        <f>SUM($AG178:$BH178)</f>
        <v>1576578223621</v>
      </c>
      <c r="BA234" s="406">
        <f>SUM($AG179:$BH179)</f>
        <v>1335300140113</v>
      </c>
      <c r="BB234" s="406">
        <f>SUM($AG180:$BH180)</f>
        <v>10855204944365</v>
      </c>
      <c r="BC234" s="406">
        <f>SUM($AG181:$BH181)</f>
        <v>375350602089</v>
      </c>
      <c r="BD234" s="406">
        <f>SUM($AG182:$BH182)</f>
        <v>16426369666548</v>
      </c>
      <c r="BE234" s="406">
        <f>SUM($AG183:$BH183)</f>
        <v>1728971201086</v>
      </c>
      <c r="BF234" s="406">
        <f>SUM($AG184:$BH184)</f>
        <v>971525240890</v>
      </c>
      <c r="BG234" s="406">
        <f>SUM($AG185:$BH185)</f>
        <v>24020181520</v>
      </c>
      <c r="BH234" s="406">
        <f>SUM($AG186:$BH186)</f>
        <v>123532425621</v>
      </c>
      <c r="BI234" s="281" t="s">
        <v>187</v>
      </c>
      <c r="BJ234" s="419"/>
      <c r="CO234" s="406"/>
      <c r="CP234" s="406"/>
      <c r="CQ234" s="406"/>
      <c r="CR234" s="406"/>
      <c r="CS234" s="406"/>
      <c r="CT234" s="406"/>
      <c r="CU234" s="406"/>
      <c r="CV234" s="406"/>
      <c r="CW234" s="406"/>
      <c r="CX234" s="406"/>
      <c r="CY234" s="406"/>
      <c r="CZ234" s="406"/>
      <c r="DA234" s="406"/>
      <c r="DB234" s="406"/>
      <c r="DC234" s="406"/>
      <c r="DD234" s="406"/>
      <c r="DE234" s="406"/>
      <c r="DF234" s="406"/>
      <c r="DG234" s="406"/>
      <c r="DH234" s="406"/>
      <c r="DI234" s="406"/>
      <c r="DJ234" s="406"/>
      <c r="DK234" s="406"/>
      <c r="DL234" s="406"/>
      <c r="DM234" s="406"/>
      <c r="DN234" s="406"/>
      <c r="DO234" s="406"/>
      <c r="DP234" s="406"/>
      <c r="DQ234" s="406"/>
      <c r="DR234" s="406"/>
      <c r="DS234" s="406"/>
      <c r="DT234" s="406"/>
      <c r="DU234" s="406"/>
    </row>
    <row r="235">
      <c r="B235" s="405">
        <v>16.0</v>
      </c>
      <c r="C235" s="427">
        <v>0.001528547152198941</v>
      </c>
      <c r="D235" s="427">
        <v>0.0038078651930847193</v>
      </c>
      <c r="E235" s="427">
        <v>0.008297353631452743</v>
      </c>
      <c r="F235" s="427">
        <v>0.0044909099555171805</v>
      </c>
      <c r="G235" s="427">
        <v>0.02535637737487738</v>
      </c>
      <c r="H235" s="427">
        <v>8.355920647261404E-4</v>
      </c>
      <c r="I235" s="427">
        <v>7.641130731154717E-4</v>
      </c>
      <c r="J235" s="427">
        <v>0.0028740600701883915</v>
      </c>
      <c r="K235" s="427">
        <v>0.002006001468240595</v>
      </c>
      <c r="L235" s="427">
        <v>0.0014012095789530691</v>
      </c>
      <c r="M235" s="427">
        <v>0.0018451205304128224</v>
      </c>
      <c r="N235" s="427">
        <v>8.229964829394126E-4</v>
      </c>
      <c r="O235" s="427">
        <v>0.0010493052460140069</v>
      </c>
      <c r="P235" s="427">
        <v>0.005764757342324201</v>
      </c>
      <c r="Q235" s="427">
        <v>0.0030833713845161456</v>
      </c>
      <c r="R235" s="427">
        <v>1.0416482927330981</v>
      </c>
      <c r="S235" s="427">
        <v>0.0199911871907255</v>
      </c>
      <c r="T235" s="427">
        <v>0.022251638362936157</v>
      </c>
      <c r="U235" s="427">
        <v>0.029305693598859768</v>
      </c>
      <c r="V235" s="427">
        <v>0.0035526911436969</v>
      </c>
      <c r="W235" s="427">
        <v>0.0018634431309258821</v>
      </c>
      <c r="X235" s="427">
        <v>0.003330351544372195</v>
      </c>
      <c r="Y235" s="427">
        <v>0.008728146802886043</v>
      </c>
      <c r="Z235" s="427">
        <v>0.003487585086348364</v>
      </c>
      <c r="AA235" s="427">
        <v>0.0027379185479197666</v>
      </c>
      <c r="AB235" s="427">
        <v>0.004861545984261136</v>
      </c>
      <c r="AC235" s="427">
        <v>0.002745686384923441</v>
      </c>
      <c r="AD235" s="427">
        <v>0.03429186315769988</v>
      </c>
      <c r="AE235" s="440" t="s">
        <v>183</v>
      </c>
      <c r="AF235" s="441" t="s">
        <v>188</v>
      </c>
      <c r="AG235" s="438">
        <v>1.1276591157610824E9</v>
      </c>
      <c r="AH235" s="438">
        <v>1.9242136196340442E8</v>
      </c>
      <c r="AI235" s="438">
        <v>5.779013157270114E9</v>
      </c>
      <c r="AJ235" s="438">
        <v>2.94872420285417E8</v>
      </c>
      <c r="AK235" s="438">
        <v>3.4046734996740687E8</v>
      </c>
      <c r="AL235" s="438">
        <v>1.2880187665879722E9</v>
      </c>
      <c r="AM235" s="438">
        <v>1.236490892622838E9</v>
      </c>
      <c r="AN235" s="438">
        <v>2.341898779106832E10</v>
      </c>
      <c r="AO235" s="438">
        <v>2.0903439484159242E7</v>
      </c>
      <c r="AP235" s="438">
        <v>2.308008516177856E10</v>
      </c>
      <c r="AQ235" s="438">
        <v>5.625992959986739E9</v>
      </c>
      <c r="AR235" s="438">
        <v>1.8807847540177615E9</v>
      </c>
      <c r="AS235" s="438">
        <v>5855949.717669705</v>
      </c>
      <c r="AT235" s="439">
        <v>1.1654389422929058E9</v>
      </c>
      <c r="AU235" s="438">
        <v>1.9070227102726475E12</v>
      </c>
      <c r="AV235" s="438">
        <v>2.062307857695461E11</v>
      </c>
      <c r="AW235" s="438">
        <v>3.327336835341727E12</v>
      </c>
      <c r="AX235" s="438">
        <v>5.4772759086071796E11</v>
      </c>
      <c r="AY235" s="438">
        <v>2.621564476745475E11</v>
      </c>
      <c r="AZ235" s="438">
        <v>1.5765768680654377E12</v>
      </c>
      <c r="BA235" s="438">
        <v>1.3352999217490762E12</v>
      </c>
      <c r="BB235" s="438">
        <v>1.0855194581894713E13</v>
      </c>
      <c r="BC235" s="438">
        <v>3.753376256893505E11</v>
      </c>
      <c r="BD235" s="438">
        <v>1.6426346188524582E13</v>
      </c>
      <c r="BE235" s="438">
        <v>1.7289702220827156E12</v>
      </c>
      <c r="BF235" s="438">
        <v>9.715241721729385E11</v>
      </c>
      <c r="BG235" s="438">
        <v>2.4020118287465607E10</v>
      </c>
      <c r="BH235" s="438">
        <v>1.2353241847370015E11</v>
      </c>
      <c r="BI235" s="281" t="s">
        <v>188</v>
      </c>
      <c r="BJ235" s="406"/>
      <c r="CO235" s="406"/>
      <c r="CP235" s="406"/>
      <c r="CQ235" s="406"/>
      <c r="CR235" s="406"/>
      <c r="CS235" s="406"/>
      <c r="CT235" s="406"/>
      <c r="CU235" s="406"/>
      <c r="CV235" s="406"/>
      <c r="CW235" s="406"/>
      <c r="CX235" s="406"/>
      <c r="CY235" s="406"/>
      <c r="CZ235" s="406"/>
      <c r="DA235" s="406"/>
      <c r="DB235" s="406"/>
      <c r="DC235" s="406"/>
      <c r="DD235" s="406"/>
      <c r="DE235" s="406"/>
      <c r="DF235" s="406"/>
      <c r="DG235" s="406"/>
      <c r="DH235" s="406"/>
      <c r="DI235" s="406"/>
      <c r="DJ235" s="406"/>
      <c r="DK235" s="406"/>
      <c r="DL235" s="406"/>
      <c r="DM235" s="406"/>
      <c r="DN235" s="406"/>
      <c r="DO235" s="406"/>
      <c r="DP235" s="406"/>
      <c r="DQ235" s="406"/>
      <c r="DR235" s="406"/>
      <c r="DS235" s="406"/>
      <c r="DT235" s="406"/>
      <c r="DU235" s="406"/>
    </row>
    <row r="236">
      <c r="B236" s="405">
        <v>17.0</v>
      </c>
      <c r="C236" s="427">
        <v>0.002209809890167481</v>
      </c>
      <c r="D236" s="427">
        <v>0.0026565537857350585</v>
      </c>
      <c r="E236" s="427">
        <v>0.011485398842911857</v>
      </c>
      <c r="F236" s="427">
        <v>0.039789165642283394</v>
      </c>
      <c r="G236" s="427">
        <v>0.002508273942805105</v>
      </c>
      <c r="H236" s="427">
        <v>0.0012171214632554666</v>
      </c>
      <c r="I236" s="427">
        <v>0.0013158967764427985</v>
      </c>
      <c r="J236" s="427">
        <v>0.0030201238360371033</v>
      </c>
      <c r="K236" s="427">
        <v>0.003716238557599734</v>
      </c>
      <c r="L236" s="427">
        <v>0.003484048926301509</v>
      </c>
      <c r="M236" s="427">
        <v>0.00242584778814385</v>
      </c>
      <c r="N236" s="427">
        <v>0.0011910798974351744</v>
      </c>
      <c r="O236" s="427">
        <v>0.0012957600388811617</v>
      </c>
      <c r="P236" s="427">
        <v>0.006249387259755101</v>
      </c>
      <c r="Q236" s="427">
        <v>0.00574941794722275</v>
      </c>
      <c r="R236" s="427">
        <v>0.008241934555422614</v>
      </c>
      <c r="S236" s="427">
        <v>1.0885984134832403</v>
      </c>
      <c r="T236" s="427">
        <v>0.37981166373722297</v>
      </c>
      <c r="U236" s="427">
        <v>0.03286477527327409</v>
      </c>
      <c r="V236" s="427">
        <v>0.007135529568543604</v>
      </c>
      <c r="W236" s="427">
        <v>0.0037875592500115573</v>
      </c>
      <c r="X236" s="427">
        <v>0.006139598100895285</v>
      </c>
      <c r="Y236" s="427">
        <v>0.023868719747403025</v>
      </c>
      <c r="Z236" s="427">
        <v>0.0037788682718275643</v>
      </c>
      <c r="AA236" s="427">
        <v>0.0037930983840172637</v>
      </c>
      <c r="AB236" s="427">
        <v>0.005737197315811048</v>
      </c>
      <c r="AC236" s="427">
        <v>0.007341695629927284</v>
      </c>
      <c r="AD236" s="427">
        <v>0.03585818206109368</v>
      </c>
      <c r="AE236" s="431" t="s">
        <v>182</v>
      </c>
      <c r="AF236" s="21" t="s">
        <v>189</v>
      </c>
      <c r="AG236" s="406">
        <f>SUM($AG194:$BH194)</f>
        <v>551571941.4</v>
      </c>
      <c r="AH236" s="406">
        <f>SUM($AG195:$BH195)</f>
        <v>181549513.5</v>
      </c>
      <c r="AI236" s="406">
        <f>SUM($AG196:$BH196)</f>
        <v>931760717.4</v>
      </c>
      <c r="AJ236" s="406">
        <f>SUM($AG197:$BH197)</f>
        <v>159125312.8</v>
      </c>
      <c r="AK236" s="406">
        <f>SUM($AG198:$BH198)</f>
        <v>223566406.8</v>
      </c>
      <c r="AL236" s="406">
        <f>SUM($AG199:$BH199)</f>
        <v>108379950.8</v>
      </c>
      <c r="AM236" s="406">
        <f>SUM($AG200:$BH200)</f>
        <v>269585918.6</v>
      </c>
      <c r="AN236" s="406">
        <f>SUM($AG201:$BH201)</f>
        <v>3847486804</v>
      </c>
      <c r="AO236" s="406">
        <f>SUM($AG202:$BH202)</f>
        <v>5940036.288</v>
      </c>
      <c r="AP236" s="406">
        <f>SUM($AG203:$BH203)</f>
        <v>2122238274</v>
      </c>
      <c r="AQ236" s="406">
        <f>SUM($AG204:$BH204)</f>
        <v>249961533.7</v>
      </c>
      <c r="AR236" s="406">
        <f>SUM($AG205:$BH205)</f>
        <v>161919933.5</v>
      </c>
      <c r="AS236" s="406">
        <f>SUM($AG206:$BH206)</f>
        <v>432094.9265</v>
      </c>
      <c r="AT236" s="432">
        <f>SUM($AG207:$BH207)</f>
        <v>131281969.1</v>
      </c>
      <c r="AU236" s="406">
        <f>SUM($AG208:$BH208)</f>
        <v>3274057487</v>
      </c>
      <c r="AV236" s="406">
        <f>SUM($AG209:$BH209)</f>
        <v>307363452.2</v>
      </c>
      <c r="AW236" s="406">
        <f>SUM($AG210:$BH210)</f>
        <v>2311737605</v>
      </c>
      <c r="AX236" s="406">
        <f>SUM($AG211:$BH211)</f>
        <v>571064659.8</v>
      </c>
      <c r="AY236" s="406">
        <f>SUM($AG212:$BH212)</f>
        <v>569445984</v>
      </c>
      <c r="AZ236" s="406">
        <f>SUM($AG213:$BH213)</f>
        <v>1822494135</v>
      </c>
      <c r="BA236" s="406">
        <f>SUM($AG214:$BH214)</f>
        <v>2727178606</v>
      </c>
      <c r="BB236" s="406">
        <f>SUM($AG215:$BH215)</f>
        <v>22135952950</v>
      </c>
      <c r="BC236" s="406">
        <f>SUM($AG216:$BH216)</f>
        <v>390196854.2</v>
      </c>
      <c r="BD236" s="406">
        <f>SUM($AG217:$BH217)</f>
        <v>17177285425</v>
      </c>
      <c r="BE236" s="406">
        <f>SUM($AG218:$BH218)</f>
        <v>653062648.8</v>
      </c>
      <c r="BF236" s="406">
        <f>SUM($AG219:$BH219)</f>
        <v>903094761.8</v>
      </c>
      <c r="BG236" s="406">
        <f>SUM($AG220:$BH220)</f>
        <v>13921671.76</v>
      </c>
      <c r="BH236" s="406">
        <f>SUM($AG221:$BH221)</f>
        <v>50182893.74</v>
      </c>
      <c r="BI236" s="21" t="s">
        <v>189</v>
      </c>
      <c r="BJ236" s="406"/>
      <c r="CO236" s="406"/>
      <c r="CP236" s="406"/>
      <c r="CQ236" s="406"/>
      <c r="CR236" s="406"/>
      <c r="CS236" s="406"/>
      <c r="CT236" s="406"/>
      <c r="CU236" s="406"/>
      <c r="CV236" s="406"/>
      <c r="CW236" s="406"/>
      <c r="CX236" s="406"/>
      <c r="CY236" s="406"/>
      <c r="CZ236" s="406"/>
      <c r="DA236" s="406"/>
      <c r="DB236" s="406"/>
      <c r="DC236" s="406"/>
      <c r="DD236" s="406"/>
      <c r="DE236" s="406"/>
      <c r="DF236" s="406"/>
      <c r="DG236" s="406"/>
      <c r="DH236" s="406"/>
      <c r="DI236" s="406"/>
      <c r="DJ236" s="406"/>
      <c r="DK236" s="406"/>
      <c r="DL236" s="406"/>
      <c r="DM236" s="406"/>
      <c r="DN236" s="406"/>
      <c r="DO236" s="406"/>
      <c r="DP236" s="406"/>
      <c r="DQ236" s="406"/>
      <c r="DR236" s="406"/>
      <c r="DS236" s="406"/>
      <c r="DT236" s="406"/>
      <c r="DU236" s="406"/>
    </row>
    <row r="237">
      <c r="B237" s="405">
        <v>18.0</v>
      </c>
      <c r="C237" s="427">
        <v>0.0027324495838814944</v>
      </c>
      <c r="D237" s="427">
        <v>0.0037784997271202406</v>
      </c>
      <c r="E237" s="427">
        <v>0.026547934102682306</v>
      </c>
      <c r="F237" s="427">
        <v>0.058219531870273074</v>
      </c>
      <c r="G237" s="427">
        <v>0.003921397494245686</v>
      </c>
      <c r="H237" s="427">
        <v>0.001826527914563724</v>
      </c>
      <c r="I237" s="427">
        <v>0.0016557362529044223</v>
      </c>
      <c r="J237" s="427">
        <v>0.003968829099281728</v>
      </c>
      <c r="K237" s="427">
        <v>0.004099288112835396</v>
      </c>
      <c r="L237" s="427">
        <v>0.006954677914379351</v>
      </c>
      <c r="M237" s="427">
        <v>0.003620655736924889</v>
      </c>
      <c r="N237" s="427">
        <v>0.0017832716332183264</v>
      </c>
      <c r="O237" s="427">
        <v>0.0018613930774687138</v>
      </c>
      <c r="P237" s="427">
        <v>0.013780460188151654</v>
      </c>
      <c r="Q237" s="427">
        <v>0.0057333889863768785</v>
      </c>
      <c r="R237" s="427">
        <v>0.013141532563781512</v>
      </c>
      <c r="S237" s="427">
        <v>0.025488163913452048</v>
      </c>
      <c r="T237" s="427">
        <v>1.0976503463312746</v>
      </c>
      <c r="U237" s="427">
        <v>0.05626193729703459</v>
      </c>
      <c r="V237" s="427">
        <v>0.0060861425415970165</v>
      </c>
      <c r="W237" s="427">
        <v>0.0031418091446619245</v>
      </c>
      <c r="X237" s="427">
        <v>0.005707272047586826</v>
      </c>
      <c r="Y237" s="427">
        <v>0.014954110316896868</v>
      </c>
      <c r="Z237" s="427">
        <v>0.00433957824571062</v>
      </c>
      <c r="AA237" s="427">
        <v>0.005655962426139296</v>
      </c>
      <c r="AB237" s="427">
        <v>0.008233039025199583</v>
      </c>
      <c r="AC237" s="427">
        <v>0.005249390057391729</v>
      </c>
      <c r="AD237" s="427">
        <v>0.0518863383355102</v>
      </c>
      <c r="AE237" s="433" t="s">
        <v>183</v>
      </c>
      <c r="AF237" s="437" t="s">
        <v>190</v>
      </c>
      <c r="AG237" s="438">
        <v>5.413029692357804E8</v>
      </c>
      <c r="AH237" s="438">
        <v>1.7757893500643548E8</v>
      </c>
      <c r="AI237" s="438">
        <v>1.2658642338143477E9</v>
      </c>
      <c r="AJ237" s="438">
        <v>1.6274560773717633E8</v>
      </c>
      <c r="AK237" s="438">
        <v>2.2383158087092558E8</v>
      </c>
      <c r="AL237" s="438">
        <v>1.0838059266844833E8</v>
      </c>
      <c r="AM237" s="438">
        <v>2.696405440682452E8</v>
      </c>
      <c r="AN237" s="438">
        <v>3.8483163645507083E9</v>
      </c>
      <c r="AO237" s="438">
        <v>6002178.911749724</v>
      </c>
      <c r="AP237" s="438">
        <v>2.123358503521369E9</v>
      </c>
      <c r="AQ237" s="438">
        <v>2.501573696914326E8</v>
      </c>
      <c r="AR237" s="438">
        <v>1.6214035579774326E8</v>
      </c>
      <c r="AS237" s="438">
        <v>432446.36263012403</v>
      </c>
      <c r="AT237" s="439">
        <v>1.3128751290111068E8</v>
      </c>
      <c r="AU237" s="438">
        <v>3.171318714237042E9</v>
      </c>
      <c r="AV237" s="438">
        <v>2.828002027157738E8</v>
      </c>
      <c r="AW237" s="438">
        <v>2.3207138366277986E9</v>
      </c>
      <c r="AX237" s="438">
        <v>5.820039117809873E8</v>
      </c>
      <c r="AY237" s="438">
        <v>5.691319533709289E8</v>
      </c>
      <c r="AZ237" s="438">
        <v>1.8206539915103881E9</v>
      </c>
      <c r="BA237" s="438">
        <v>2.726103222780028E9</v>
      </c>
      <c r="BB237" s="438">
        <v>2.2122768593970505E10</v>
      </c>
      <c r="BC237" s="438">
        <v>3.8276601359261286E8</v>
      </c>
      <c r="BD237" s="438">
        <v>1.7148568232161354E10</v>
      </c>
      <c r="BE237" s="438">
        <v>6.520492350757319E8</v>
      </c>
      <c r="BF237" s="438">
        <v>9.017293785385892E8</v>
      </c>
      <c r="BG237" s="438">
        <v>1.3869623198606374E7</v>
      </c>
      <c r="BH237" s="438">
        <v>5.012615682186374E7</v>
      </c>
      <c r="BI237" s="21" t="s">
        <v>190</v>
      </c>
      <c r="BJ237" s="406"/>
      <c r="CO237" s="406"/>
      <c r="CP237" s="406"/>
      <c r="CQ237" s="406"/>
      <c r="CR237" s="406"/>
      <c r="CS237" s="406"/>
      <c r="CT237" s="406"/>
      <c r="CU237" s="406"/>
      <c r="CV237" s="406"/>
      <c r="CW237" s="406"/>
      <c r="CX237" s="406"/>
      <c r="CY237" s="406"/>
      <c r="CZ237" s="406"/>
      <c r="DA237" s="406"/>
      <c r="DB237" s="406"/>
      <c r="DC237" s="406"/>
      <c r="DD237" s="406"/>
      <c r="DE237" s="406"/>
      <c r="DF237" s="406"/>
      <c r="DG237" s="406"/>
      <c r="DH237" s="406"/>
      <c r="DI237" s="406"/>
      <c r="DJ237" s="406"/>
      <c r="DK237" s="406"/>
      <c r="DL237" s="406"/>
      <c r="DM237" s="406"/>
      <c r="DN237" s="406"/>
      <c r="DO237" s="406"/>
      <c r="DP237" s="406"/>
      <c r="DQ237" s="406"/>
      <c r="DR237" s="406"/>
      <c r="DS237" s="406"/>
      <c r="DT237" s="406"/>
      <c r="DU237" s="406"/>
    </row>
    <row r="238">
      <c r="B238" s="405">
        <v>19.0</v>
      </c>
      <c r="C238" s="427">
        <v>0.0025573694402490307</v>
      </c>
      <c r="D238" s="427">
        <v>0.008034566962214697</v>
      </c>
      <c r="E238" s="427">
        <v>0.024081252814725788</v>
      </c>
      <c r="F238" s="427">
        <v>0.019320419564401992</v>
      </c>
      <c r="G238" s="427">
        <v>0.0455620347600427</v>
      </c>
      <c r="H238" s="427">
        <v>0.0015286616378803921</v>
      </c>
      <c r="I238" s="427">
        <v>0.001371784105792855</v>
      </c>
      <c r="J238" s="427">
        <v>0.004184672650643997</v>
      </c>
      <c r="K238" s="427">
        <v>0.003820206435998893</v>
      </c>
      <c r="L238" s="427">
        <v>0.003816988173674942</v>
      </c>
      <c r="M238" s="427">
        <v>0.003476627574747508</v>
      </c>
      <c r="N238" s="427">
        <v>0.0014992761165434354</v>
      </c>
      <c r="O238" s="427">
        <v>0.0017384590262844262</v>
      </c>
      <c r="P238" s="427">
        <v>0.013865734051710377</v>
      </c>
      <c r="Q238" s="427">
        <v>0.006403299918573469</v>
      </c>
      <c r="R238" s="427">
        <v>0.058063795555200456</v>
      </c>
      <c r="S238" s="427">
        <v>0.08624451268392819</v>
      </c>
      <c r="T238" s="427">
        <v>0.06743065280520347</v>
      </c>
      <c r="U238" s="427">
        <v>1.1671570503149367</v>
      </c>
      <c r="V238" s="427">
        <v>0.005712694897100647</v>
      </c>
      <c r="W238" s="427">
        <v>0.003556644691628486</v>
      </c>
      <c r="X238" s="427">
        <v>0.005877057052694465</v>
      </c>
      <c r="Y238" s="427">
        <v>0.02396784861795514</v>
      </c>
      <c r="Z238" s="427">
        <v>0.004520988372055297</v>
      </c>
      <c r="AA238" s="427">
        <v>0.00583894352680241</v>
      </c>
      <c r="AB238" s="427">
        <v>0.005910980366215244</v>
      </c>
      <c r="AC238" s="427">
        <v>0.005318491893112402</v>
      </c>
      <c r="AD238" s="427">
        <v>0.05975521317317061</v>
      </c>
      <c r="BJ238" s="406"/>
      <c r="CO238" s="406"/>
      <c r="CP238" s="406"/>
      <c r="CQ238" s="406"/>
      <c r="CR238" s="406"/>
      <c r="CS238" s="406"/>
      <c r="CT238" s="406"/>
      <c r="CU238" s="406"/>
      <c r="CV238" s="406"/>
      <c r="CW238" s="406"/>
      <c r="CX238" s="406"/>
      <c r="CY238" s="406"/>
      <c r="CZ238" s="406"/>
      <c r="DA238" s="406"/>
      <c r="DB238" s="406"/>
      <c r="DC238" s="406"/>
      <c r="DD238" s="406"/>
      <c r="DE238" s="406"/>
      <c r="DF238" s="406"/>
      <c r="DG238" s="406"/>
      <c r="DH238" s="406"/>
      <c r="DI238" s="406"/>
      <c r="DJ238" s="406"/>
      <c r="DK238" s="406"/>
      <c r="DL238" s="406"/>
      <c r="DM238" s="406"/>
      <c r="DN238" s="406"/>
      <c r="DO238" s="406"/>
      <c r="DP238" s="406"/>
      <c r="DQ238" s="406"/>
      <c r="DR238" s="406"/>
      <c r="DS238" s="406"/>
      <c r="DT238" s="406"/>
      <c r="DU238" s="406"/>
    </row>
    <row r="239">
      <c r="B239" s="405">
        <v>20.0</v>
      </c>
      <c r="C239" s="427">
        <v>4.6262085824893E-4</v>
      </c>
      <c r="D239" s="427">
        <v>4.6636326796063704E-4</v>
      </c>
      <c r="E239" s="427">
        <v>4.444285498082149E-4</v>
      </c>
      <c r="F239" s="427">
        <v>5.863949202963597E-4</v>
      </c>
      <c r="G239" s="427">
        <v>2.777863909712338E-4</v>
      </c>
      <c r="H239" s="427">
        <v>0.00199284792081237</v>
      </c>
      <c r="I239" s="427">
        <v>2.0429469551854003E-4</v>
      </c>
      <c r="J239" s="427">
        <v>7.13153223185618E-4</v>
      </c>
      <c r="K239" s="427">
        <v>7.873613579563029E-4</v>
      </c>
      <c r="L239" s="427">
        <v>2.804616292620034E-4</v>
      </c>
      <c r="M239" s="427">
        <v>2.3013177453291573E-4</v>
      </c>
      <c r="N239" s="427">
        <v>0.001996375141800208</v>
      </c>
      <c r="O239" s="427">
        <v>2.5308451322764744E-4</v>
      </c>
      <c r="P239" s="427">
        <v>1.617457090522601E-4</v>
      </c>
      <c r="Q239" s="427">
        <v>7.19670621774155E-4</v>
      </c>
      <c r="R239" s="427">
        <v>0.0012840174036290778</v>
      </c>
      <c r="S239" s="427">
        <v>9.313363789477753E-4</v>
      </c>
      <c r="T239" s="427">
        <v>0.0015075295381860806</v>
      </c>
      <c r="U239" s="427">
        <v>0.0011191340160093346</v>
      </c>
      <c r="V239" s="427">
        <v>1.0416485531608652</v>
      </c>
      <c r="W239" s="427">
        <v>9.051489205495178E-4</v>
      </c>
      <c r="X239" s="427">
        <v>0.001534038960402681</v>
      </c>
      <c r="Y239" s="427">
        <v>0.0014090968953615114</v>
      </c>
      <c r="Z239" s="427">
        <v>8.170819471693821E-4</v>
      </c>
      <c r="AA239" s="427">
        <v>9.348202061449478E-4</v>
      </c>
      <c r="AB239" s="427">
        <v>0.03787368343580184</v>
      </c>
      <c r="AC239" s="427">
        <v>0.007369600924080537</v>
      </c>
      <c r="AD239" s="427">
        <v>0.001001121964491855</v>
      </c>
      <c r="BJ239" s="406"/>
      <c r="CO239" s="406"/>
      <c r="CP239" s="406"/>
      <c r="CQ239" s="406"/>
      <c r="CR239" s="406"/>
      <c r="CS239" s="406"/>
      <c r="CT239" s="406"/>
      <c r="CU239" s="406"/>
      <c r="CV239" s="406"/>
      <c r="CW239" s="406"/>
      <c r="CX239" s="406"/>
      <c r="CY239" s="406"/>
      <c r="CZ239" s="406"/>
      <c r="DA239" s="406"/>
      <c r="DB239" s="406"/>
      <c r="DC239" s="406"/>
      <c r="DD239" s="406"/>
      <c r="DE239" s="406"/>
      <c r="DF239" s="406"/>
      <c r="DG239" s="406"/>
      <c r="DH239" s="406"/>
      <c r="DI239" s="406"/>
      <c r="DJ239" s="406"/>
      <c r="DK239" s="406"/>
      <c r="DL239" s="406"/>
      <c r="DM239" s="406"/>
      <c r="DN239" s="406"/>
      <c r="DO239" s="406"/>
      <c r="DP239" s="406"/>
      <c r="DQ239" s="406"/>
      <c r="DR239" s="406"/>
      <c r="DS239" s="406"/>
      <c r="DT239" s="406"/>
      <c r="DU239" s="406"/>
    </row>
    <row r="240">
      <c r="B240" s="405">
        <v>21.0</v>
      </c>
      <c r="C240" s="427">
        <v>0.040249416506037534</v>
      </c>
      <c r="D240" s="427">
        <v>0.02835847932083716</v>
      </c>
      <c r="E240" s="427">
        <v>0.05502761305582819</v>
      </c>
      <c r="F240" s="427">
        <v>0.031967149708413314</v>
      </c>
      <c r="G240" s="427">
        <v>0.0165603776529646</v>
      </c>
      <c r="H240" s="427">
        <v>0.015843255504127327</v>
      </c>
      <c r="I240" s="427">
        <v>0.07568205576345818</v>
      </c>
      <c r="J240" s="427">
        <v>0.0746556290963752</v>
      </c>
      <c r="K240" s="427">
        <v>0.7558080343704475</v>
      </c>
      <c r="L240" s="427">
        <v>0.01932439109407559</v>
      </c>
      <c r="M240" s="427">
        <v>0.013482422285145798</v>
      </c>
      <c r="N240" s="427">
        <v>0.015234731158943396</v>
      </c>
      <c r="O240" s="427">
        <v>0.02218426224922694</v>
      </c>
      <c r="P240" s="427">
        <v>0.011963540159578182</v>
      </c>
      <c r="Q240" s="427">
        <v>0.032536024982316794</v>
      </c>
      <c r="R240" s="427">
        <v>0.04133614063776726</v>
      </c>
      <c r="S240" s="427">
        <v>0.029589277400240078</v>
      </c>
      <c r="T240" s="427">
        <v>0.041374181853928535</v>
      </c>
      <c r="U240" s="427">
        <v>0.03556033340872514</v>
      </c>
      <c r="V240" s="427">
        <v>0.0339917034754936</v>
      </c>
      <c r="W240" s="427">
        <v>1.1568165859516129</v>
      </c>
      <c r="X240" s="427">
        <v>0.12457765803885525</v>
      </c>
      <c r="Y240" s="427">
        <v>0.11324738193097232</v>
      </c>
      <c r="Z240" s="427">
        <v>0.044648290829072824</v>
      </c>
      <c r="AA240" s="427">
        <v>0.017302368558043683</v>
      </c>
      <c r="AB240" s="427">
        <v>0.0389042601839802</v>
      </c>
      <c r="AC240" s="427">
        <v>0.034795526554260256</v>
      </c>
      <c r="AD240" s="427">
        <v>0.01968988767789767</v>
      </c>
      <c r="AF240" s="21"/>
      <c r="AG240" s="20" t="s">
        <v>191</v>
      </c>
      <c r="AH240" s="18"/>
      <c r="AI240" s="18"/>
      <c r="AJ240" s="18"/>
      <c r="AK240" s="18"/>
      <c r="AL240" s="19"/>
      <c r="AM240" s="20" t="s">
        <v>192</v>
      </c>
      <c r="AN240" s="18"/>
      <c r="AO240" s="18"/>
      <c r="AP240" s="18"/>
      <c r="AQ240" s="18"/>
      <c r="AR240" s="19"/>
      <c r="CO240" s="406"/>
      <c r="CP240" s="406"/>
      <c r="CQ240" s="406"/>
      <c r="CR240" s="406"/>
      <c r="CS240" s="406"/>
      <c r="CT240" s="406"/>
      <c r="CU240" s="406"/>
      <c r="CV240" s="406"/>
      <c r="CW240" s="406"/>
      <c r="CX240" s="406"/>
      <c r="CY240" s="406"/>
      <c r="CZ240" s="406"/>
      <c r="DA240" s="406"/>
      <c r="DB240" s="406"/>
      <c r="DC240" s="406"/>
      <c r="DD240" s="406"/>
      <c r="DE240" s="406"/>
      <c r="DF240" s="406"/>
      <c r="DG240" s="406"/>
      <c r="DH240" s="406"/>
      <c r="DI240" s="406"/>
      <c r="DJ240" s="406"/>
      <c r="DK240" s="406"/>
      <c r="DL240" s="406"/>
      <c r="DM240" s="406"/>
      <c r="DN240" s="406"/>
      <c r="DO240" s="406"/>
      <c r="DP240" s="406"/>
      <c r="DQ240" s="406"/>
      <c r="DR240" s="406"/>
      <c r="DS240" s="406"/>
      <c r="DT240" s="406"/>
      <c r="DU240" s="406"/>
    </row>
    <row r="241">
      <c r="B241" s="405">
        <v>22.0</v>
      </c>
      <c r="C241" s="427">
        <v>0.36650313835074433</v>
      </c>
      <c r="D241" s="427">
        <v>0.2600270467630962</v>
      </c>
      <c r="E241" s="427">
        <v>0.2237297831350772</v>
      </c>
      <c r="F241" s="427">
        <v>0.2518862189665982</v>
      </c>
      <c r="G241" s="427">
        <v>0.10064167992305251</v>
      </c>
      <c r="H241" s="427">
        <v>0.09663608552721059</v>
      </c>
      <c r="I241" s="427">
        <v>0.10406333983948962</v>
      </c>
      <c r="J241" s="427">
        <v>0.4428699188959961</v>
      </c>
      <c r="K241" s="427">
        <v>0.2645339005455183</v>
      </c>
      <c r="L241" s="427">
        <v>0.10391673714899781</v>
      </c>
      <c r="M241" s="427">
        <v>0.10808813668767218</v>
      </c>
      <c r="N241" s="427">
        <v>0.09027168667895936</v>
      </c>
      <c r="O241" s="427">
        <v>0.14177400644455837</v>
      </c>
      <c r="P241" s="427">
        <v>0.07500551082928987</v>
      </c>
      <c r="Q241" s="427">
        <v>0.25947493143517425</v>
      </c>
      <c r="R241" s="427">
        <v>0.3809403220649229</v>
      </c>
      <c r="S241" s="427">
        <v>0.22424070882245092</v>
      </c>
      <c r="T241" s="427">
        <v>0.32745043450740136</v>
      </c>
      <c r="U241" s="427">
        <v>0.2829306739183089</v>
      </c>
      <c r="V241" s="427">
        <v>0.32078388038655264</v>
      </c>
      <c r="W241" s="427">
        <v>0.2900537577666912</v>
      </c>
      <c r="X241" s="427">
        <v>1.7811433824554486</v>
      </c>
      <c r="Y241" s="427">
        <v>0.6057431667237656</v>
      </c>
      <c r="Z241" s="427">
        <v>0.22928479647869213</v>
      </c>
      <c r="AA241" s="427">
        <v>0.18379731557223064</v>
      </c>
      <c r="AB241" s="427">
        <v>0.3184921485698292</v>
      </c>
      <c r="AC241" s="427">
        <v>0.2687089172216094</v>
      </c>
      <c r="AD241" s="427">
        <v>0.16960479244361432</v>
      </c>
      <c r="AF241" s="25"/>
      <c r="AG241" s="429" t="s">
        <v>58</v>
      </c>
      <c r="AH241" s="285" t="s">
        <v>59</v>
      </c>
      <c r="AI241" s="285" t="s">
        <v>60</v>
      </c>
      <c r="AJ241" s="285" t="s">
        <v>61</v>
      </c>
      <c r="AK241" s="285" t="s">
        <v>62</v>
      </c>
      <c r="AL241" s="285" t="s">
        <v>63</v>
      </c>
      <c r="AM241" s="442" t="s">
        <v>193</v>
      </c>
      <c r="AN241" s="442" t="s">
        <v>194</v>
      </c>
      <c r="AO241" s="442" t="s">
        <v>195</v>
      </c>
      <c r="AP241" s="442" t="s">
        <v>196</v>
      </c>
      <c r="AQ241" s="442" t="s">
        <v>197</v>
      </c>
      <c r="AR241" s="442" t="s">
        <v>198</v>
      </c>
      <c r="AU241" s="25"/>
      <c r="AV241" s="443" t="s">
        <v>68</v>
      </c>
      <c r="AW241" s="444" t="s">
        <v>199</v>
      </c>
      <c r="AX241" s="445" t="s">
        <v>200</v>
      </c>
      <c r="CO241" s="406"/>
      <c r="CP241" s="406"/>
      <c r="CQ241" s="406"/>
      <c r="CR241" s="406"/>
      <c r="CS241" s="406"/>
      <c r="CT241" s="406"/>
      <c r="CU241" s="406"/>
      <c r="CV241" s="406"/>
      <c r="CW241" s="406"/>
      <c r="CX241" s="406"/>
      <c r="CY241" s="406"/>
      <c r="CZ241" s="406"/>
      <c r="DA241" s="406"/>
      <c r="DB241" s="406"/>
      <c r="DC241" s="406"/>
      <c r="DD241" s="406"/>
      <c r="DE241" s="406"/>
      <c r="DF241" s="406"/>
      <c r="DG241" s="406"/>
      <c r="DH241" s="406"/>
      <c r="DI241" s="406"/>
      <c r="DJ241" s="406"/>
      <c r="DK241" s="406"/>
      <c r="DL241" s="406"/>
      <c r="DM241" s="406"/>
      <c r="DN241" s="406"/>
      <c r="DO241" s="406"/>
      <c r="DP241" s="406"/>
      <c r="DQ241" s="406"/>
      <c r="DR241" s="406"/>
      <c r="DS241" s="406"/>
      <c r="DT241" s="406"/>
      <c r="DU241" s="406"/>
    </row>
    <row r="242">
      <c r="B242" s="405">
        <v>23.0</v>
      </c>
      <c r="C242" s="427">
        <v>0.006808854844060483</v>
      </c>
      <c r="D242" s="427">
        <v>0.005086285633712925</v>
      </c>
      <c r="E242" s="427">
        <v>0.013811896927513721</v>
      </c>
      <c r="F242" s="427">
        <v>0.00355538205667143</v>
      </c>
      <c r="G242" s="427">
        <v>0.007783843396346499</v>
      </c>
      <c r="H242" s="427">
        <v>6.879420008940923E-4</v>
      </c>
      <c r="I242" s="427">
        <v>9.108335022980421E-4</v>
      </c>
      <c r="J242" s="427">
        <v>0.002630565946845827</v>
      </c>
      <c r="K242" s="427">
        <v>0.004842402973669405</v>
      </c>
      <c r="L242" s="427">
        <v>8.081367183064095E-4</v>
      </c>
      <c r="M242" s="427">
        <v>7.651476870769582E-4</v>
      </c>
      <c r="N242" s="427">
        <v>6.6725103330297E-4</v>
      </c>
      <c r="O242" s="427">
        <v>8.479716216853208E-4</v>
      </c>
      <c r="P242" s="427">
        <v>0.0016661723535305688</v>
      </c>
      <c r="Q242" s="427">
        <v>0.09703763276193365</v>
      </c>
      <c r="R242" s="427">
        <v>0.019097166836473476</v>
      </c>
      <c r="S242" s="427">
        <v>0.011612769587333812</v>
      </c>
      <c r="T242" s="427">
        <v>0.007971824796978366</v>
      </c>
      <c r="U242" s="427">
        <v>0.03226063316777625</v>
      </c>
      <c r="V242" s="427">
        <v>0.0023673011533134817</v>
      </c>
      <c r="W242" s="427">
        <v>0.005956096620234706</v>
      </c>
      <c r="X242" s="427">
        <v>0.005592732842319026</v>
      </c>
      <c r="Y242" s="427">
        <v>1.1939479775384323</v>
      </c>
      <c r="Z242" s="427">
        <v>0.0019943252873111652</v>
      </c>
      <c r="AA242" s="427">
        <v>0.0018278769951437135</v>
      </c>
      <c r="AB242" s="427">
        <v>0.0024437006595068697</v>
      </c>
      <c r="AC242" s="427">
        <v>0.0028961227769153924</v>
      </c>
      <c r="AD242" s="427">
        <v>0.004660905925696306</v>
      </c>
      <c r="AE242" s="281" t="s">
        <v>182</v>
      </c>
      <c r="AF242" s="281" t="s">
        <v>201</v>
      </c>
      <c r="AG242" s="406">
        <f t="shared" ref="AG242:AL242" si="95">AG230</f>
        <v>320076390.6</v>
      </c>
      <c r="AH242" s="406">
        <f t="shared" si="95"/>
        <v>319207515.4</v>
      </c>
      <c r="AI242" s="406">
        <f t="shared" si="95"/>
        <v>3619641311</v>
      </c>
      <c r="AJ242" s="406">
        <f t="shared" si="95"/>
        <v>970268687.2</v>
      </c>
      <c r="AK242" s="406">
        <f t="shared" si="95"/>
        <v>1108011344</v>
      </c>
      <c r="AL242" s="432">
        <f t="shared" si="95"/>
        <v>60813294.03</v>
      </c>
      <c r="AM242" s="406">
        <f t="shared" ref="AM242:AR242" si="96">AU232</f>
        <v>1146548406</v>
      </c>
      <c r="AN242" s="406">
        <f t="shared" si="96"/>
        <v>636646147.5</v>
      </c>
      <c r="AO242" s="406">
        <f t="shared" si="96"/>
        <v>466581301.7</v>
      </c>
      <c r="AP242" s="406">
        <f t="shared" si="96"/>
        <v>1563148173</v>
      </c>
      <c r="AQ242" s="406">
        <f t="shared" si="96"/>
        <v>2731600719</v>
      </c>
      <c r="AR242" s="406">
        <f t="shared" si="96"/>
        <v>627113023.4</v>
      </c>
      <c r="AT242" s="281" t="s">
        <v>182</v>
      </c>
      <c r="AU242" s="281" t="s">
        <v>202</v>
      </c>
      <c r="AV242" s="446">
        <f>AP230+AQ230+AT230+BD232+BE232+BH232</f>
        <v>51384121194</v>
      </c>
      <c r="AW242" s="446">
        <f>AM230+AN230+AO230+AR230+AS230+BG232+BF232+BC232+BB232+BA232</f>
        <v>58466852367</v>
      </c>
      <c r="AX242" s="281">
        <f>AG230+AH230+AI230+AJ230+AK230+AL230+AU232+AV232+AW232+AX232+AY232+AZ232</f>
        <v>13569656312</v>
      </c>
      <c r="AY242" s="446">
        <f>SUM(AV242:AX242)</f>
        <v>123420629873</v>
      </c>
      <c r="AZ242" s="446">
        <f>((AX242-AX243)/(sum(AX242:AX243))*100)</f>
        <v>-1.592028231</v>
      </c>
      <c r="CO242" s="406"/>
      <c r="CP242" s="406"/>
      <c r="CQ242" s="406"/>
      <c r="CR242" s="406"/>
      <c r="CS242" s="406"/>
      <c r="CT242" s="406"/>
      <c r="CU242" s="406"/>
      <c r="CV242" s="406"/>
      <c r="CW242" s="406"/>
      <c r="CX242" s="406"/>
      <c r="CY242" s="406"/>
      <c r="CZ242" s="406"/>
      <c r="DA242" s="406"/>
      <c r="DB242" s="406"/>
      <c r="DC242" s="406"/>
      <c r="DD242" s="406"/>
      <c r="DE242" s="406"/>
      <c r="DF242" s="406"/>
      <c r="DG242" s="406"/>
      <c r="DH242" s="406"/>
      <c r="DI242" s="406"/>
      <c r="DJ242" s="406"/>
      <c r="DK242" s="406"/>
      <c r="DL242" s="406"/>
      <c r="DM242" s="406"/>
      <c r="DN242" s="406"/>
      <c r="DO242" s="406"/>
      <c r="DP242" s="406"/>
      <c r="DQ242" s="406"/>
      <c r="DR242" s="406"/>
      <c r="DS242" s="406"/>
      <c r="DT242" s="406"/>
      <c r="DU242" s="406"/>
    </row>
    <row r="243">
      <c r="B243" s="405">
        <v>24.0</v>
      </c>
      <c r="C243" s="427">
        <v>0.0895240138705796</v>
      </c>
      <c r="D243" s="427">
        <v>0.12636065112132214</v>
      </c>
      <c r="E243" s="427">
        <v>0.1136804649280353</v>
      </c>
      <c r="F243" s="427">
        <v>0.19827532029241332</v>
      </c>
      <c r="G243" s="427">
        <v>0.07252725665858793</v>
      </c>
      <c r="H243" s="427">
        <v>0.05509251623205232</v>
      </c>
      <c r="I243" s="427">
        <v>0.0733251076812218</v>
      </c>
      <c r="J243" s="427">
        <v>0.1399354966005367</v>
      </c>
      <c r="K243" s="427">
        <v>0.2443593385376221</v>
      </c>
      <c r="L243" s="427">
        <v>0.08974130618786802</v>
      </c>
      <c r="M243" s="427">
        <v>0.04703006169247676</v>
      </c>
      <c r="N243" s="427">
        <v>0.05626151196283623</v>
      </c>
      <c r="O243" s="427">
        <v>0.06225386695977744</v>
      </c>
      <c r="P243" s="427">
        <v>0.04026311525787552</v>
      </c>
      <c r="Q243" s="427">
        <v>0.17744963375000825</v>
      </c>
      <c r="R243" s="427">
        <v>0.3638821781709682</v>
      </c>
      <c r="S243" s="427">
        <v>0.2241355506181562</v>
      </c>
      <c r="T243" s="427">
        <v>0.30966973828569777</v>
      </c>
      <c r="U243" s="427">
        <v>0.24962816104112406</v>
      </c>
      <c r="V243" s="427">
        <v>0.20377817461393938</v>
      </c>
      <c r="W243" s="427">
        <v>0.17671793477744108</v>
      </c>
      <c r="X243" s="427">
        <v>0.271348238041812</v>
      </c>
      <c r="Y243" s="427">
        <v>0.4241178088944305</v>
      </c>
      <c r="Z243" s="427">
        <v>1.254230309939693</v>
      </c>
      <c r="AA243" s="427">
        <v>0.13096340122421835</v>
      </c>
      <c r="AB243" s="427">
        <v>0.20355117223575148</v>
      </c>
      <c r="AC243" s="427">
        <v>0.17980889279041115</v>
      </c>
      <c r="AD243" s="427">
        <v>0.2075730226803556</v>
      </c>
      <c r="AE243" s="281" t="s">
        <v>183</v>
      </c>
      <c r="AF243" s="281" t="s">
        <v>203</v>
      </c>
      <c r="AG243" s="446">
        <v>3.3589403255233616E8</v>
      </c>
      <c r="AH243" s="446">
        <v>3.3590118856693286E8</v>
      </c>
      <c r="AI243" s="446">
        <v>3.8859997222611113E9</v>
      </c>
      <c r="AJ243" s="446">
        <v>9.647858710383941E8</v>
      </c>
      <c r="AK243" s="446">
        <v>1.2457489238178153E9</v>
      </c>
      <c r="AL243" s="447">
        <v>6.082129003720927E7</v>
      </c>
      <c r="AM243" s="446">
        <v>1.20689489322083E9</v>
      </c>
      <c r="AN243" s="446">
        <v>6.063323424576505E8</v>
      </c>
      <c r="AO243" s="446">
        <v>4.443640161348134E8</v>
      </c>
      <c r="AP243" s="446">
        <v>1.5631724302712195E9</v>
      </c>
      <c r="AQ243" s="446">
        <v>2.7316345857467203E9</v>
      </c>
      <c r="AR243" s="446">
        <v>6.271132246766851E8</v>
      </c>
      <c r="AT243" s="281" t="s">
        <v>183</v>
      </c>
      <c r="AU243" s="281" t="s">
        <v>204</v>
      </c>
      <c r="AV243" s="446">
        <v>5.1440442684750305E10</v>
      </c>
      <c r="AW243" s="446">
        <v>5.847450431655617E10</v>
      </c>
      <c r="AX243" s="281">
        <v>1.400871171666254E10</v>
      </c>
      <c r="CO243" s="406"/>
      <c r="CP243" s="406"/>
      <c r="CQ243" s="406"/>
      <c r="CR243" s="406"/>
      <c r="CS243" s="406"/>
      <c r="CT243" s="406"/>
      <c r="CU243" s="406"/>
      <c r="CV243" s="406"/>
      <c r="CW243" s="406"/>
      <c r="CX243" s="406"/>
      <c r="CY243" s="406"/>
      <c r="CZ243" s="406"/>
      <c r="DA243" s="406"/>
      <c r="DB243" s="406"/>
      <c r="DC243" s="406"/>
      <c r="DD243" s="406"/>
      <c r="DE243" s="406"/>
      <c r="DF243" s="406"/>
      <c r="DG243" s="406"/>
      <c r="DH243" s="406"/>
      <c r="DI243" s="406"/>
      <c r="DJ243" s="406"/>
      <c r="DK243" s="406"/>
      <c r="DL243" s="406"/>
      <c r="DM243" s="406"/>
      <c r="DN243" s="406"/>
      <c r="DO243" s="406"/>
      <c r="DP243" s="406"/>
      <c r="DQ243" s="406"/>
      <c r="DR243" s="406"/>
      <c r="DS243" s="406"/>
      <c r="DT243" s="406"/>
      <c r="DU243" s="406"/>
    </row>
    <row r="244">
      <c r="B244" s="405">
        <v>25.0</v>
      </c>
      <c r="C244" s="427">
        <v>0.07300548414125842</v>
      </c>
      <c r="D244" s="427">
        <v>0.10018813332278849</v>
      </c>
      <c r="E244" s="427">
        <v>0.08017390278878796</v>
      </c>
      <c r="F244" s="427">
        <v>0.1639364558863764</v>
      </c>
      <c r="G244" s="427">
        <v>0.05054833449251426</v>
      </c>
      <c r="H244" s="427">
        <v>0.04065578864646564</v>
      </c>
      <c r="I244" s="427">
        <v>0.043681032061137125</v>
      </c>
      <c r="J244" s="427">
        <v>0.10791386818210502</v>
      </c>
      <c r="K244" s="427">
        <v>0.16196858357528504</v>
      </c>
      <c r="L244" s="427">
        <v>0.05916167246085761</v>
      </c>
      <c r="M244" s="427">
        <v>0.07117571791347659</v>
      </c>
      <c r="N244" s="427">
        <v>0.0402334819332114</v>
      </c>
      <c r="O244" s="427">
        <v>0.04270199106356733</v>
      </c>
      <c r="P244" s="427">
        <v>0.03365266026886249</v>
      </c>
      <c r="Q244" s="427">
        <v>0.13866591030051187</v>
      </c>
      <c r="R244" s="427">
        <v>0.2276195797760752</v>
      </c>
      <c r="S244" s="427">
        <v>0.13880524566972302</v>
      </c>
      <c r="T244" s="427">
        <v>0.1848267732640763</v>
      </c>
      <c r="U244" s="427">
        <v>0.18312830920117804</v>
      </c>
      <c r="V244" s="427">
        <v>0.3147045312464362</v>
      </c>
      <c r="W244" s="427">
        <v>0.17562528364596983</v>
      </c>
      <c r="X244" s="427">
        <v>0.22688961901312144</v>
      </c>
      <c r="Y244" s="427">
        <v>0.28002794627664607</v>
      </c>
      <c r="Z244" s="427">
        <v>0.20451658128672937</v>
      </c>
      <c r="AA244" s="427">
        <v>1.3170302709240347</v>
      </c>
      <c r="AB244" s="427">
        <v>0.2886473838667748</v>
      </c>
      <c r="AC244" s="427">
        <v>0.22393454131037857</v>
      </c>
      <c r="AD244" s="427">
        <v>0.20871493494820748</v>
      </c>
      <c r="AE244" s="281" t="s">
        <v>182</v>
      </c>
      <c r="AF244" s="281" t="s">
        <v>205</v>
      </c>
      <c r="AG244" s="406">
        <f t="shared" ref="AG244:AL244" si="97">AG234</f>
        <v>1128383042</v>
      </c>
      <c r="AH244" s="406">
        <f t="shared" si="97"/>
        <v>193816256.3</v>
      </c>
      <c r="AI244" s="406">
        <f t="shared" si="97"/>
        <v>4896046893</v>
      </c>
      <c r="AJ244" s="406">
        <f t="shared" si="97"/>
        <v>296934023.8</v>
      </c>
      <c r="AK244" s="406">
        <f t="shared" si="97"/>
        <v>319435867.8</v>
      </c>
      <c r="AL244" s="432">
        <f t="shared" si="97"/>
        <v>1287710165</v>
      </c>
      <c r="AM244" s="406">
        <f t="shared" ref="AM244:AR244" si="98">AG236</f>
        <v>551571941.4</v>
      </c>
      <c r="AN244" s="406">
        <f t="shared" si="98"/>
        <v>181549513.5</v>
      </c>
      <c r="AO244" s="406">
        <f t="shared" si="98"/>
        <v>931760717.4</v>
      </c>
      <c r="AP244" s="406">
        <f t="shared" si="98"/>
        <v>159125312.8</v>
      </c>
      <c r="AQ244" s="406">
        <f t="shared" si="98"/>
        <v>223566406.8</v>
      </c>
      <c r="AR244" s="406">
        <f t="shared" si="98"/>
        <v>108379950.8</v>
      </c>
      <c r="AT244" s="281" t="s">
        <v>182</v>
      </c>
      <c r="AU244" s="281" t="s">
        <v>206</v>
      </c>
      <c r="AV244" s="446">
        <f>AP234+AQ234+AT234+AP236+AQ236+AT236</f>
        <v>32369092075</v>
      </c>
      <c r="AW244" s="446">
        <f>AM234+AN234+AO234+AR234+AS234+AM236+AN236+AO236+AR236+AS236</f>
        <v>30844841805</v>
      </c>
      <c r="AX244" s="446">
        <f>SUM(AG234:AL234)+SUM(AG236:AL236)</f>
        <v>10278280091</v>
      </c>
      <c r="AZ244" s="446">
        <f>((AX244-AX245)/(sum(AX244:AX245))*100)</f>
        <v>-5.614971017</v>
      </c>
      <c r="CO244" s="406"/>
      <c r="CP244" s="406"/>
      <c r="CQ244" s="406"/>
      <c r="CR244" s="406"/>
      <c r="CS244" s="406"/>
      <c r="CT244" s="406"/>
      <c r="CU244" s="406"/>
      <c r="CV244" s="406"/>
      <c r="CW244" s="406"/>
      <c r="CX244" s="406"/>
      <c r="CY244" s="406"/>
      <c r="CZ244" s="406"/>
      <c r="DA244" s="406"/>
      <c r="DB244" s="406"/>
      <c r="DC244" s="406"/>
      <c r="DD244" s="406"/>
      <c r="DE244" s="406"/>
      <c r="DF244" s="406"/>
      <c r="DG244" s="406"/>
      <c r="DH244" s="406"/>
      <c r="DI244" s="406"/>
      <c r="DJ244" s="406"/>
      <c r="DK244" s="406"/>
      <c r="DL244" s="406"/>
      <c r="DM244" s="406"/>
      <c r="DN244" s="406"/>
      <c r="DO244" s="406"/>
      <c r="DP244" s="406"/>
      <c r="DQ244" s="406"/>
      <c r="DR244" s="406"/>
      <c r="DS244" s="406"/>
      <c r="DT244" s="406"/>
      <c r="DU244" s="406"/>
    </row>
    <row r="245">
      <c r="B245" s="405">
        <v>26.0</v>
      </c>
      <c r="C245" s="427">
        <v>0.0011285347584652319</v>
      </c>
      <c r="D245" s="427">
        <v>0.0011962083194051994</v>
      </c>
      <c r="E245" s="427">
        <v>0.0011370152812399134</v>
      </c>
      <c r="F245" s="427">
        <v>0.0015669482081368067</v>
      </c>
      <c r="G245" s="427">
        <v>6.981928456784431E-4</v>
      </c>
      <c r="H245" s="427">
        <v>0.0048899025907110615</v>
      </c>
      <c r="I245" s="427">
        <v>5.894712648416401E-4</v>
      </c>
      <c r="J245" s="427">
        <v>0.002169911783737865</v>
      </c>
      <c r="K245" s="427">
        <v>0.00233075383945331</v>
      </c>
      <c r="L245" s="427">
        <v>7.882757408795328E-4</v>
      </c>
      <c r="M245" s="427">
        <v>6.371317676622975E-4</v>
      </c>
      <c r="N245" s="427">
        <v>0.005896416887121983</v>
      </c>
      <c r="O245" s="427">
        <v>7.376108590134006E-4</v>
      </c>
      <c r="P245" s="427">
        <v>4.410694327107251E-4</v>
      </c>
      <c r="Q245" s="427">
        <v>0.0018990182170903792</v>
      </c>
      <c r="R245" s="427">
        <v>0.0035661423480955316</v>
      </c>
      <c r="S245" s="427">
        <v>0.0028841697504998366</v>
      </c>
      <c r="T245" s="427">
        <v>0.0043444713240928644</v>
      </c>
      <c r="U245" s="427">
        <v>0.0030336566683738606</v>
      </c>
      <c r="V245" s="427">
        <v>0.0892625332259187</v>
      </c>
      <c r="W245" s="427">
        <v>0.0027820711818462994</v>
      </c>
      <c r="X245" s="427">
        <v>0.003633095353764802</v>
      </c>
      <c r="Y245" s="427">
        <v>0.0035616705212780393</v>
      </c>
      <c r="Z245" s="427">
        <v>0.0022380806246856274</v>
      </c>
      <c r="AA245" s="427">
        <v>0.002609001711580225</v>
      </c>
      <c r="AB245" s="427">
        <v>1.0958362841558185</v>
      </c>
      <c r="AC245" s="427">
        <v>0.014907250404895045</v>
      </c>
      <c r="AD245" s="427">
        <v>0.0031992990300633095</v>
      </c>
      <c r="AE245" s="281" t="s">
        <v>183</v>
      </c>
      <c r="AF245" s="281" t="s">
        <v>207</v>
      </c>
      <c r="AG245" s="446">
        <v>1.1276441936791122E9</v>
      </c>
      <c r="AH245" s="446">
        <v>1.92420401845064E8</v>
      </c>
      <c r="AI245" s="446">
        <v>5.778398132814437E9</v>
      </c>
      <c r="AJ245" s="446">
        <v>2.9486962806841457E8</v>
      </c>
      <c r="AK245" s="446">
        <v>3.404661053913401E8</v>
      </c>
      <c r="AL245" s="447">
        <v>1.2879878533798096E9</v>
      </c>
      <c r="AM245" s="446">
        <v>5.412962645753756E8</v>
      </c>
      <c r="AN245" s="446">
        <v>1.775785035317301E8</v>
      </c>
      <c r="AO245" s="446">
        <v>1.2655879233695636E9</v>
      </c>
      <c r="AP245" s="446">
        <v>1.6274435317052183E8</v>
      </c>
      <c r="AQ245" s="446">
        <v>2.2383102159670883E8</v>
      </c>
      <c r="AR245" s="446">
        <v>1.0836670413135374E8</v>
      </c>
      <c r="AT245" s="281" t="s">
        <v>183</v>
      </c>
      <c r="AU245" s="281" t="s">
        <v>208</v>
      </c>
      <c r="AV245" s="446">
        <v>3.2375428180247227E10</v>
      </c>
      <c r="AW245" s="446">
        <v>3.0845652646512314E10</v>
      </c>
      <c r="AX245" s="446">
        <v>1.1501191085553432E10</v>
      </c>
      <c r="BJ245" s="406"/>
      <c r="CO245" s="406"/>
      <c r="CP245" s="406"/>
      <c r="CQ245" s="406"/>
      <c r="CR245" s="406"/>
      <c r="CS245" s="406"/>
      <c r="CT245" s="406"/>
      <c r="CU245" s="406"/>
      <c r="CV245" s="406"/>
      <c r="CW245" s="406"/>
      <c r="CX245" s="406"/>
      <c r="CY245" s="406"/>
      <c r="CZ245" s="406"/>
      <c r="DA245" s="406"/>
      <c r="DB245" s="406"/>
      <c r="DC245" s="406"/>
      <c r="DD245" s="406"/>
      <c r="DE245" s="406"/>
      <c r="DF245" s="406"/>
      <c r="DG245" s="406"/>
      <c r="DH245" s="406"/>
      <c r="DI245" s="406"/>
      <c r="DJ245" s="406"/>
      <c r="DK245" s="406"/>
      <c r="DL245" s="406"/>
      <c r="DM245" s="406"/>
      <c r="DN245" s="406"/>
      <c r="DO245" s="406"/>
      <c r="DP245" s="406"/>
      <c r="DQ245" s="406"/>
      <c r="DR245" s="406"/>
      <c r="DS245" s="406"/>
      <c r="DT245" s="406"/>
      <c r="DU245" s="406"/>
    </row>
    <row r="246">
      <c r="B246" s="405">
        <v>27.0</v>
      </c>
      <c r="C246" s="427">
        <v>4.728094668850462E-4</v>
      </c>
      <c r="D246" s="427">
        <v>5.524858616658639E-4</v>
      </c>
      <c r="E246" s="427">
        <v>6.646875328527212E-4</v>
      </c>
      <c r="F246" s="427">
        <v>7.147227771290574E-4</v>
      </c>
      <c r="G246" s="427">
        <v>4.3350759382979244E-4</v>
      </c>
      <c r="H246" s="427">
        <v>6.626460146990395E-4</v>
      </c>
      <c r="I246" s="427">
        <v>2.712005388669073E-4</v>
      </c>
      <c r="J246" s="427">
        <v>6.491639744512242E-4</v>
      </c>
      <c r="K246" s="427">
        <v>0.0011660953616337035</v>
      </c>
      <c r="L246" s="427">
        <v>4.119425316330507E-4</v>
      </c>
      <c r="M246" s="427">
        <v>2.6565834313269993E-4</v>
      </c>
      <c r="N246" s="427">
        <v>6.965116283099992E-4</v>
      </c>
      <c r="O246" s="427">
        <v>2.4161932267991249E-4</v>
      </c>
      <c r="P246" s="427">
        <v>2.05201051458294E-4</v>
      </c>
      <c r="Q246" s="427">
        <v>0.002287276724568565</v>
      </c>
      <c r="R246" s="427">
        <v>0.002512553820920996</v>
      </c>
      <c r="S246" s="427">
        <v>0.001363760303417425</v>
      </c>
      <c r="T246" s="427">
        <v>0.0017801553446095935</v>
      </c>
      <c r="U246" s="427">
        <v>0.001976731799164114</v>
      </c>
      <c r="V246" s="427">
        <v>0.010845291480124038</v>
      </c>
      <c r="W246" s="427">
        <v>0.0014028604428899733</v>
      </c>
      <c r="X246" s="427">
        <v>0.0015799762684665678</v>
      </c>
      <c r="Y246" s="427">
        <v>0.002989394209535552</v>
      </c>
      <c r="Z246" s="427">
        <v>0.0011541565419583523</v>
      </c>
      <c r="AA246" s="427">
        <v>0.0013470288325169082</v>
      </c>
      <c r="AB246" s="427">
        <v>0.009983509267477854</v>
      </c>
      <c r="AC246" s="427">
        <v>1.0481970327101804</v>
      </c>
      <c r="AD246" s="427">
        <v>0.0019832944535806045</v>
      </c>
      <c r="BJ246" s="406"/>
      <c r="CO246" s="24"/>
      <c r="CP246" s="24"/>
      <c r="CQ246" s="24"/>
      <c r="CR246" s="24"/>
      <c r="CS246" s="24"/>
      <c r="CT246" s="24"/>
      <c r="CU246" s="24"/>
      <c r="CV246" s="24"/>
      <c r="CW246" s="24"/>
      <c r="CX246" s="24"/>
      <c r="CY246" s="24"/>
      <c r="CZ246" s="24"/>
      <c r="DA246" s="24"/>
      <c r="DB246" s="24"/>
      <c r="DC246" s="24"/>
      <c r="DD246" s="24"/>
      <c r="DE246" s="24"/>
      <c r="DF246" s="24"/>
      <c r="DG246" s="24"/>
      <c r="DH246" s="24"/>
      <c r="DI246" s="24"/>
      <c r="DJ246" s="24"/>
      <c r="DK246" s="24"/>
      <c r="DL246" s="24"/>
      <c r="DM246" s="24"/>
      <c r="DN246" s="24"/>
      <c r="DO246" s="24"/>
      <c r="DP246" s="24"/>
      <c r="DQ246" s="24"/>
      <c r="DR246" s="24"/>
      <c r="DS246" s="24"/>
      <c r="DT246" s="24"/>
      <c r="DU246" s="24"/>
    </row>
    <row r="247">
      <c r="B247" s="405">
        <v>28.0</v>
      </c>
      <c r="C247" s="427">
        <v>0.009251295720540084</v>
      </c>
      <c r="D247" s="427">
        <v>0.01353287745692538</v>
      </c>
      <c r="E247" s="427">
        <v>0.009804616181217826</v>
      </c>
      <c r="F247" s="427">
        <v>0.015140970289461616</v>
      </c>
      <c r="G247" s="427">
        <v>0.0061091360366932355</v>
      </c>
      <c r="H247" s="427">
        <v>0.008645877011857038</v>
      </c>
      <c r="I247" s="427">
        <v>0.006020481965927816</v>
      </c>
      <c r="J247" s="427">
        <v>0.011658751485600251</v>
      </c>
      <c r="K247" s="427">
        <v>0.011927284950308887</v>
      </c>
      <c r="L247" s="427">
        <v>0.018373692537193755</v>
      </c>
      <c r="M247" s="427">
        <v>0.035352315467232776</v>
      </c>
      <c r="N247" s="427">
        <v>0.008645010331690035</v>
      </c>
      <c r="O247" s="427">
        <v>0.0076841616657308326</v>
      </c>
      <c r="P247" s="427">
        <v>0.007396555691944156</v>
      </c>
      <c r="Q247" s="427">
        <v>0.008775725381669262</v>
      </c>
      <c r="R247" s="427">
        <v>0.016245451727842294</v>
      </c>
      <c r="S247" s="427">
        <v>0.009137584781493973</v>
      </c>
      <c r="T247" s="427">
        <v>0.0146137462448347</v>
      </c>
      <c r="U247" s="427">
        <v>0.011041329782929479</v>
      </c>
      <c r="V247" s="427">
        <v>0.014731148473342861</v>
      </c>
      <c r="W247" s="427">
        <v>0.010954821235078951</v>
      </c>
      <c r="X247" s="427">
        <v>0.01619432531474621</v>
      </c>
      <c r="Y247" s="427">
        <v>0.019339986095285165</v>
      </c>
      <c r="Z247" s="427">
        <v>0.017233991414898505</v>
      </c>
      <c r="AA247" s="427">
        <v>0.0210222123265049</v>
      </c>
      <c r="AB247" s="427">
        <v>0.015946497241257077</v>
      </c>
      <c r="AC247" s="427">
        <v>0.011219413258373017</v>
      </c>
      <c r="AD247" s="427">
        <v>1.0163168182137234</v>
      </c>
      <c r="BJ247" s="406"/>
      <c r="CO247" s="24"/>
      <c r="CP247" s="24"/>
      <c r="CQ247" s="24"/>
      <c r="CR247" s="24"/>
      <c r="CS247" s="24"/>
      <c r="CT247" s="24"/>
      <c r="CU247" s="24"/>
      <c r="CV247" s="24"/>
      <c r="CW247" s="24"/>
      <c r="CX247" s="24"/>
      <c r="CY247" s="24"/>
      <c r="CZ247" s="24"/>
      <c r="DA247" s="24"/>
      <c r="DB247" s="24"/>
      <c r="DC247" s="24"/>
      <c r="DD247" s="24"/>
      <c r="DE247" s="24"/>
      <c r="DF247" s="24"/>
      <c r="DG247" s="24"/>
      <c r="DH247" s="24"/>
      <c r="DI247" s="24"/>
      <c r="DJ247" s="24"/>
      <c r="DK247" s="24"/>
      <c r="DL247" s="24"/>
      <c r="DM247" s="24"/>
      <c r="DN247" s="24"/>
      <c r="DO247" s="24"/>
      <c r="DP247" s="24"/>
      <c r="DQ247" s="24"/>
      <c r="DR247" s="24"/>
      <c r="DS247" s="24"/>
      <c r="DT247" s="24"/>
      <c r="DU247" s="24"/>
    </row>
    <row r="248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  <c r="AA248" s="24"/>
      <c r="AB248" s="24"/>
      <c r="AC248" s="24"/>
      <c r="AD248" s="24"/>
      <c r="AF248" s="21"/>
      <c r="AG248" s="406"/>
      <c r="AH248" s="406"/>
      <c r="AI248" s="406"/>
      <c r="AJ248" s="406"/>
      <c r="AK248" s="406"/>
      <c r="BJ248" s="406"/>
      <c r="CO248" s="24"/>
      <c r="CP248" s="24"/>
      <c r="CQ248" s="24"/>
      <c r="CR248" s="24"/>
      <c r="CS248" s="24"/>
      <c r="CT248" s="24"/>
      <c r="CU248" s="24"/>
      <c r="CV248" s="24"/>
      <c r="CW248" s="24"/>
      <c r="CX248" s="24"/>
      <c r="CY248" s="24"/>
      <c r="CZ248" s="24"/>
      <c r="DA248" s="24"/>
      <c r="DB248" s="24"/>
      <c r="DC248" s="24"/>
      <c r="DD248" s="24"/>
      <c r="DE248" s="24"/>
      <c r="DF248" s="24"/>
      <c r="DG248" s="24"/>
      <c r="DH248" s="24"/>
      <c r="DI248" s="24"/>
      <c r="DJ248" s="24"/>
      <c r="DK248" s="24"/>
      <c r="DL248" s="24"/>
      <c r="DM248" s="24"/>
      <c r="DN248" s="24"/>
      <c r="DO248" s="24"/>
      <c r="DP248" s="24"/>
      <c r="DQ248" s="24"/>
      <c r="DR248" s="24"/>
      <c r="DS248" s="24"/>
      <c r="DT248" s="24"/>
      <c r="DU248" s="24"/>
    </row>
    <row r="249">
      <c r="B249" s="448" t="s">
        <v>209</v>
      </c>
      <c r="C249" s="449"/>
      <c r="D249" s="449"/>
      <c r="E249" s="449"/>
      <c r="F249" s="449"/>
      <c r="G249" s="449"/>
      <c r="H249" s="449"/>
      <c r="I249" s="449"/>
      <c r="J249" s="449"/>
      <c r="K249" s="449"/>
      <c r="L249" s="449"/>
      <c r="M249" s="449"/>
      <c r="N249" s="449"/>
      <c r="O249" s="449"/>
      <c r="P249" s="449"/>
      <c r="Q249" s="449"/>
      <c r="R249" s="449"/>
      <c r="S249" s="449"/>
      <c r="T249" s="449"/>
      <c r="U249" s="449"/>
      <c r="V249" s="449"/>
      <c r="W249" s="449"/>
      <c r="X249" s="449"/>
      <c r="Y249" s="449"/>
      <c r="Z249" s="449"/>
      <c r="AA249" s="449"/>
      <c r="AB249" s="449"/>
      <c r="AC249" s="449"/>
      <c r="AD249" s="449"/>
      <c r="AF249" s="21"/>
      <c r="AL249" s="24"/>
      <c r="AM249" s="24"/>
      <c r="AN249" s="24"/>
      <c r="AO249" s="24"/>
      <c r="AP249" s="24"/>
      <c r="AQ249" s="24"/>
      <c r="AR249" s="24"/>
      <c r="AS249" s="24"/>
      <c r="AT249" s="24"/>
      <c r="AU249" s="24"/>
      <c r="AV249" s="24"/>
      <c r="AW249" s="24"/>
      <c r="AX249" s="24"/>
      <c r="AY249" s="24"/>
      <c r="AZ249" s="24"/>
      <c r="BA249" s="24"/>
      <c r="BB249" s="24"/>
      <c r="BC249" s="24"/>
      <c r="BD249" s="24"/>
      <c r="BE249" s="24"/>
      <c r="BF249" s="24"/>
      <c r="BG249" s="24"/>
      <c r="BH249" s="24"/>
      <c r="BI249" s="24"/>
      <c r="BJ249" s="406"/>
      <c r="BK249" s="406"/>
      <c r="BL249" s="406"/>
      <c r="BM249" s="406"/>
      <c r="BN249" s="406"/>
      <c r="BO249" s="406"/>
      <c r="BP249" s="406"/>
      <c r="BQ249" s="406"/>
      <c r="BR249" s="406"/>
      <c r="BS249" s="406"/>
      <c r="BT249" s="406"/>
      <c r="BU249" s="406"/>
      <c r="BV249" s="406"/>
      <c r="BW249" s="406"/>
      <c r="BX249" s="406"/>
      <c r="BY249" s="406"/>
      <c r="BZ249" s="406"/>
      <c r="CA249" s="406"/>
      <c r="CB249" s="406"/>
      <c r="CC249" s="406"/>
      <c r="CD249" s="406"/>
      <c r="CE249" s="406"/>
      <c r="CF249" s="406"/>
      <c r="CG249" s="406"/>
      <c r="CH249" s="406"/>
      <c r="CI249" s="406"/>
      <c r="CJ249" s="406"/>
      <c r="CK249" s="406"/>
      <c r="CL249" s="406"/>
      <c r="CM249" s="406"/>
      <c r="CN249" s="406"/>
      <c r="CO249" s="406"/>
      <c r="CP249" s="406"/>
      <c r="CQ249" s="406"/>
      <c r="CR249" s="406"/>
      <c r="CS249" s="406"/>
      <c r="CT249" s="406"/>
      <c r="CU249" s="406"/>
      <c r="CV249" s="406"/>
      <c r="CW249" s="406"/>
      <c r="CX249" s="406"/>
      <c r="CY249" s="406"/>
      <c r="CZ249" s="406"/>
      <c r="DA249" s="406"/>
      <c r="DB249" s="406"/>
      <c r="DC249" s="406"/>
      <c r="DD249" s="406"/>
      <c r="DE249" s="406"/>
      <c r="DF249" s="406"/>
      <c r="DG249" s="406"/>
      <c r="DH249" s="406"/>
      <c r="DI249" s="406"/>
      <c r="DJ249" s="406"/>
      <c r="DK249" s="406"/>
      <c r="DL249" s="406"/>
      <c r="DM249" s="406"/>
      <c r="DN249" s="406"/>
      <c r="DO249" s="406"/>
      <c r="DP249" s="406"/>
      <c r="DQ249" s="406"/>
      <c r="DR249" s="406"/>
      <c r="DS249" s="406"/>
      <c r="DT249" s="406"/>
      <c r="DU249" s="406"/>
    </row>
    <row r="250">
      <c r="B250" s="404"/>
      <c r="C250" s="405">
        <v>1.0</v>
      </c>
      <c r="D250" s="405">
        <v>2.0</v>
      </c>
      <c r="E250" s="405">
        <v>3.0</v>
      </c>
      <c r="F250" s="405">
        <v>4.0</v>
      </c>
      <c r="G250" s="405">
        <v>5.0</v>
      </c>
      <c r="H250" s="405">
        <v>6.0</v>
      </c>
      <c r="I250" s="405">
        <v>7.0</v>
      </c>
      <c r="J250" s="405">
        <v>8.0</v>
      </c>
      <c r="K250" s="405">
        <v>9.0</v>
      </c>
      <c r="L250" s="405">
        <v>10.0</v>
      </c>
      <c r="M250" s="405">
        <v>11.0</v>
      </c>
      <c r="N250" s="405">
        <v>12.0</v>
      </c>
      <c r="O250" s="405">
        <v>13.0</v>
      </c>
      <c r="P250" s="405">
        <v>14.0</v>
      </c>
      <c r="Q250" s="405">
        <v>15.0</v>
      </c>
      <c r="R250" s="405">
        <v>16.0</v>
      </c>
      <c r="S250" s="405">
        <v>17.0</v>
      </c>
      <c r="T250" s="405">
        <v>18.0</v>
      </c>
      <c r="U250" s="405">
        <v>19.0</v>
      </c>
      <c r="V250" s="405">
        <v>20.0</v>
      </c>
      <c r="W250" s="405">
        <v>21.0</v>
      </c>
      <c r="X250" s="405">
        <v>22.0</v>
      </c>
      <c r="Y250" s="405">
        <v>23.0</v>
      </c>
      <c r="Z250" s="405">
        <v>24.0</v>
      </c>
      <c r="AA250" s="405">
        <v>25.0</v>
      </c>
      <c r="AB250" s="405">
        <v>26.0</v>
      </c>
      <c r="AC250" s="405">
        <v>27.0</v>
      </c>
      <c r="AD250" s="405">
        <v>28.0</v>
      </c>
      <c r="BJ250" s="406"/>
      <c r="BK250" s="406"/>
      <c r="BL250" s="406"/>
      <c r="BM250" s="406"/>
      <c r="BN250" s="406"/>
      <c r="BO250" s="406"/>
      <c r="BP250" s="406"/>
      <c r="BQ250" s="406"/>
      <c r="BR250" s="406"/>
      <c r="BS250" s="406"/>
      <c r="BT250" s="406"/>
      <c r="BU250" s="406"/>
      <c r="BV250" s="406"/>
      <c r="BW250" s="406"/>
      <c r="BX250" s="406"/>
      <c r="BY250" s="406"/>
      <c r="BZ250" s="406"/>
      <c r="CA250" s="406"/>
      <c r="CB250" s="406"/>
      <c r="CC250" s="406"/>
      <c r="CD250" s="406"/>
      <c r="CE250" s="406"/>
      <c r="CF250" s="406"/>
      <c r="CG250" s="406"/>
      <c r="CH250" s="406"/>
      <c r="CI250" s="406"/>
      <c r="CJ250" s="406"/>
      <c r="CK250" s="406"/>
      <c r="CL250" s="406"/>
      <c r="CM250" s="406"/>
      <c r="CN250" s="406"/>
      <c r="CO250" s="406"/>
      <c r="CP250" s="406"/>
      <c r="CQ250" s="406"/>
      <c r="CR250" s="406"/>
      <c r="CS250" s="406"/>
      <c r="CT250" s="406"/>
      <c r="CU250" s="406"/>
      <c r="CV250" s="406"/>
      <c r="CW250" s="406"/>
      <c r="CX250" s="406"/>
      <c r="CY250" s="406"/>
      <c r="CZ250" s="406"/>
      <c r="DA250" s="406"/>
      <c r="DB250" s="406"/>
      <c r="DC250" s="406"/>
      <c r="DD250" s="406"/>
      <c r="DE250" s="406"/>
      <c r="DF250" s="406"/>
      <c r="DG250" s="406"/>
      <c r="DH250" s="406"/>
      <c r="DI250" s="406"/>
      <c r="DJ250" s="406"/>
      <c r="DK250" s="406"/>
      <c r="DL250" s="406"/>
      <c r="DM250" s="406"/>
      <c r="DN250" s="406"/>
      <c r="DO250" s="406"/>
      <c r="DP250" s="406"/>
      <c r="DQ250" s="406"/>
      <c r="DR250" s="406"/>
      <c r="DS250" s="406"/>
      <c r="DT250" s="406"/>
      <c r="DU250" s="406"/>
    </row>
    <row r="251">
      <c r="B251" s="405">
        <v>1.0</v>
      </c>
      <c r="C251" s="450">
        <f>$AS$61</f>
        <v>478.9328346</v>
      </c>
      <c r="D251" s="450">
        <v>0.0</v>
      </c>
      <c r="E251" s="450">
        <v>0.0</v>
      </c>
      <c r="F251" s="450">
        <v>0.0</v>
      </c>
      <c r="G251" s="450">
        <v>0.0</v>
      </c>
      <c r="H251" s="450">
        <v>0.0</v>
      </c>
      <c r="I251" s="450">
        <v>0.0</v>
      </c>
      <c r="J251" s="450">
        <v>0.0</v>
      </c>
      <c r="K251" s="450">
        <v>0.0</v>
      </c>
      <c r="L251" s="450">
        <v>0.0</v>
      </c>
      <c r="M251" s="450">
        <v>0.0</v>
      </c>
      <c r="N251" s="450">
        <v>0.0</v>
      </c>
      <c r="O251" s="450">
        <v>0.0</v>
      </c>
      <c r="P251" s="450">
        <v>0.0</v>
      </c>
      <c r="Q251" s="450">
        <v>0.0</v>
      </c>
      <c r="R251" s="450">
        <v>0.0</v>
      </c>
      <c r="S251" s="450">
        <v>0.0</v>
      </c>
      <c r="T251" s="450">
        <v>0.0</v>
      </c>
      <c r="U251" s="450">
        <v>0.0</v>
      </c>
      <c r="V251" s="450">
        <v>0.0</v>
      </c>
      <c r="W251" s="450">
        <v>0.0</v>
      </c>
      <c r="X251" s="450">
        <v>0.0</v>
      </c>
      <c r="Y251" s="450">
        <v>0.0</v>
      </c>
      <c r="Z251" s="450">
        <v>0.0</v>
      </c>
      <c r="AA251" s="450">
        <v>0.0</v>
      </c>
      <c r="AB251" s="450">
        <v>0.0</v>
      </c>
      <c r="AC251" s="450">
        <v>0.0</v>
      </c>
      <c r="AD251" s="450">
        <v>0.0</v>
      </c>
      <c r="BJ251" s="406"/>
      <c r="BK251" s="406"/>
      <c r="BL251" s="406"/>
      <c r="BM251" s="406"/>
      <c r="BN251" s="406"/>
      <c r="BO251" s="406"/>
      <c r="BP251" s="406"/>
      <c r="BQ251" s="406"/>
      <c r="BR251" s="406"/>
      <c r="BS251" s="406"/>
      <c r="BT251" s="406"/>
      <c r="BU251" s="406"/>
      <c r="BV251" s="406"/>
      <c r="BW251" s="406"/>
      <c r="BX251" s="406"/>
      <c r="BY251" s="406"/>
      <c r="BZ251" s="406"/>
      <c r="CA251" s="406"/>
      <c r="CB251" s="406"/>
      <c r="CC251" s="406"/>
      <c r="CD251" s="406"/>
      <c r="CE251" s="406"/>
      <c r="CF251" s="406"/>
      <c r="CG251" s="406"/>
      <c r="CH251" s="406"/>
      <c r="CI251" s="406"/>
      <c r="CJ251" s="406"/>
      <c r="CK251" s="406"/>
      <c r="CL251" s="406"/>
      <c r="CM251" s="406"/>
      <c r="CN251" s="406"/>
      <c r="CO251" s="406"/>
      <c r="CP251" s="406"/>
      <c r="CQ251" s="406"/>
      <c r="CR251" s="406"/>
      <c r="CS251" s="406"/>
      <c r="CT251" s="406"/>
      <c r="CU251" s="406"/>
      <c r="CV251" s="406"/>
      <c r="CW251" s="406"/>
      <c r="CX251" s="406"/>
      <c r="CY251" s="406"/>
      <c r="CZ251" s="406"/>
      <c r="DA251" s="406"/>
      <c r="DB251" s="406"/>
      <c r="DC251" s="406"/>
      <c r="DD251" s="406"/>
      <c r="DE251" s="406"/>
      <c r="DF251" s="406"/>
      <c r="DG251" s="406"/>
      <c r="DH251" s="406"/>
      <c r="DI251" s="406"/>
      <c r="DJ251" s="406"/>
      <c r="DK251" s="406"/>
      <c r="DL251" s="406"/>
      <c r="DM251" s="406"/>
      <c r="DN251" s="406"/>
      <c r="DO251" s="406"/>
      <c r="DP251" s="406"/>
      <c r="DQ251" s="406"/>
      <c r="DR251" s="406"/>
      <c r="DS251" s="406"/>
      <c r="DT251" s="406"/>
      <c r="DU251" s="406"/>
    </row>
    <row r="252">
      <c r="B252" s="405">
        <v>2.0</v>
      </c>
      <c r="C252" s="450">
        <v>0.0</v>
      </c>
      <c r="D252" s="450">
        <f>$AS$62</f>
        <v>891.7136202</v>
      </c>
      <c r="E252" s="450">
        <v>0.0</v>
      </c>
      <c r="F252" s="450">
        <v>0.0</v>
      </c>
      <c r="G252" s="450">
        <v>0.0</v>
      </c>
      <c r="H252" s="450">
        <v>0.0</v>
      </c>
      <c r="I252" s="450">
        <v>0.0</v>
      </c>
      <c r="J252" s="450">
        <v>0.0</v>
      </c>
      <c r="K252" s="450">
        <v>0.0</v>
      </c>
      <c r="L252" s="450">
        <v>0.0</v>
      </c>
      <c r="M252" s="450">
        <v>0.0</v>
      </c>
      <c r="N252" s="450">
        <v>0.0</v>
      </c>
      <c r="O252" s="450">
        <v>0.0</v>
      </c>
      <c r="P252" s="450">
        <v>0.0</v>
      </c>
      <c r="Q252" s="450">
        <v>0.0</v>
      </c>
      <c r="R252" s="450">
        <v>0.0</v>
      </c>
      <c r="S252" s="450">
        <v>0.0</v>
      </c>
      <c r="T252" s="450">
        <v>0.0</v>
      </c>
      <c r="U252" s="450">
        <v>0.0</v>
      </c>
      <c r="V252" s="450">
        <v>0.0</v>
      </c>
      <c r="W252" s="450">
        <v>0.0</v>
      </c>
      <c r="X252" s="450">
        <v>0.0</v>
      </c>
      <c r="Y252" s="450">
        <v>0.0</v>
      </c>
      <c r="Z252" s="450">
        <v>0.0</v>
      </c>
      <c r="AA252" s="450">
        <v>0.0</v>
      </c>
      <c r="AB252" s="450">
        <v>0.0</v>
      </c>
      <c r="AC252" s="450">
        <v>0.0</v>
      </c>
      <c r="AD252" s="450">
        <v>0.0</v>
      </c>
      <c r="BJ252" s="406"/>
      <c r="BK252" s="406"/>
      <c r="BL252" s="406"/>
      <c r="BM252" s="406"/>
      <c r="BN252" s="406"/>
      <c r="BO252" s="406"/>
      <c r="BP252" s="406"/>
      <c r="BQ252" s="406"/>
      <c r="BR252" s="406"/>
      <c r="BS252" s="406"/>
      <c r="BT252" s="406"/>
      <c r="BU252" s="406"/>
      <c r="BV252" s="406"/>
      <c r="BW252" s="406"/>
      <c r="BX252" s="406"/>
      <c r="BY252" s="406"/>
      <c r="BZ252" s="406"/>
      <c r="CA252" s="406"/>
      <c r="CB252" s="406"/>
      <c r="CC252" s="406"/>
      <c r="CD252" s="406"/>
      <c r="CE252" s="406"/>
      <c r="CF252" s="406"/>
      <c r="CG252" s="406"/>
      <c r="CH252" s="406"/>
      <c r="CI252" s="406"/>
      <c r="CJ252" s="406"/>
      <c r="CK252" s="406"/>
      <c r="CL252" s="406"/>
      <c r="CM252" s="406"/>
      <c r="CN252" s="406"/>
      <c r="CO252" s="406"/>
      <c r="CP252" s="406"/>
      <c r="CQ252" s="406"/>
      <c r="CR252" s="406"/>
      <c r="CS252" s="406"/>
      <c r="CT252" s="406"/>
      <c r="CU252" s="406"/>
      <c r="CV252" s="406"/>
      <c r="CW252" s="406"/>
      <c r="CX252" s="406"/>
      <c r="CY252" s="406"/>
      <c r="CZ252" s="406"/>
      <c r="DA252" s="406"/>
      <c r="DB252" s="406"/>
      <c r="DC252" s="406"/>
      <c r="DD252" s="406"/>
      <c r="DE252" s="406"/>
      <c r="DF252" s="406"/>
      <c r="DG252" s="406"/>
      <c r="DH252" s="406"/>
      <c r="DI252" s="406"/>
      <c r="DJ252" s="406"/>
      <c r="DK252" s="406"/>
      <c r="DL252" s="406"/>
      <c r="DM252" s="406"/>
      <c r="DN252" s="406"/>
      <c r="DO252" s="406"/>
      <c r="DP252" s="406"/>
      <c r="DQ252" s="406"/>
      <c r="DR252" s="406"/>
      <c r="DS252" s="406"/>
      <c r="DT252" s="406"/>
      <c r="DU252" s="406"/>
    </row>
    <row r="253">
      <c r="B253" s="405">
        <v>3.0</v>
      </c>
      <c r="C253" s="450">
        <v>0.0</v>
      </c>
      <c r="D253" s="450">
        <v>0.0</v>
      </c>
      <c r="E253" s="450">
        <f>$AS$63</f>
        <v>2057.121514</v>
      </c>
      <c r="F253" s="450">
        <v>0.0</v>
      </c>
      <c r="G253" s="450">
        <v>0.0</v>
      </c>
      <c r="H253" s="450">
        <v>0.0</v>
      </c>
      <c r="I253" s="450">
        <v>0.0</v>
      </c>
      <c r="J253" s="450">
        <v>0.0</v>
      </c>
      <c r="K253" s="450">
        <v>0.0</v>
      </c>
      <c r="L253" s="450">
        <v>0.0</v>
      </c>
      <c r="M253" s="450">
        <v>0.0</v>
      </c>
      <c r="N253" s="450">
        <v>0.0</v>
      </c>
      <c r="O253" s="450">
        <v>0.0</v>
      </c>
      <c r="P253" s="450">
        <v>0.0</v>
      </c>
      <c r="Q253" s="450">
        <v>0.0</v>
      </c>
      <c r="R253" s="450">
        <v>0.0</v>
      </c>
      <c r="S253" s="450">
        <v>0.0</v>
      </c>
      <c r="T253" s="450">
        <v>0.0</v>
      </c>
      <c r="U253" s="450">
        <v>0.0</v>
      </c>
      <c r="V253" s="450">
        <v>0.0</v>
      </c>
      <c r="W253" s="450">
        <v>0.0</v>
      </c>
      <c r="X253" s="450">
        <v>0.0</v>
      </c>
      <c r="Y253" s="450">
        <v>0.0</v>
      </c>
      <c r="Z253" s="450">
        <v>0.0</v>
      </c>
      <c r="AA253" s="450">
        <v>0.0</v>
      </c>
      <c r="AB253" s="450">
        <v>0.0</v>
      </c>
      <c r="AC253" s="450">
        <v>0.0</v>
      </c>
      <c r="AD253" s="450">
        <v>0.0</v>
      </c>
      <c r="BJ253" s="406"/>
      <c r="BK253" s="406"/>
      <c r="BL253" s="406"/>
      <c r="BM253" s="406"/>
      <c r="BN253" s="406"/>
      <c r="BO253" s="406"/>
      <c r="BP253" s="406"/>
      <c r="BQ253" s="406"/>
      <c r="BR253" s="406"/>
      <c r="BS253" s="406"/>
      <c r="BT253" s="406"/>
      <c r="BU253" s="406"/>
      <c r="BV253" s="406"/>
      <c r="BW253" s="406"/>
      <c r="BX253" s="406"/>
      <c r="BY253" s="406"/>
      <c r="BZ253" s="406"/>
      <c r="CA253" s="406"/>
      <c r="CB253" s="406"/>
      <c r="CC253" s="406"/>
      <c r="CD253" s="406"/>
      <c r="CE253" s="406"/>
      <c r="CF253" s="406"/>
      <c r="CG253" s="406"/>
      <c r="CH253" s="406"/>
      <c r="CI253" s="406"/>
      <c r="CJ253" s="406"/>
      <c r="CK253" s="406"/>
      <c r="CL253" s="406"/>
      <c r="CM253" s="406"/>
      <c r="CN253" s="406"/>
      <c r="CO253" s="406"/>
      <c r="CP253" s="406"/>
      <c r="CQ253" s="406"/>
      <c r="CR253" s="406"/>
      <c r="CS253" s="406"/>
      <c r="CT253" s="406"/>
      <c r="CU253" s="406"/>
      <c r="CV253" s="406"/>
      <c r="CW253" s="406"/>
      <c r="CX253" s="406"/>
      <c r="CY253" s="406"/>
      <c r="CZ253" s="406"/>
      <c r="DA253" s="406"/>
      <c r="DB253" s="406"/>
      <c r="DC253" s="406"/>
      <c r="DD253" s="406"/>
      <c r="DE253" s="406"/>
      <c r="DF253" s="406"/>
      <c r="DG253" s="406"/>
      <c r="DH253" s="406"/>
      <c r="DI253" s="406"/>
      <c r="DJ253" s="406"/>
      <c r="DK253" s="406"/>
      <c r="DL253" s="406"/>
      <c r="DM253" s="406"/>
      <c r="DN253" s="406"/>
      <c r="DO253" s="406"/>
      <c r="DP253" s="406"/>
      <c r="DQ253" s="406"/>
      <c r="DR253" s="406"/>
      <c r="DS253" s="406"/>
      <c r="DT253" s="406"/>
      <c r="DU253" s="406"/>
    </row>
    <row r="254">
      <c r="B254" s="405">
        <v>4.0</v>
      </c>
      <c r="C254" s="450">
        <v>0.0</v>
      </c>
      <c r="D254" s="450">
        <v>0.0</v>
      </c>
      <c r="E254" s="450">
        <v>0.0</v>
      </c>
      <c r="F254" s="450">
        <f>$AS$64</f>
        <v>1684.995908</v>
      </c>
      <c r="G254" s="450">
        <v>0.0</v>
      </c>
      <c r="H254" s="450">
        <v>0.0</v>
      </c>
      <c r="I254" s="450">
        <v>0.0</v>
      </c>
      <c r="J254" s="450">
        <v>0.0</v>
      </c>
      <c r="K254" s="450">
        <v>0.0</v>
      </c>
      <c r="L254" s="450">
        <v>0.0</v>
      </c>
      <c r="M254" s="450">
        <v>0.0</v>
      </c>
      <c r="N254" s="450">
        <v>0.0</v>
      </c>
      <c r="O254" s="450">
        <v>0.0</v>
      </c>
      <c r="P254" s="450">
        <v>0.0</v>
      </c>
      <c r="Q254" s="450">
        <v>0.0</v>
      </c>
      <c r="R254" s="450">
        <v>0.0</v>
      </c>
      <c r="S254" s="450">
        <v>0.0</v>
      </c>
      <c r="T254" s="450">
        <v>0.0</v>
      </c>
      <c r="U254" s="450">
        <v>0.0</v>
      </c>
      <c r="V254" s="450">
        <v>0.0</v>
      </c>
      <c r="W254" s="450">
        <v>0.0</v>
      </c>
      <c r="X254" s="450">
        <v>0.0</v>
      </c>
      <c r="Y254" s="450">
        <v>0.0</v>
      </c>
      <c r="Z254" s="450">
        <v>0.0</v>
      </c>
      <c r="AA254" s="450">
        <v>0.0</v>
      </c>
      <c r="AB254" s="450">
        <v>0.0</v>
      </c>
      <c r="AC254" s="450">
        <v>0.0</v>
      </c>
      <c r="AD254" s="450">
        <v>0.0</v>
      </c>
      <c r="BJ254" s="406"/>
      <c r="BK254" s="406"/>
      <c r="BL254" s="406"/>
      <c r="BM254" s="406"/>
      <c r="BN254" s="406"/>
      <c r="BO254" s="406"/>
      <c r="BP254" s="406"/>
      <c r="BQ254" s="406"/>
      <c r="BR254" s="406"/>
      <c r="BS254" s="406"/>
      <c r="BT254" s="406"/>
      <c r="BU254" s="406"/>
      <c r="BV254" s="406"/>
      <c r="BW254" s="406"/>
      <c r="BX254" s="406"/>
      <c r="BY254" s="406"/>
      <c r="BZ254" s="406"/>
      <c r="CA254" s="406"/>
      <c r="CB254" s="406"/>
      <c r="CC254" s="406"/>
      <c r="CD254" s="406"/>
      <c r="CE254" s="406"/>
      <c r="CF254" s="406"/>
      <c r="CG254" s="406"/>
      <c r="CH254" s="406"/>
      <c r="CI254" s="406"/>
      <c r="CJ254" s="406"/>
      <c r="CK254" s="406"/>
      <c r="CL254" s="406"/>
      <c r="CM254" s="406"/>
      <c r="CN254" s="406"/>
      <c r="CO254" s="406"/>
      <c r="CP254" s="406"/>
      <c r="CQ254" s="406"/>
      <c r="CR254" s="406"/>
      <c r="CS254" s="406"/>
      <c r="CT254" s="406"/>
      <c r="CU254" s="406"/>
      <c r="CV254" s="406"/>
      <c r="CW254" s="406"/>
      <c r="CX254" s="406"/>
      <c r="CY254" s="406"/>
      <c r="CZ254" s="406"/>
      <c r="DA254" s="406"/>
      <c r="DB254" s="406"/>
      <c r="DC254" s="406"/>
      <c r="DD254" s="406"/>
      <c r="DE254" s="406"/>
      <c r="DF254" s="406"/>
      <c r="DG254" s="406"/>
      <c r="DH254" s="406"/>
      <c r="DI254" s="406"/>
      <c r="DJ254" s="406"/>
      <c r="DK254" s="406"/>
      <c r="DL254" s="406"/>
      <c r="DM254" s="406"/>
      <c r="DN254" s="406"/>
      <c r="DO254" s="406"/>
      <c r="DP254" s="406"/>
      <c r="DQ254" s="406"/>
      <c r="DR254" s="406"/>
      <c r="DS254" s="406"/>
      <c r="DT254" s="406"/>
      <c r="DU254" s="406"/>
    </row>
    <row r="255">
      <c r="B255" s="405">
        <v>5.0</v>
      </c>
      <c r="C255" s="450">
        <v>0.0</v>
      </c>
      <c r="D255" s="450">
        <v>0.0</v>
      </c>
      <c r="E255" s="450">
        <v>0.0</v>
      </c>
      <c r="F255" s="450">
        <v>0.0</v>
      </c>
      <c r="G255" s="450">
        <f>$AS$65</f>
        <v>5523.725395</v>
      </c>
      <c r="H255" s="450">
        <v>0.0</v>
      </c>
      <c r="I255" s="450">
        <v>0.0</v>
      </c>
      <c r="J255" s="450">
        <v>0.0</v>
      </c>
      <c r="K255" s="450">
        <v>0.0</v>
      </c>
      <c r="L255" s="450">
        <v>0.0</v>
      </c>
      <c r="M255" s="450">
        <v>0.0</v>
      </c>
      <c r="N255" s="450">
        <v>0.0</v>
      </c>
      <c r="O255" s="450">
        <v>0.0</v>
      </c>
      <c r="P255" s="450">
        <v>0.0</v>
      </c>
      <c r="Q255" s="450">
        <v>0.0</v>
      </c>
      <c r="R255" s="450">
        <v>0.0</v>
      </c>
      <c r="S255" s="450">
        <v>0.0</v>
      </c>
      <c r="T255" s="450">
        <v>0.0</v>
      </c>
      <c r="U255" s="450">
        <v>0.0</v>
      </c>
      <c r="V255" s="450">
        <v>0.0</v>
      </c>
      <c r="W255" s="450">
        <v>0.0</v>
      </c>
      <c r="X255" s="450">
        <v>0.0</v>
      </c>
      <c r="Y255" s="450">
        <v>0.0</v>
      </c>
      <c r="Z255" s="450">
        <v>0.0</v>
      </c>
      <c r="AA255" s="450">
        <v>0.0</v>
      </c>
      <c r="AB255" s="450">
        <v>0.0</v>
      </c>
      <c r="AC255" s="450">
        <v>0.0</v>
      </c>
      <c r="AD255" s="450">
        <v>0.0</v>
      </c>
      <c r="BJ255" s="406"/>
      <c r="BK255" s="406"/>
      <c r="BL255" s="406"/>
      <c r="BM255" s="406"/>
      <c r="BN255" s="406"/>
      <c r="BO255" s="406"/>
      <c r="BP255" s="406"/>
      <c r="BQ255" s="406"/>
      <c r="BR255" s="406"/>
      <c r="BS255" s="406"/>
      <c r="BT255" s="406"/>
      <c r="BU255" s="406"/>
      <c r="BV255" s="406"/>
      <c r="BW255" s="406"/>
      <c r="BX255" s="406"/>
      <c r="BY255" s="406"/>
      <c r="BZ255" s="406"/>
      <c r="CA255" s="406"/>
      <c r="CB255" s="406"/>
      <c r="CC255" s="406"/>
      <c r="CD255" s="406"/>
      <c r="CE255" s="406"/>
      <c r="CF255" s="406"/>
      <c r="CG255" s="406"/>
      <c r="CH255" s="406"/>
      <c r="CI255" s="406"/>
      <c r="CJ255" s="406"/>
      <c r="CK255" s="406"/>
      <c r="CL255" s="406"/>
      <c r="CM255" s="406"/>
      <c r="CN255" s="406"/>
      <c r="CO255" s="406"/>
      <c r="CP255" s="406"/>
      <c r="CQ255" s="406"/>
      <c r="CR255" s="406"/>
      <c r="CS255" s="406"/>
      <c r="CT255" s="406"/>
      <c r="CU255" s="406"/>
      <c r="CV255" s="406"/>
      <c r="CW255" s="406"/>
      <c r="CX255" s="406"/>
      <c r="CY255" s="406"/>
      <c r="CZ255" s="406"/>
      <c r="DA255" s="406"/>
      <c r="DB255" s="406"/>
      <c r="DC255" s="406"/>
      <c r="DD255" s="406"/>
      <c r="DE255" s="406"/>
      <c r="DF255" s="406"/>
      <c r="DG255" s="406"/>
      <c r="DH255" s="406"/>
      <c r="DI255" s="406"/>
      <c r="DJ255" s="406"/>
      <c r="DK255" s="406"/>
      <c r="DL255" s="406"/>
      <c r="DM255" s="406"/>
      <c r="DN255" s="406"/>
      <c r="DO255" s="406"/>
      <c r="DP255" s="406"/>
      <c r="DQ255" s="406"/>
      <c r="DR255" s="406"/>
      <c r="DS255" s="406"/>
      <c r="DT255" s="406"/>
      <c r="DU255" s="406"/>
    </row>
    <row r="256">
      <c r="B256" s="405">
        <v>6.0</v>
      </c>
      <c r="C256" s="450">
        <v>0.0</v>
      </c>
      <c r="D256" s="450">
        <v>0.0</v>
      </c>
      <c r="E256" s="450">
        <v>0.0</v>
      </c>
      <c r="F256" s="450">
        <v>0.0</v>
      </c>
      <c r="G256" s="450">
        <v>0.0</v>
      </c>
      <c r="H256" s="450">
        <f>$AS$66</f>
        <v>61.83865261</v>
      </c>
      <c r="I256" s="450">
        <v>0.0</v>
      </c>
      <c r="J256" s="450">
        <v>0.0</v>
      </c>
      <c r="K256" s="450">
        <v>0.0</v>
      </c>
      <c r="L256" s="450">
        <v>0.0</v>
      </c>
      <c r="M256" s="450">
        <v>0.0</v>
      </c>
      <c r="N256" s="450">
        <v>0.0</v>
      </c>
      <c r="O256" s="450">
        <v>0.0</v>
      </c>
      <c r="P256" s="450">
        <v>0.0</v>
      </c>
      <c r="Q256" s="450">
        <v>0.0</v>
      </c>
      <c r="R256" s="450">
        <v>0.0</v>
      </c>
      <c r="S256" s="450">
        <v>0.0</v>
      </c>
      <c r="T256" s="450">
        <v>0.0</v>
      </c>
      <c r="U256" s="450">
        <v>0.0</v>
      </c>
      <c r="V256" s="450">
        <v>0.0</v>
      </c>
      <c r="W256" s="450">
        <v>0.0</v>
      </c>
      <c r="X256" s="450">
        <v>0.0</v>
      </c>
      <c r="Y256" s="450">
        <v>0.0</v>
      </c>
      <c r="Z256" s="450">
        <v>0.0</v>
      </c>
      <c r="AA256" s="450">
        <v>0.0</v>
      </c>
      <c r="AB256" s="450">
        <v>0.0</v>
      </c>
      <c r="AC256" s="450">
        <v>0.0</v>
      </c>
      <c r="AD256" s="450">
        <v>0.0</v>
      </c>
      <c r="BJ256" s="406"/>
      <c r="BK256" s="406"/>
      <c r="BL256" s="406"/>
      <c r="BM256" s="406"/>
      <c r="BN256" s="406"/>
      <c r="BO256" s="406"/>
      <c r="BP256" s="406"/>
      <c r="BQ256" s="406"/>
      <c r="BR256" s="406"/>
      <c r="BS256" s="406"/>
      <c r="BT256" s="406"/>
      <c r="BU256" s="406"/>
      <c r="BV256" s="406"/>
      <c r="BW256" s="406"/>
      <c r="BX256" s="406"/>
      <c r="BY256" s="406"/>
      <c r="BZ256" s="406"/>
      <c r="CA256" s="406"/>
      <c r="CB256" s="406"/>
      <c r="CC256" s="406"/>
      <c r="CD256" s="406"/>
      <c r="CE256" s="406"/>
      <c r="CF256" s="406"/>
      <c r="CG256" s="406"/>
      <c r="CH256" s="406"/>
      <c r="CI256" s="406"/>
      <c r="CJ256" s="406"/>
      <c r="CK256" s="406"/>
      <c r="CL256" s="406"/>
      <c r="CM256" s="406"/>
      <c r="CN256" s="406"/>
      <c r="CO256" s="406"/>
      <c r="CP256" s="406"/>
      <c r="CQ256" s="406"/>
      <c r="CR256" s="406"/>
      <c r="CS256" s="406"/>
      <c r="CT256" s="406"/>
      <c r="CU256" s="406"/>
      <c r="CV256" s="406"/>
      <c r="CW256" s="406"/>
      <c r="CX256" s="406"/>
      <c r="CY256" s="406"/>
      <c r="CZ256" s="406"/>
      <c r="DA256" s="406"/>
      <c r="DB256" s="406"/>
      <c r="DC256" s="406"/>
      <c r="DD256" s="406"/>
      <c r="DE256" s="406"/>
      <c r="DF256" s="406"/>
      <c r="DG256" s="406"/>
      <c r="DH256" s="406"/>
      <c r="DI256" s="406"/>
      <c r="DJ256" s="406"/>
      <c r="DK256" s="406"/>
      <c r="DL256" s="406"/>
      <c r="DM256" s="406"/>
      <c r="DN256" s="406"/>
      <c r="DO256" s="406"/>
      <c r="DP256" s="406"/>
      <c r="DQ256" s="406"/>
      <c r="DR256" s="406"/>
      <c r="DS256" s="406"/>
      <c r="DT256" s="406"/>
      <c r="DU256" s="406"/>
    </row>
    <row r="257">
      <c r="B257" s="405">
        <v>7.0</v>
      </c>
      <c r="C257" s="450">
        <v>0.0</v>
      </c>
      <c r="D257" s="450">
        <v>0.0</v>
      </c>
      <c r="E257" s="450">
        <v>0.0</v>
      </c>
      <c r="F257" s="450">
        <v>0.0</v>
      </c>
      <c r="G257" s="450">
        <v>0.0</v>
      </c>
      <c r="H257" s="450">
        <v>0.0</v>
      </c>
      <c r="I257" s="450">
        <f>$AS$67</f>
        <v>935.6026027</v>
      </c>
      <c r="J257" s="450">
        <v>0.0</v>
      </c>
      <c r="K257" s="450">
        <v>0.0</v>
      </c>
      <c r="L257" s="450">
        <v>0.0</v>
      </c>
      <c r="M257" s="450">
        <v>0.0</v>
      </c>
      <c r="N257" s="450">
        <v>0.0</v>
      </c>
      <c r="O257" s="450">
        <v>0.0</v>
      </c>
      <c r="P257" s="450">
        <v>0.0</v>
      </c>
      <c r="Q257" s="450">
        <v>0.0</v>
      </c>
      <c r="R257" s="450">
        <v>0.0</v>
      </c>
      <c r="S257" s="450">
        <v>0.0</v>
      </c>
      <c r="T257" s="450">
        <v>0.0</v>
      </c>
      <c r="U257" s="450">
        <v>0.0</v>
      </c>
      <c r="V257" s="450">
        <v>0.0</v>
      </c>
      <c r="W257" s="450">
        <v>0.0</v>
      </c>
      <c r="X257" s="450">
        <v>0.0</v>
      </c>
      <c r="Y257" s="450">
        <v>0.0</v>
      </c>
      <c r="Z257" s="450">
        <v>0.0</v>
      </c>
      <c r="AA257" s="450">
        <v>0.0</v>
      </c>
      <c r="AB257" s="450">
        <v>0.0</v>
      </c>
      <c r="AC257" s="450">
        <v>0.0</v>
      </c>
      <c r="AD257" s="450">
        <v>0.0</v>
      </c>
      <c r="BJ257" s="406"/>
      <c r="BK257" s="406"/>
      <c r="BL257" s="406"/>
      <c r="BM257" s="406"/>
      <c r="BN257" s="406"/>
      <c r="BO257" s="406"/>
      <c r="BP257" s="406"/>
      <c r="BQ257" s="406"/>
      <c r="BR257" s="406"/>
      <c r="BS257" s="406"/>
      <c r="BT257" s="406"/>
      <c r="BU257" s="406"/>
      <c r="BV257" s="406"/>
      <c r="BW257" s="406"/>
      <c r="BX257" s="406"/>
      <c r="BY257" s="406"/>
      <c r="BZ257" s="406"/>
      <c r="CA257" s="406"/>
      <c r="CB257" s="406"/>
      <c r="CC257" s="406"/>
      <c r="CD257" s="406"/>
      <c r="CE257" s="406"/>
      <c r="CF257" s="406"/>
      <c r="CG257" s="406"/>
      <c r="CH257" s="406"/>
      <c r="CI257" s="406"/>
      <c r="CJ257" s="406"/>
      <c r="CK257" s="406"/>
      <c r="CL257" s="406"/>
      <c r="CM257" s="406"/>
      <c r="CN257" s="406"/>
      <c r="CO257" s="406"/>
      <c r="CP257" s="406"/>
      <c r="CQ257" s="406"/>
      <c r="CR257" s="406"/>
      <c r="CS257" s="406"/>
      <c r="CT257" s="406"/>
      <c r="CU257" s="406"/>
      <c r="CV257" s="406"/>
      <c r="CW257" s="406"/>
      <c r="CX257" s="406"/>
      <c r="CY257" s="406"/>
      <c r="CZ257" s="406"/>
      <c r="DA257" s="406"/>
      <c r="DB257" s="406"/>
      <c r="DC257" s="406"/>
      <c r="DD257" s="406"/>
      <c r="DE257" s="406"/>
      <c r="DF257" s="406"/>
      <c r="DG257" s="406"/>
      <c r="DH257" s="406"/>
      <c r="DI257" s="406"/>
      <c r="DJ257" s="406"/>
      <c r="DK257" s="406"/>
      <c r="DL257" s="406"/>
      <c r="DM257" s="406"/>
      <c r="DN257" s="406"/>
      <c r="DO257" s="406"/>
      <c r="DP257" s="406"/>
      <c r="DQ257" s="406"/>
      <c r="DR257" s="406"/>
      <c r="DS257" s="406"/>
      <c r="DT257" s="406"/>
      <c r="DU257" s="406"/>
    </row>
    <row r="258">
      <c r="B258" s="405">
        <v>8.0</v>
      </c>
      <c r="C258" s="450">
        <v>0.0</v>
      </c>
      <c r="D258" s="450">
        <v>0.0</v>
      </c>
      <c r="E258" s="450">
        <v>0.0</v>
      </c>
      <c r="F258" s="450">
        <v>0.0</v>
      </c>
      <c r="G258" s="450">
        <v>0.0</v>
      </c>
      <c r="H258" s="450">
        <v>0.0</v>
      </c>
      <c r="I258" s="450">
        <v>0.0</v>
      </c>
      <c r="J258" s="450">
        <f>$AS$68</f>
        <v>66417.07785</v>
      </c>
      <c r="K258" s="450">
        <v>0.0</v>
      </c>
      <c r="L258" s="450">
        <v>0.0</v>
      </c>
      <c r="M258" s="450">
        <v>0.0</v>
      </c>
      <c r="N258" s="450">
        <v>0.0</v>
      </c>
      <c r="O258" s="450">
        <v>0.0</v>
      </c>
      <c r="P258" s="450">
        <v>0.0</v>
      </c>
      <c r="Q258" s="450">
        <v>0.0</v>
      </c>
      <c r="R258" s="450">
        <v>0.0</v>
      </c>
      <c r="S258" s="450">
        <v>0.0</v>
      </c>
      <c r="T258" s="450">
        <v>0.0</v>
      </c>
      <c r="U258" s="450">
        <v>0.0</v>
      </c>
      <c r="V258" s="450">
        <v>0.0</v>
      </c>
      <c r="W258" s="450">
        <v>0.0</v>
      </c>
      <c r="X258" s="450">
        <v>0.0</v>
      </c>
      <c r="Y258" s="450">
        <v>0.0</v>
      </c>
      <c r="Z258" s="450">
        <v>0.0</v>
      </c>
      <c r="AA258" s="450">
        <v>0.0</v>
      </c>
      <c r="AB258" s="450">
        <v>0.0</v>
      </c>
      <c r="AC258" s="450">
        <v>0.0</v>
      </c>
      <c r="AD258" s="450">
        <v>0.0</v>
      </c>
      <c r="BJ258" s="406"/>
      <c r="BK258" s="406"/>
      <c r="BL258" s="406"/>
      <c r="BM258" s="406"/>
      <c r="BN258" s="406"/>
      <c r="BO258" s="406"/>
      <c r="BP258" s="406"/>
      <c r="BQ258" s="406"/>
      <c r="BR258" s="406"/>
      <c r="BS258" s="406"/>
      <c r="BT258" s="406"/>
      <c r="BU258" s="406"/>
      <c r="BV258" s="406"/>
      <c r="BW258" s="406"/>
      <c r="BX258" s="406"/>
      <c r="BY258" s="406"/>
      <c r="BZ258" s="406"/>
      <c r="CA258" s="406"/>
      <c r="CB258" s="406"/>
      <c r="CC258" s="406"/>
      <c r="CD258" s="406"/>
      <c r="CE258" s="406"/>
      <c r="CF258" s="406"/>
      <c r="CG258" s="406"/>
      <c r="CH258" s="406"/>
      <c r="CI258" s="406"/>
      <c r="CJ258" s="406"/>
      <c r="CK258" s="406"/>
      <c r="CL258" s="406"/>
      <c r="CM258" s="406"/>
      <c r="CN258" s="406"/>
      <c r="CO258" s="406"/>
      <c r="CP258" s="406"/>
      <c r="CQ258" s="406"/>
      <c r="CR258" s="406"/>
      <c r="CS258" s="406"/>
      <c r="CT258" s="406"/>
      <c r="CU258" s="406"/>
      <c r="CV258" s="406"/>
      <c r="CW258" s="406"/>
      <c r="CX258" s="406"/>
      <c r="CY258" s="406"/>
      <c r="CZ258" s="406"/>
      <c r="DA258" s="406"/>
      <c r="DB258" s="406"/>
      <c r="DC258" s="406"/>
      <c r="DD258" s="406"/>
      <c r="DE258" s="406"/>
      <c r="DF258" s="406"/>
      <c r="DG258" s="406"/>
      <c r="DH258" s="406"/>
      <c r="DI258" s="406"/>
      <c r="DJ258" s="406"/>
      <c r="DK258" s="406"/>
      <c r="DL258" s="406"/>
      <c r="DM258" s="406"/>
      <c r="DN258" s="406"/>
      <c r="DO258" s="406"/>
      <c r="DP258" s="406"/>
      <c r="DQ258" s="406"/>
      <c r="DR258" s="406"/>
      <c r="DS258" s="406"/>
      <c r="DT258" s="406"/>
      <c r="DU258" s="406"/>
    </row>
    <row r="259">
      <c r="B259" s="405">
        <v>9.0</v>
      </c>
      <c r="C259" s="450">
        <v>0.0</v>
      </c>
      <c r="D259" s="450">
        <v>0.0</v>
      </c>
      <c r="E259" s="450">
        <v>0.0</v>
      </c>
      <c r="F259" s="450">
        <v>0.0</v>
      </c>
      <c r="G259" s="450">
        <v>0.0</v>
      </c>
      <c r="H259" s="450">
        <v>0.0</v>
      </c>
      <c r="I259" s="450">
        <v>0.0</v>
      </c>
      <c r="J259" s="450">
        <v>0.0</v>
      </c>
      <c r="K259" s="450">
        <f>$AS$69</f>
        <v>43.44694733</v>
      </c>
      <c r="L259" s="450">
        <v>0.0</v>
      </c>
      <c r="M259" s="450">
        <v>0.0</v>
      </c>
      <c r="N259" s="450">
        <v>0.0</v>
      </c>
      <c r="O259" s="450">
        <v>0.0</v>
      </c>
      <c r="P259" s="450">
        <v>0.0</v>
      </c>
      <c r="Q259" s="450">
        <v>0.0</v>
      </c>
      <c r="R259" s="450">
        <v>0.0</v>
      </c>
      <c r="S259" s="450">
        <v>0.0</v>
      </c>
      <c r="T259" s="450">
        <v>0.0</v>
      </c>
      <c r="U259" s="450">
        <v>0.0</v>
      </c>
      <c r="V259" s="450">
        <v>0.0</v>
      </c>
      <c r="W259" s="450">
        <v>0.0</v>
      </c>
      <c r="X259" s="450">
        <v>0.0</v>
      </c>
      <c r="Y259" s="450">
        <v>0.0</v>
      </c>
      <c r="Z259" s="450">
        <v>0.0</v>
      </c>
      <c r="AA259" s="450">
        <v>0.0</v>
      </c>
      <c r="AB259" s="450">
        <v>0.0</v>
      </c>
      <c r="AC259" s="450">
        <v>0.0</v>
      </c>
      <c r="AD259" s="450">
        <v>0.0</v>
      </c>
      <c r="BJ259" s="406"/>
      <c r="BK259" s="406"/>
      <c r="BL259" s="406"/>
      <c r="BM259" s="406"/>
      <c r="BN259" s="406"/>
      <c r="BO259" s="406"/>
      <c r="BP259" s="406"/>
      <c r="BQ259" s="406"/>
      <c r="BR259" s="406"/>
      <c r="BS259" s="406"/>
      <c r="BT259" s="406"/>
      <c r="BU259" s="406"/>
      <c r="BV259" s="406"/>
      <c r="BW259" s="406"/>
      <c r="BX259" s="406"/>
      <c r="BY259" s="406"/>
      <c r="BZ259" s="406"/>
      <c r="CA259" s="406"/>
      <c r="CB259" s="406"/>
      <c r="CC259" s="406"/>
      <c r="CD259" s="406"/>
      <c r="CE259" s="406"/>
      <c r="CF259" s="406"/>
      <c r="CG259" s="406"/>
      <c r="CH259" s="406"/>
      <c r="CI259" s="406"/>
      <c r="CJ259" s="406"/>
      <c r="CK259" s="406"/>
      <c r="CL259" s="406"/>
      <c r="CM259" s="406"/>
      <c r="CN259" s="406"/>
      <c r="CO259" s="406"/>
      <c r="CP259" s="406"/>
      <c r="CQ259" s="406"/>
      <c r="CR259" s="406"/>
      <c r="CS259" s="406"/>
      <c r="CT259" s="406"/>
      <c r="CU259" s="406"/>
      <c r="CV259" s="406"/>
      <c r="CW259" s="406"/>
      <c r="CX259" s="406"/>
      <c r="CY259" s="406"/>
      <c r="CZ259" s="406"/>
      <c r="DA259" s="406"/>
      <c r="DB259" s="406"/>
      <c r="DC259" s="406"/>
      <c r="DD259" s="406"/>
      <c r="DE259" s="406"/>
      <c r="DF259" s="406"/>
      <c r="DG259" s="406"/>
      <c r="DH259" s="406"/>
      <c r="DI259" s="406"/>
      <c r="DJ259" s="406"/>
      <c r="DK259" s="406"/>
      <c r="DL259" s="406"/>
      <c r="DM259" s="406"/>
      <c r="DN259" s="406"/>
      <c r="DO259" s="406"/>
      <c r="DP259" s="406"/>
      <c r="DQ259" s="406"/>
      <c r="DR259" s="406"/>
      <c r="DS259" s="406"/>
      <c r="DT259" s="406"/>
      <c r="DU259" s="406"/>
    </row>
    <row r="260">
      <c r="B260" s="405">
        <v>10.0</v>
      </c>
      <c r="C260" s="450">
        <v>0.0</v>
      </c>
      <c r="D260" s="450">
        <v>0.0</v>
      </c>
      <c r="E260" s="450">
        <v>0.0</v>
      </c>
      <c r="F260" s="450">
        <v>0.0</v>
      </c>
      <c r="G260" s="450">
        <v>0.0</v>
      </c>
      <c r="H260" s="450">
        <v>0.0</v>
      </c>
      <c r="I260" s="450">
        <v>0.0</v>
      </c>
      <c r="J260" s="450">
        <v>0.0</v>
      </c>
      <c r="K260" s="450">
        <v>0.0</v>
      </c>
      <c r="L260" s="450">
        <f>$AS$70</f>
        <v>65512.92938</v>
      </c>
      <c r="M260" s="450">
        <v>0.0</v>
      </c>
      <c r="N260" s="450">
        <v>0.0</v>
      </c>
      <c r="O260" s="450">
        <v>0.0</v>
      </c>
      <c r="P260" s="450">
        <v>0.0</v>
      </c>
      <c r="Q260" s="450">
        <v>0.0</v>
      </c>
      <c r="R260" s="450">
        <v>0.0</v>
      </c>
      <c r="S260" s="450">
        <v>0.0</v>
      </c>
      <c r="T260" s="450">
        <v>0.0</v>
      </c>
      <c r="U260" s="450">
        <v>0.0</v>
      </c>
      <c r="V260" s="450">
        <v>0.0</v>
      </c>
      <c r="W260" s="450">
        <v>0.0</v>
      </c>
      <c r="X260" s="450">
        <v>0.0</v>
      </c>
      <c r="Y260" s="450">
        <v>0.0</v>
      </c>
      <c r="Z260" s="450">
        <v>0.0</v>
      </c>
      <c r="AA260" s="450">
        <v>0.0</v>
      </c>
      <c r="AB260" s="450">
        <v>0.0</v>
      </c>
      <c r="AC260" s="450">
        <v>0.0</v>
      </c>
      <c r="AD260" s="450">
        <v>0.0</v>
      </c>
      <c r="BJ260" s="406"/>
      <c r="BK260" s="406"/>
      <c r="BL260" s="406"/>
      <c r="BM260" s="406"/>
      <c r="BN260" s="406"/>
      <c r="BO260" s="406"/>
      <c r="BP260" s="406"/>
      <c r="BQ260" s="406"/>
      <c r="BR260" s="406"/>
      <c r="BS260" s="406"/>
      <c r="BT260" s="406"/>
      <c r="BU260" s="406"/>
      <c r="BV260" s="406"/>
      <c r="BW260" s="406"/>
      <c r="BX260" s="406"/>
      <c r="BY260" s="406"/>
      <c r="BZ260" s="406"/>
      <c r="CA260" s="406"/>
      <c r="CB260" s="406"/>
      <c r="CC260" s="406"/>
      <c r="CD260" s="406"/>
      <c r="CE260" s="406"/>
      <c r="CF260" s="406"/>
      <c r="CG260" s="406"/>
      <c r="CH260" s="406"/>
      <c r="CI260" s="406"/>
      <c r="CJ260" s="406"/>
      <c r="CK260" s="406"/>
      <c r="CL260" s="406"/>
      <c r="CM260" s="406"/>
      <c r="CN260" s="406"/>
      <c r="CO260" s="406"/>
      <c r="CP260" s="406"/>
      <c r="CQ260" s="406"/>
      <c r="CR260" s="406"/>
      <c r="CS260" s="406"/>
      <c r="CT260" s="406"/>
      <c r="CU260" s="406"/>
      <c r="CV260" s="406"/>
      <c r="CW260" s="406"/>
      <c r="CX260" s="406"/>
      <c r="CY260" s="406"/>
      <c r="CZ260" s="406"/>
      <c r="DA260" s="406"/>
      <c r="DB260" s="406"/>
      <c r="DC260" s="406"/>
      <c r="DD260" s="406"/>
      <c r="DE260" s="406"/>
      <c r="DF260" s="406"/>
      <c r="DG260" s="406"/>
      <c r="DH260" s="406"/>
      <c r="DI260" s="406"/>
      <c r="DJ260" s="406"/>
      <c r="DK260" s="406"/>
      <c r="DL260" s="406"/>
      <c r="DM260" s="406"/>
      <c r="DN260" s="406"/>
      <c r="DO260" s="406"/>
      <c r="DP260" s="406"/>
      <c r="DQ260" s="406"/>
      <c r="DR260" s="406"/>
      <c r="DS260" s="406"/>
      <c r="DT260" s="406"/>
      <c r="DU260" s="406"/>
    </row>
    <row r="261">
      <c r="B261" s="405">
        <v>11.0</v>
      </c>
      <c r="C261" s="450">
        <v>0.0</v>
      </c>
      <c r="D261" s="450">
        <v>0.0</v>
      </c>
      <c r="E261" s="450">
        <v>0.0</v>
      </c>
      <c r="F261" s="450">
        <v>0.0</v>
      </c>
      <c r="G261" s="450">
        <v>0.0</v>
      </c>
      <c r="H261" s="450">
        <v>0.0</v>
      </c>
      <c r="I261" s="450">
        <v>0.0</v>
      </c>
      <c r="J261" s="450">
        <v>0.0</v>
      </c>
      <c r="K261" s="450">
        <v>0.0</v>
      </c>
      <c r="L261" s="450">
        <v>0.0</v>
      </c>
      <c r="M261" s="450">
        <f>$AS$71</f>
        <v>172052.2718</v>
      </c>
      <c r="N261" s="450">
        <v>0.0</v>
      </c>
      <c r="O261" s="450">
        <v>0.0</v>
      </c>
      <c r="P261" s="450">
        <v>0.0</v>
      </c>
      <c r="Q261" s="450">
        <v>0.0</v>
      </c>
      <c r="R261" s="450">
        <v>0.0</v>
      </c>
      <c r="S261" s="450">
        <v>0.0</v>
      </c>
      <c r="T261" s="450">
        <v>0.0</v>
      </c>
      <c r="U261" s="450">
        <v>0.0</v>
      </c>
      <c r="V261" s="450">
        <v>0.0</v>
      </c>
      <c r="W261" s="450">
        <v>0.0</v>
      </c>
      <c r="X261" s="450">
        <v>0.0</v>
      </c>
      <c r="Y261" s="450">
        <v>0.0</v>
      </c>
      <c r="Z261" s="450">
        <v>0.0</v>
      </c>
      <c r="AA261" s="450">
        <v>0.0</v>
      </c>
      <c r="AB261" s="450">
        <v>0.0</v>
      </c>
      <c r="AC261" s="450">
        <v>0.0</v>
      </c>
      <c r="AD261" s="450">
        <v>0.0</v>
      </c>
      <c r="BJ261" s="406"/>
      <c r="BK261" s="406"/>
      <c r="BL261" s="406"/>
      <c r="BM261" s="406"/>
      <c r="BN261" s="406"/>
      <c r="BO261" s="406"/>
      <c r="BP261" s="406"/>
      <c r="BQ261" s="406"/>
      <c r="BR261" s="406"/>
      <c r="BS261" s="406"/>
      <c r="BT261" s="406"/>
      <c r="BU261" s="406"/>
      <c r="BV261" s="406"/>
      <c r="BW261" s="406"/>
      <c r="BX261" s="406"/>
      <c r="BY261" s="406"/>
      <c r="BZ261" s="406"/>
      <c r="CA261" s="406"/>
      <c r="CB261" s="406"/>
      <c r="CC261" s="406"/>
      <c r="CD261" s="406"/>
      <c r="CE261" s="406"/>
      <c r="CF261" s="406"/>
      <c r="CG261" s="406"/>
      <c r="CH261" s="406"/>
      <c r="CI261" s="406"/>
      <c r="CJ261" s="406"/>
      <c r="CK261" s="406"/>
      <c r="CL261" s="406"/>
      <c r="CM261" s="406"/>
      <c r="CN261" s="406"/>
      <c r="CO261" s="406"/>
      <c r="CP261" s="406"/>
      <c r="CQ261" s="406"/>
      <c r="CR261" s="406"/>
      <c r="CS261" s="406"/>
      <c r="CT261" s="406"/>
      <c r="CU261" s="406"/>
      <c r="CV261" s="406"/>
      <c r="CW261" s="406"/>
      <c r="CX261" s="406"/>
      <c r="CY261" s="406"/>
      <c r="CZ261" s="406"/>
      <c r="DA261" s="406"/>
      <c r="DB261" s="406"/>
      <c r="DC261" s="406"/>
      <c r="DD261" s="406"/>
      <c r="DE261" s="406"/>
      <c r="DF261" s="406"/>
      <c r="DG261" s="406"/>
      <c r="DH261" s="406"/>
      <c r="DI261" s="406"/>
      <c r="DJ261" s="406"/>
      <c r="DK261" s="406"/>
      <c r="DL261" s="406"/>
      <c r="DM261" s="406"/>
      <c r="DN261" s="406"/>
      <c r="DO261" s="406"/>
      <c r="DP261" s="406"/>
      <c r="DQ261" s="406"/>
      <c r="DR261" s="406"/>
      <c r="DS261" s="406"/>
      <c r="DT261" s="406"/>
      <c r="DU261" s="406"/>
    </row>
    <row r="262">
      <c r="B262" s="405">
        <v>12.0</v>
      </c>
      <c r="C262" s="450">
        <v>0.0</v>
      </c>
      <c r="D262" s="450">
        <v>0.0</v>
      </c>
      <c r="E262" s="450">
        <v>0.0</v>
      </c>
      <c r="F262" s="450">
        <v>0.0</v>
      </c>
      <c r="G262" s="450">
        <v>0.0</v>
      </c>
      <c r="H262" s="450">
        <v>0.0</v>
      </c>
      <c r="I262" s="450">
        <v>0.0</v>
      </c>
      <c r="J262" s="450">
        <v>0.0</v>
      </c>
      <c r="K262" s="450">
        <v>0.0</v>
      </c>
      <c r="L262" s="450">
        <v>0.0</v>
      </c>
      <c r="M262" s="450">
        <v>0.0</v>
      </c>
      <c r="N262" s="450">
        <f>$AS$72</f>
        <v>82.39420839</v>
      </c>
      <c r="O262" s="450">
        <v>0.0</v>
      </c>
      <c r="P262" s="450">
        <v>0.0</v>
      </c>
      <c r="Q262" s="450">
        <v>0.0</v>
      </c>
      <c r="R262" s="450">
        <v>0.0</v>
      </c>
      <c r="S262" s="450">
        <v>0.0</v>
      </c>
      <c r="T262" s="450">
        <v>0.0</v>
      </c>
      <c r="U262" s="450">
        <v>0.0</v>
      </c>
      <c r="V262" s="450">
        <v>0.0</v>
      </c>
      <c r="W262" s="450">
        <v>0.0</v>
      </c>
      <c r="X262" s="450">
        <v>0.0</v>
      </c>
      <c r="Y262" s="450">
        <v>0.0</v>
      </c>
      <c r="Z262" s="450">
        <v>0.0</v>
      </c>
      <c r="AA262" s="450">
        <v>0.0</v>
      </c>
      <c r="AB262" s="450">
        <v>0.0</v>
      </c>
      <c r="AC262" s="450">
        <v>0.0</v>
      </c>
      <c r="AD262" s="450">
        <v>0.0</v>
      </c>
      <c r="BJ262" s="406"/>
      <c r="BK262" s="406"/>
      <c r="BL262" s="406"/>
      <c r="BM262" s="406"/>
      <c r="BN262" s="406"/>
      <c r="BO262" s="406"/>
      <c r="BP262" s="406"/>
      <c r="BQ262" s="406"/>
      <c r="BR262" s="406"/>
      <c r="BS262" s="406"/>
      <c r="BT262" s="406"/>
      <c r="BU262" s="406"/>
      <c r="BV262" s="406"/>
      <c r="BW262" s="406"/>
      <c r="BX262" s="406"/>
      <c r="BY262" s="406"/>
      <c r="BZ262" s="406"/>
      <c r="CA262" s="406"/>
      <c r="CB262" s="406"/>
      <c r="CC262" s="406"/>
      <c r="CD262" s="406"/>
      <c r="CE262" s="406"/>
      <c r="CF262" s="406"/>
      <c r="CG262" s="406"/>
      <c r="CH262" s="406"/>
      <c r="CI262" s="406"/>
      <c r="CJ262" s="406"/>
      <c r="CK262" s="406"/>
      <c r="CL262" s="406"/>
      <c r="CM262" s="406"/>
      <c r="CN262" s="406"/>
      <c r="CO262" s="406"/>
      <c r="CP262" s="406"/>
      <c r="CQ262" s="406"/>
      <c r="CR262" s="406"/>
      <c r="CS262" s="406"/>
      <c r="CT262" s="406"/>
      <c r="CU262" s="406"/>
      <c r="CV262" s="406"/>
      <c r="CW262" s="406"/>
      <c r="CX262" s="406"/>
      <c r="CY262" s="406"/>
      <c r="CZ262" s="406"/>
      <c r="DA262" s="406"/>
      <c r="DB262" s="406"/>
      <c r="DC262" s="406"/>
      <c r="DD262" s="406"/>
      <c r="DE262" s="406"/>
      <c r="DF262" s="406"/>
      <c r="DG262" s="406"/>
      <c r="DH262" s="406"/>
      <c r="DI262" s="406"/>
      <c r="DJ262" s="406"/>
      <c r="DK262" s="406"/>
      <c r="DL262" s="406"/>
      <c r="DM262" s="406"/>
      <c r="DN262" s="406"/>
      <c r="DO262" s="406"/>
      <c r="DP262" s="406"/>
      <c r="DQ262" s="406"/>
      <c r="DR262" s="406"/>
      <c r="DS262" s="406"/>
      <c r="DT262" s="406"/>
      <c r="DU262" s="406"/>
    </row>
    <row r="263">
      <c r="B263" s="405">
        <v>13.0</v>
      </c>
      <c r="C263" s="450">
        <v>0.0</v>
      </c>
      <c r="D263" s="450">
        <v>0.0</v>
      </c>
      <c r="E263" s="450">
        <v>0.0</v>
      </c>
      <c r="F263" s="450">
        <v>0.0</v>
      </c>
      <c r="G263" s="450">
        <v>0.0</v>
      </c>
      <c r="H263" s="450">
        <v>0.0</v>
      </c>
      <c r="I263" s="450">
        <v>0.0</v>
      </c>
      <c r="J263" s="450">
        <v>0.0</v>
      </c>
      <c r="K263" s="450">
        <v>0.0</v>
      </c>
      <c r="L263" s="450">
        <v>0.0</v>
      </c>
      <c r="M263" s="450">
        <v>0.0</v>
      </c>
      <c r="N263" s="450">
        <v>0.0</v>
      </c>
      <c r="O263" s="450">
        <f>$AS$73</f>
        <v>11.91183686</v>
      </c>
      <c r="P263" s="450">
        <v>0.0</v>
      </c>
      <c r="Q263" s="450">
        <v>0.0</v>
      </c>
      <c r="R263" s="450">
        <v>0.0</v>
      </c>
      <c r="S263" s="450">
        <v>0.0</v>
      </c>
      <c r="T263" s="450">
        <v>0.0</v>
      </c>
      <c r="U263" s="450">
        <v>0.0</v>
      </c>
      <c r="V263" s="450">
        <v>0.0</v>
      </c>
      <c r="W263" s="450">
        <v>0.0</v>
      </c>
      <c r="X263" s="450">
        <v>0.0</v>
      </c>
      <c r="Y263" s="450">
        <v>0.0</v>
      </c>
      <c r="Z263" s="450">
        <v>0.0</v>
      </c>
      <c r="AA263" s="450">
        <v>0.0</v>
      </c>
      <c r="AB263" s="450">
        <v>0.0</v>
      </c>
      <c r="AC263" s="450">
        <v>0.0</v>
      </c>
      <c r="AD263" s="450">
        <v>0.0</v>
      </c>
      <c r="BJ263" s="24"/>
      <c r="BK263" s="24"/>
      <c r="BL263" s="24"/>
      <c r="BM263" s="24"/>
      <c r="BN263" s="24"/>
      <c r="BO263" s="24"/>
      <c r="BP263" s="24"/>
      <c r="BQ263" s="24"/>
      <c r="BR263" s="24"/>
      <c r="BS263" s="24"/>
      <c r="BT263" s="24"/>
      <c r="BU263" s="24"/>
      <c r="BV263" s="24"/>
      <c r="BW263" s="24"/>
      <c r="BX263" s="24"/>
      <c r="BY263" s="24"/>
      <c r="BZ263" s="24"/>
      <c r="CA263" s="24"/>
      <c r="CB263" s="24"/>
      <c r="CC263" s="24"/>
      <c r="CD263" s="24"/>
      <c r="CE263" s="24"/>
      <c r="CF263" s="24"/>
      <c r="CG263" s="24"/>
      <c r="CH263" s="24"/>
      <c r="CI263" s="24"/>
      <c r="CJ263" s="24"/>
      <c r="CK263" s="24"/>
      <c r="CL263" s="24"/>
      <c r="CM263" s="24"/>
      <c r="CN263" s="24"/>
      <c r="CO263" s="24"/>
      <c r="CP263" s="24"/>
      <c r="CQ263" s="24"/>
      <c r="CR263" s="24"/>
      <c r="CS263" s="24"/>
      <c r="CT263" s="24"/>
      <c r="CU263" s="24"/>
      <c r="CV263" s="24"/>
      <c r="CW263" s="24"/>
      <c r="CX263" s="24"/>
      <c r="CY263" s="24"/>
      <c r="CZ263" s="24"/>
      <c r="DA263" s="24"/>
      <c r="DB263" s="24"/>
      <c r="DC263" s="24"/>
      <c r="DD263" s="24"/>
      <c r="DE263" s="24"/>
      <c r="DF263" s="24"/>
      <c r="DG263" s="24"/>
      <c r="DH263" s="24"/>
      <c r="DI263" s="24"/>
      <c r="DJ263" s="24"/>
      <c r="DK263" s="24"/>
      <c r="DL263" s="24"/>
      <c r="DM263" s="24"/>
      <c r="DN263" s="24"/>
      <c r="DO263" s="24"/>
      <c r="DP263" s="24"/>
      <c r="DQ263" s="24"/>
      <c r="DR263" s="24"/>
      <c r="DS263" s="24"/>
      <c r="DT263" s="24"/>
      <c r="DU263" s="24"/>
    </row>
    <row r="264">
      <c r="B264" s="405">
        <v>14.0</v>
      </c>
      <c r="C264" s="450">
        <v>0.0</v>
      </c>
      <c r="D264" s="450">
        <v>0.0</v>
      </c>
      <c r="E264" s="450">
        <v>0.0</v>
      </c>
      <c r="F264" s="450">
        <v>0.0</v>
      </c>
      <c r="G264" s="450">
        <v>0.0</v>
      </c>
      <c r="H264" s="450">
        <v>0.0</v>
      </c>
      <c r="I264" s="450">
        <v>0.0</v>
      </c>
      <c r="J264" s="450">
        <v>0.0</v>
      </c>
      <c r="K264" s="450">
        <v>0.0</v>
      </c>
      <c r="L264" s="450">
        <v>0.0</v>
      </c>
      <c r="M264" s="450">
        <v>0.0</v>
      </c>
      <c r="N264" s="450">
        <v>0.0</v>
      </c>
      <c r="O264" s="450">
        <v>0.0</v>
      </c>
      <c r="P264" s="450">
        <f>$AS$74</f>
        <v>8737.687619</v>
      </c>
      <c r="Q264" s="450">
        <v>0.0</v>
      </c>
      <c r="R264" s="450">
        <v>0.0</v>
      </c>
      <c r="S264" s="450">
        <v>0.0</v>
      </c>
      <c r="T264" s="450">
        <v>0.0</v>
      </c>
      <c r="U264" s="450">
        <v>0.0</v>
      </c>
      <c r="V264" s="450">
        <v>0.0</v>
      </c>
      <c r="W264" s="450">
        <v>0.0</v>
      </c>
      <c r="X264" s="450">
        <v>0.0</v>
      </c>
      <c r="Y264" s="450">
        <v>0.0</v>
      </c>
      <c r="Z264" s="450">
        <v>0.0</v>
      </c>
      <c r="AA264" s="450">
        <v>0.0</v>
      </c>
      <c r="AB264" s="450">
        <v>0.0</v>
      </c>
      <c r="AC264" s="450">
        <v>0.0</v>
      </c>
      <c r="AD264" s="450">
        <v>0.0</v>
      </c>
      <c r="BJ264" s="24"/>
      <c r="BK264" s="24"/>
      <c r="BL264" s="24"/>
      <c r="BM264" s="24"/>
      <c r="BN264" s="24"/>
      <c r="BO264" s="24"/>
      <c r="BP264" s="24"/>
      <c r="BQ264" s="24"/>
      <c r="BR264" s="24"/>
      <c r="BS264" s="24"/>
      <c r="BT264" s="24"/>
      <c r="BU264" s="24"/>
      <c r="BV264" s="24"/>
      <c r="BW264" s="24"/>
      <c r="BX264" s="24"/>
      <c r="BY264" s="24"/>
      <c r="BZ264" s="24"/>
      <c r="CA264" s="24"/>
      <c r="CB264" s="24"/>
      <c r="CC264" s="24"/>
      <c r="CD264" s="24"/>
      <c r="CE264" s="24"/>
      <c r="CF264" s="24"/>
      <c r="CG264" s="24"/>
      <c r="CH264" s="24"/>
      <c r="CI264" s="24"/>
      <c r="CJ264" s="24"/>
      <c r="CK264" s="24"/>
      <c r="CL264" s="24"/>
      <c r="CM264" s="24"/>
      <c r="CN264" s="24"/>
      <c r="CO264" s="24"/>
      <c r="CP264" s="24"/>
      <c r="CQ264" s="24"/>
      <c r="CR264" s="24"/>
      <c r="CS264" s="24"/>
      <c r="CT264" s="24"/>
      <c r="CU264" s="24"/>
      <c r="CV264" s="24"/>
      <c r="CW264" s="24"/>
      <c r="CX264" s="24"/>
      <c r="CY264" s="24"/>
      <c r="CZ264" s="24"/>
      <c r="DA264" s="24"/>
      <c r="DB264" s="24"/>
      <c r="DC264" s="24"/>
      <c r="DD264" s="24"/>
      <c r="DE264" s="24"/>
      <c r="DF264" s="24"/>
      <c r="DG264" s="24"/>
      <c r="DH264" s="24"/>
      <c r="DI264" s="24"/>
      <c r="DJ264" s="24"/>
      <c r="DK264" s="24"/>
      <c r="DL264" s="24"/>
      <c r="DM264" s="24"/>
      <c r="DN264" s="24"/>
      <c r="DO264" s="24"/>
      <c r="DP264" s="24"/>
      <c r="DQ264" s="24"/>
      <c r="DR264" s="24"/>
      <c r="DS264" s="24"/>
      <c r="DT264" s="24"/>
      <c r="DU264" s="24"/>
    </row>
    <row r="265">
      <c r="B265" s="405">
        <v>15.0</v>
      </c>
      <c r="C265" s="450">
        <v>0.0</v>
      </c>
      <c r="D265" s="450">
        <v>0.0</v>
      </c>
      <c r="E265" s="450">
        <v>0.0</v>
      </c>
      <c r="F265" s="450">
        <v>0.0</v>
      </c>
      <c r="G265" s="450">
        <v>0.0</v>
      </c>
      <c r="H265" s="450">
        <v>0.0</v>
      </c>
      <c r="I265" s="450">
        <v>0.0</v>
      </c>
      <c r="J265" s="450">
        <v>0.0</v>
      </c>
      <c r="K265" s="450">
        <v>0.0</v>
      </c>
      <c r="L265" s="450">
        <v>0.0</v>
      </c>
      <c r="M265" s="450">
        <v>0.0</v>
      </c>
      <c r="N265" s="450">
        <v>0.0</v>
      </c>
      <c r="O265" s="450">
        <v>0.0</v>
      </c>
      <c r="P265" s="450">
        <v>0.0</v>
      </c>
      <c r="Q265" s="450">
        <f>$AS$75</f>
        <v>1118533.7</v>
      </c>
      <c r="R265" s="450">
        <v>0.0</v>
      </c>
      <c r="S265" s="450">
        <v>0.0</v>
      </c>
      <c r="T265" s="450">
        <v>0.0</v>
      </c>
      <c r="U265" s="450">
        <v>0.0</v>
      </c>
      <c r="V265" s="450">
        <v>0.0</v>
      </c>
      <c r="W265" s="450">
        <v>0.0</v>
      </c>
      <c r="X265" s="450">
        <v>0.0</v>
      </c>
      <c r="Y265" s="450">
        <v>0.0</v>
      </c>
      <c r="Z265" s="450">
        <v>0.0</v>
      </c>
      <c r="AA265" s="450">
        <v>0.0</v>
      </c>
      <c r="AB265" s="450">
        <v>0.0</v>
      </c>
      <c r="AC265" s="450">
        <v>0.0</v>
      </c>
      <c r="AD265" s="450">
        <v>0.0</v>
      </c>
      <c r="BJ265" s="24"/>
      <c r="BK265" s="24"/>
      <c r="BL265" s="24"/>
      <c r="BM265" s="24"/>
      <c r="BN265" s="24"/>
      <c r="BO265" s="24"/>
      <c r="BP265" s="24"/>
      <c r="BQ265" s="24"/>
      <c r="BR265" s="24"/>
      <c r="BS265" s="24"/>
      <c r="BT265" s="24"/>
      <c r="BU265" s="24"/>
      <c r="BV265" s="24"/>
      <c r="BW265" s="24"/>
      <c r="BX265" s="24"/>
      <c r="BY265" s="24"/>
      <c r="BZ265" s="24"/>
      <c r="CA265" s="24"/>
      <c r="CB265" s="24"/>
      <c r="CC265" s="24"/>
      <c r="CD265" s="24"/>
      <c r="CE265" s="24"/>
      <c r="CF265" s="24"/>
      <c r="CG265" s="24"/>
      <c r="CH265" s="24"/>
      <c r="CI265" s="24"/>
      <c r="CJ265" s="24"/>
      <c r="CK265" s="24"/>
      <c r="CL265" s="24"/>
      <c r="CM265" s="24"/>
      <c r="CN265" s="24"/>
      <c r="CO265" s="24"/>
      <c r="CP265" s="24"/>
      <c r="CQ265" s="24"/>
      <c r="CR265" s="24"/>
      <c r="CS265" s="24"/>
      <c r="CT265" s="24"/>
      <c r="CU265" s="24"/>
      <c r="CV265" s="24"/>
      <c r="CW265" s="24"/>
      <c r="CX265" s="24"/>
      <c r="CY265" s="24"/>
      <c r="CZ265" s="24"/>
      <c r="DA265" s="24"/>
      <c r="DB265" s="24"/>
      <c r="DC265" s="24"/>
      <c r="DD265" s="24"/>
      <c r="DE265" s="24"/>
      <c r="DF265" s="24"/>
      <c r="DG265" s="24"/>
      <c r="DH265" s="24"/>
      <c r="DI265" s="24"/>
      <c r="DJ265" s="24"/>
      <c r="DK265" s="24"/>
      <c r="DL265" s="24"/>
      <c r="DM265" s="24"/>
      <c r="DN265" s="24"/>
      <c r="DO265" s="24"/>
      <c r="DP265" s="24"/>
      <c r="DQ265" s="24"/>
      <c r="DR265" s="24"/>
      <c r="DS265" s="24"/>
      <c r="DT265" s="24"/>
      <c r="DU265" s="24"/>
    </row>
    <row r="266">
      <c r="B266" s="405">
        <v>16.0</v>
      </c>
      <c r="C266" s="450">
        <v>0.0</v>
      </c>
      <c r="D266" s="450">
        <v>0.0</v>
      </c>
      <c r="E266" s="450">
        <v>0.0</v>
      </c>
      <c r="F266" s="450">
        <v>0.0</v>
      </c>
      <c r="G266" s="450">
        <v>0.0</v>
      </c>
      <c r="H266" s="450">
        <v>0.0</v>
      </c>
      <c r="I266" s="450">
        <v>0.0</v>
      </c>
      <c r="J266" s="450">
        <v>0.0</v>
      </c>
      <c r="K266" s="450">
        <v>0.0</v>
      </c>
      <c r="L266" s="450">
        <v>0.0</v>
      </c>
      <c r="M266" s="450">
        <v>0.0</v>
      </c>
      <c r="N266" s="450">
        <v>0.0</v>
      </c>
      <c r="O266" s="450">
        <v>0.0</v>
      </c>
      <c r="P266" s="450">
        <v>0.0</v>
      </c>
      <c r="Q266" s="450">
        <v>0.0</v>
      </c>
      <c r="R266" s="450">
        <f>$AS$76</f>
        <v>633284.5072</v>
      </c>
      <c r="S266" s="450">
        <v>0.0</v>
      </c>
      <c r="T266" s="450">
        <v>0.0</v>
      </c>
      <c r="U266" s="450">
        <v>0.0</v>
      </c>
      <c r="V266" s="450">
        <v>0.0</v>
      </c>
      <c r="W266" s="450">
        <v>0.0</v>
      </c>
      <c r="X266" s="450">
        <v>0.0</v>
      </c>
      <c r="Y266" s="450">
        <v>0.0</v>
      </c>
      <c r="Z266" s="450">
        <v>0.0</v>
      </c>
      <c r="AA266" s="450">
        <v>0.0</v>
      </c>
      <c r="AB266" s="450">
        <v>0.0</v>
      </c>
      <c r="AC266" s="450">
        <v>0.0</v>
      </c>
      <c r="AD266" s="450">
        <v>0.0</v>
      </c>
      <c r="BJ266" s="24"/>
      <c r="BK266" s="24"/>
      <c r="BL266" s="24"/>
      <c r="BM266" s="24"/>
      <c r="BN266" s="24"/>
      <c r="BO266" s="24"/>
      <c r="BP266" s="24"/>
      <c r="BQ266" s="24"/>
      <c r="BR266" s="24"/>
      <c r="BS266" s="24"/>
      <c r="BT266" s="24"/>
      <c r="BU266" s="24"/>
      <c r="BV266" s="24"/>
      <c r="BW266" s="24"/>
      <c r="BX266" s="24"/>
      <c r="BY266" s="24"/>
      <c r="BZ266" s="24"/>
      <c r="CA266" s="24"/>
      <c r="CB266" s="24"/>
      <c r="CC266" s="24"/>
      <c r="CD266" s="24"/>
      <c r="CE266" s="24"/>
      <c r="CF266" s="24"/>
      <c r="CG266" s="24"/>
      <c r="CH266" s="24"/>
      <c r="CI266" s="24"/>
      <c r="CJ266" s="24"/>
      <c r="CK266" s="24"/>
      <c r="CL266" s="24"/>
      <c r="CM266" s="24"/>
      <c r="CN266" s="24"/>
      <c r="CO266" s="24"/>
      <c r="CP266" s="24"/>
      <c r="CQ266" s="24"/>
      <c r="CR266" s="24"/>
      <c r="CS266" s="24"/>
      <c r="CT266" s="24"/>
      <c r="CU266" s="24"/>
      <c r="CV266" s="24"/>
      <c r="CW266" s="24"/>
      <c r="CX266" s="24"/>
      <c r="CY266" s="24"/>
      <c r="CZ266" s="24"/>
      <c r="DA266" s="24"/>
      <c r="DB266" s="24"/>
      <c r="DC266" s="24"/>
      <c r="DD266" s="24"/>
      <c r="DE266" s="24"/>
      <c r="DF266" s="24"/>
      <c r="DG266" s="24"/>
      <c r="DH266" s="24"/>
      <c r="DI266" s="24"/>
      <c r="DJ266" s="24"/>
      <c r="DK266" s="24"/>
      <c r="DL266" s="24"/>
      <c r="DM266" s="24"/>
      <c r="DN266" s="24"/>
      <c r="DO266" s="24"/>
      <c r="DP266" s="24"/>
      <c r="DQ266" s="24"/>
      <c r="DR266" s="24"/>
      <c r="DS266" s="24"/>
      <c r="DT266" s="24"/>
      <c r="DU266" s="24"/>
    </row>
    <row r="267">
      <c r="B267" s="405">
        <v>17.0</v>
      </c>
      <c r="C267" s="450">
        <v>0.0</v>
      </c>
      <c r="D267" s="450">
        <v>0.0</v>
      </c>
      <c r="E267" s="450">
        <v>0.0</v>
      </c>
      <c r="F267" s="450">
        <v>0.0</v>
      </c>
      <c r="G267" s="450">
        <v>0.0</v>
      </c>
      <c r="H267" s="450">
        <v>0.0</v>
      </c>
      <c r="I267" s="450">
        <v>0.0</v>
      </c>
      <c r="J267" s="450">
        <v>0.0</v>
      </c>
      <c r="K267" s="450">
        <v>0.0</v>
      </c>
      <c r="L267" s="450">
        <v>0.0</v>
      </c>
      <c r="M267" s="450">
        <v>0.0</v>
      </c>
      <c r="N267" s="450">
        <v>0.0</v>
      </c>
      <c r="O267" s="450">
        <v>0.0</v>
      </c>
      <c r="P267" s="450">
        <v>0.0</v>
      </c>
      <c r="Q267" s="450">
        <v>0.0</v>
      </c>
      <c r="R267" s="450">
        <v>0.0</v>
      </c>
      <c r="S267" s="450">
        <f>$AS$77</f>
        <v>986434.966</v>
      </c>
      <c r="T267" s="450">
        <v>0.0</v>
      </c>
      <c r="U267" s="450">
        <v>0.0</v>
      </c>
      <c r="V267" s="450">
        <v>0.0</v>
      </c>
      <c r="W267" s="450">
        <v>0.0</v>
      </c>
      <c r="X267" s="450">
        <v>0.0</v>
      </c>
      <c r="Y267" s="450">
        <v>0.0</v>
      </c>
      <c r="Z267" s="450">
        <v>0.0</v>
      </c>
      <c r="AA267" s="450">
        <v>0.0</v>
      </c>
      <c r="AB267" s="450">
        <v>0.0</v>
      </c>
      <c r="AC267" s="450">
        <v>0.0</v>
      </c>
      <c r="AD267" s="450">
        <v>0.0</v>
      </c>
      <c r="BJ267" s="24"/>
      <c r="BK267" s="24"/>
      <c r="BL267" s="24"/>
      <c r="BM267" s="24"/>
      <c r="BN267" s="24"/>
      <c r="BO267" s="24"/>
      <c r="BP267" s="24"/>
      <c r="BQ267" s="24"/>
      <c r="BR267" s="24"/>
      <c r="BS267" s="24"/>
      <c r="BT267" s="24"/>
      <c r="BU267" s="24"/>
      <c r="BV267" s="24"/>
      <c r="BW267" s="24"/>
      <c r="BX267" s="24"/>
      <c r="BY267" s="24"/>
      <c r="BZ267" s="24"/>
      <c r="CA267" s="24"/>
      <c r="CB267" s="24"/>
      <c r="CC267" s="24"/>
      <c r="CD267" s="24"/>
      <c r="CE267" s="24"/>
      <c r="CF267" s="24"/>
      <c r="CG267" s="24"/>
      <c r="CH267" s="24"/>
      <c r="CI267" s="24"/>
      <c r="CJ267" s="24"/>
      <c r="CK267" s="24"/>
      <c r="CL267" s="24"/>
      <c r="CM267" s="24"/>
      <c r="CN267" s="24"/>
      <c r="CO267" s="24"/>
      <c r="CP267" s="24"/>
      <c r="CQ267" s="24"/>
      <c r="CR267" s="24"/>
      <c r="CS267" s="24"/>
      <c r="CT267" s="24"/>
      <c r="CU267" s="24"/>
      <c r="CV267" s="24"/>
      <c r="CW267" s="24"/>
      <c r="CX267" s="24"/>
      <c r="CY267" s="24"/>
      <c r="CZ267" s="24"/>
      <c r="DA267" s="24"/>
      <c r="DB267" s="24"/>
      <c r="DC267" s="24"/>
      <c r="DD267" s="24"/>
      <c r="DE267" s="24"/>
      <c r="DF267" s="24"/>
      <c r="DG267" s="24"/>
      <c r="DH267" s="24"/>
      <c r="DI267" s="24"/>
      <c r="DJ267" s="24"/>
      <c r="DK267" s="24"/>
      <c r="DL267" s="24"/>
      <c r="DM267" s="24"/>
      <c r="DN267" s="24"/>
      <c r="DO267" s="24"/>
      <c r="DP267" s="24"/>
      <c r="DQ267" s="24"/>
      <c r="DR267" s="24"/>
      <c r="DS267" s="24"/>
      <c r="DT267" s="24"/>
      <c r="DU267" s="24"/>
    </row>
    <row r="268">
      <c r="B268" s="405">
        <v>18.0</v>
      </c>
      <c r="C268" s="450">
        <v>0.0</v>
      </c>
      <c r="D268" s="450">
        <v>0.0</v>
      </c>
      <c r="E268" s="450">
        <v>0.0</v>
      </c>
      <c r="F268" s="450">
        <v>0.0</v>
      </c>
      <c r="G268" s="450">
        <v>0.0</v>
      </c>
      <c r="H268" s="450">
        <v>0.0</v>
      </c>
      <c r="I268" s="450">
        <v>0.0</v>
      </c>
      <c r="J268" s="450">
        <v>0.0</v>
      </c>
      <c r="K268" s="450">
        <v>0.0</v>
      </c>
      <c r="L268" s="450">
        <v>0.0</v>
      </c>
      <c r="M268" s="450">
        <v>0.0</v>
      </c>
      <c r="N268" s="450">
        <v>0.0</v>
      </c>
      <c r="O268" s="450">
        <v>0.0</v>
      </c>
      <c r="P268" s="450">
        <v>0.0</v>
      </c>
      <c r="Q268" s="450">
        <v>0.0</v>
      </c>
      <c r="R268" s="450">
        <v>0.0</v>
      </c>
      <c r="S268" s="450">
        <v>0.0</v>
      </c>
      <c r="T268" s="450">
        <f>$AS$78</f>
        <v>1478278.073</v>
      </c>
      <c r="U268" s="450">
        <v>0.0</v>
      </c>
      <c r="V268" s="450">
        <v>0.0</v>
      </c>
      <c r="W268" s="450">
        <v>0.0</v>
      </c>
      <c r="X268" s="450">
        <v>0.0</v>
      </c>
      <c r="Y268" s="450">
        <v>0.0</v>
      </c>
      <c r="Z268" s="450">
        <v>0.0</v>
      </c>
      <c r="AA268" s="450">
        <v>0.0</v>
      </c>
      <c r="AB268" s="450">
        <v>0.0</v>
      </c>
      <c r="AC268" s="450">
        <v>0.0</v>
      </c>
      <c r="AD268" s="450">
        <v>0.0</v>
      </c>
      <c r="BJ268" s="419"/>
      <c r="BK268" s="419"/>
      <c r="BL268" s="419"/>
      <c r="BM268" s="419"/>
      <c r="BN268" s="419"/>
      <c r="BO268" s="419"/>
      <c r="BP268" s="419"/>
      <c r="BQ268" s="419"/>
      <c r="BR268" s="419"/>
      <c r="BS268" s="419"/>
      <c r="BT268" s="419"/>
      <c r="BU268" s="419"/>
      <c r="BV268" s="419"/>
      <c r="BW268" s="419"/>
      <c r="BX268" s="419"/>
      <c r="BY268" s="419"/>
      <c r="BZ268" s="419"/>
      <c r="CA268" s="419"/>
      <c r="CB268" s="419"/>
      <c r="CC268" s="419"/>
      <c r="CD268" s="419"/>
      <c r="CE268" s="419"/>
      <c r="CF268" s="419"/>
      <c r="CG268" s="419"/>
      <c r="CH268" s="419"/>
      <c r="CI268" s="419"/>
      <c r="CJ268" s="419"/>
      <c r="CK268" s="419"/>
      <c r="CL268" s="419"/>
      <c r="CM268" s="419"/>
      <c r="CN268" s="419"/>
      <c r="CO268" s="419"/>
      <c r="CP268" s="419"/>
      <c r="CQ268" s="419"/>
      <c r="CR268" s="419"/>
      <c r="CS268" s="419"/>
      <c r="CT268" s="419"/>
      <c r="CU268" s="419"/>
      <c r="CV268" s="419"/>
      <c r="CW268" s="419"/>
      <c r="CX268" s="419"/>
      <c r="CY268" s="419"/>
      <c r="CZ268" s="419"/>
      <c r="DA268" s="419"/>
      <c r="DB268" s="419"/>
      <c r="DC268" s="419"/>
      <c r="DD268" s="419"/>
      <c r="DE268" s="419"/>
      <c r="DF268" s="419"/>
      <c r="DG268" s="419"/>
      <c r="DH268" s="419"/>
      <c r="DI268" s="419"/>
      <c r="DJ268" s="419"/>
      <c r="DK268" s="419"/>
      <c r="DL268" s="419"/>
      <c r="DM268" s="419"/>
      <c r="DN268" s="419"/>
      <c r="DO268" s="419"/>
      <c r="DP268" s="419"/>
      <c r="DQ268" s="419"/>
      <c r="DR268" s="419"/>
      <c r="DS268" s="419"/>
      <c r="DT268" s="419"/>
      <c r="DU268" s="419"/>
    </row>
    <row r="269">
      <c r="B269" s="405">
        <v>19.0</v>
      </c>
      <c r="C269" s="450">
        <v>0.0</v>
      </c>
      <c r="D269" s="450">
        <v>0.0</v>
      </c>
      <c r="E269" s="450">
        <v>0.0</v>
      </c>
      <c r="F269" s="450">
        <v>0.0</v>
      </c>
      <c r="G269" s="450">
        <v>0.0</v>
      </c>
      <c r="H269" s="450">
        <v>0.0</v>
      </c>
      <c r="I269" s="450">
        <v>0.0</v>
      </c>
      <c r="J269" s="450">
        <v>0.0</v>
      </c>
      <c r="K269" s="450">
        <v>0.0</v>
      </c>
      <c r="L269" s="450">
        <v>0.0</v>
      </c>
      <c r="M269" s="450">
        <v>0.0</v>
      </c>
      <c r="N269" s="450">
        <v>0.0</v>
      </c>
      <c r="O269" s="450">
        <v>0.0</v>
      </c>
      <c r="P269" s="450">
        <v>0.0</v>
      </c>
      <c r="Q269" s="450">
        <v>0.0</v>
      </c>
      <c r="R269" s="450">
        <v>0.0</v>
      </c>
      <c r="S269" s="450">
        <v>0.0</v>
      </c>
      <c r="T269" s="450">
        <v>0.0</v>
      </c>
      <c r="U269" s="450">
        <f>$AS$79</f>
        <v>1638655.896</v>
      </c>
      <c r="V269" s="450">
        <v>0.0</v>
      </c>
      <c r="W269" s="450">
        <v>0.0</v>
      </c>
      <c r="X269" s="450">
        <v>0.0</v>
      </c>
      <c r="Y269" s="450">
        <v>0.0</v>
      </c>
      <c r="Z269" s="450">
        <v>0.0</v>
      </c>
      <c r="AA269" s="450">
        <v>0.0</v>
      </c>
      <c r="AB269" s="450">
        <v>0.0</v>
      </c>
      <c r="AC269" s="450">
        <v>0.0</v>
      </c>
      <c r="AD269" s="450">
        <v>0.0</v>
      </c>
      <c r="BJ269" s="406"/>
      <c r="BK269" s="406"/>
      <c r="BL269" s="406"/>
      <c r="BM269" s="406"/>
      <c r="BN269" s="406"/>
      <c r="BO269" s="406"/>
      <c r="BP269" s="406"/>
      <c r="BQ269" s="406"/>
      <c r="BR269" s="406"/>
      <c r="BS269" s="406"/>
      <c r="BT269" s="406"/>
      <c r="BU269" s="406"/>
      <c r="BV269" s="406"/>
      <c r="BW269" s="406"/>
      <c r="BX269" s="406"/>
      <c r="BY269" s="406"/>
      <c r="BZ269" s="406"/>
      <c r="CA269" s="406"/>
      <c r="CB269" s="406"/>
      <c r="CC269" s="406"/>
      <c r="CD269" s="406"/>
      <c r="CE269" s="406"/>
      <c r="CF269" s="406"/>
      <c r="CG269" s="406"/>
      <c r="CH269" s="406"/>
      <c r="CI269" s="406"/>
      <c r="CJ269" s="406"/>
      <c r="CK269" s="406"/>
      <c r="CL269" s="406"/>
      <c r="CM269" s="406"/>
      <c r="CN269" s="406"/>
      <c r="CO269" s="406"/>
      <c r="CP269" s="406"/>
      <c r="CQ269" s="406"/>
      <c r="CR269" s="406"/>
      <c r="CS269" s="406"/>
      <c r="CT269" s="406"/>
      <c r="CU269" s="406"/>
      <c r="CV269" s="406"/>
      <c r="CW269" s="406"/>
      <c r="CX269" s="406"/>
      <c r="CY269" s="406"/>
      <c r="CZ269" s="406"/>
      <c r="DA269" s="406"/>
      <c r="DB269" s="406"/>
      <c r="DC269" s="406"/>
      <c r="DD269" s="406"/>
      <c r="DE269" s="406"/>
      <c r="DF269" s="406"/>
      <c r="DG269" s="406"/>
      <c r="DH269" s="406"/>
      <c r="DI269" s="406"/>
      <c r="DJ269" s="406"/>
      <c r="DK269" s="406"/>
      <c r="DL269" s="406"/>
      <c r="DM269" s="406"/>
      <c r="DN269" s="406"/>
      <c r="DO269" s="406"/>
      <c r="DP269" s="406"/>
      <c r="DQ269" s="406"/>
      <c r="DR269" s="406"/>
      <c r="DS269" s="406"/>
      <c r="DT269" s="406"/>
      <c r="DU269" s="406"/>
    </row>
    <row r="270">
      <c r="B270" s="405">
        <v>20.0</v>
      </c>
      <c r="C270" s="450">
        <v>0.0</v>
      </c>
      <c r="D270" s="450">
        <v>0.0</v>
      </c>
      <c r="E270" s="450">
        <v>0.0</v>
      </c>
      <c r="F270" s="450">
        <v>0.0</v>
      </c>
      <c r="G270" s="450">
        <v>0.0</v>
      </c>
      <c r="H270" s="450">
        <v>0.0</v>
      </c>
      <c r="I270" s="450">
        <v>0.0</v>
      </c>
      <c r="J270" s="450">
        <v>0.0</v>
      </c>
      <c r="K270" s="450">
        <v>0.0</v>
      </c>
      <c r="L270" s="450">
        <v>0.0</v>
      </c>
      <c r="M270" s="450">
        <v>0.0</v>
      </c>
      <c r="N270" s="450">
        <v>0.0</v>
      </c>
      <c r="O270" s="450">
        <v>0.0</v>
      </c>
      <c r="P270" s="450">
        <v>0.0</v>
      </c>
      <c r="Q270" s="450">
        <v>0.0</v>
      </c>
      <c r="R270" s="450">
        <v>0.0</v>
      </c>
      <c r="S270" s="450">
        <v>0.0</v>
      </c>
      <c r="T270" s="450">
        <v>0.0</v>
      </c>
      <c r="U270" s="450">
        <v>0.0</v>
      </c>
      <c r="V270" s="450">
        <f>$AS$80</f>
        <v>55829.09494</v>
      </c>
      <c r="W270" s="450">
        <v>0.0</v>
      </c>
      <c r="X270" s="450">
        <v>0.0</v>
      </c>
      <c r="Y270" s="450">
        <v>0.0</v>
      </c>
      <c r="Z270" s="450">
        <v>0.0</v>
      </c>
      <c r="AA270" s="450">
        <v>0.0</v>
      </c>
      <c r="AB270" s="450">
        <v>0.0</v>
      </c>
      <c r="AC270" s="450">
        <v>0.0</v>
      </c>
      <c r="AD270" s="450">
        <v>0.0</v>
      </c>
      <c r="BJ270" s="406"/>
      <c r="BK270" s="406"/>
      <c r="BL270" s="406"/>
      <c r="BM270" s="406"/>
      <c r="BN270" s="406"/>
      <c r="BO270" s="406"/>
      <c r="BP270" s="406"/>
      <c r="BQ270" s="406"/>
      <c r="BR270" s="406"/>
      <c r="BS270" s="406"/>
      <c r="BT270" s="406"/>
      <c r="BU270" s="406"/>
      <c r="BV270" s="406"/>
      <c r="BW270" s="406"/>
      <c r="BX270" s="406"/>
      <c r="BY270" s="406"/>
      <c r="BZ270" s="406"/>
      <c r="CA270" s="406"/>
      <c r="CB270" s="406"/>
      <c r="CC270" s="406"/>
      <c r="CD270" s="406"/>
      <c r="CE270" s="406"/>
      <c r="CF270" s="406"/>
      <c r="CG270" s="406"/>
      <c r="CH270" s="406"/>
      <c r="CI270" s="406"/>
      <c r="CJ270" s="406"/>
      <c r="CK270" s="406"/>
      <c r="CL270" s="406"/>
      <c r="CM270" s="406"/>
      <c r="CN270" s="406"/>
      <c r="CO270" s="406"/>
      <c r="CP270" s="406"/>
      <c r="CQ270" s="406"/>
      <c r="CR270" s="406"/>
      <c r="CS270" s="406"/>
      <c r="CT270" s="406"/>
      <c r="CU270" s="406"/>
      <c r="CV270" s="406"/>
      <c r="CW270" s="406"/>
      <c r="CX270" s="406"/>
      <c r="CY270" s="406"/>
      <c r="CZ270" s="406"/>
      <c r="DA270" s="406"/>
      <c r="DB270" s="406"/>
      <c r="DC270" s="406"/>
      <c r="DD270" s="406"/>
      <c r="DE270" s="406"/>
      <c r="DF270" s="406"/>
      <c r="DG270" s="406"/>
      <c r="DH270" s="406"/>
      <c r="DI270" s="406"/>
      <c r="DJ270" s="406"/>
      <c r="DK270" s="406"/>
      <c r="DL270" s="406"/>
      <c r="DM270" s="406"/>
      <c r="DN270" s="406"/>
      <c r="DO270" s="406"/>
      <c r="DP270" s="406"/>
      <c r="DQ270" s="406"/>
      <c r="DR270" s="406"/>
      <c r="DS270" s="406"/>
      <c r="DT270" s="406"/>
      <c r="DU270" s="406"/>
    </row>
    <row r="271">
      <c r="B271" s="405">
        <v>21.0</v>
      </c>
      <c r="C271" s="450">
        <v>0.0</v>
      </c>
      <c r="D271" s="450">
        <v>0.0</v>
      </c>
      <c r="E271" s="450">
        <v>0.0</v>
      </c>
      <c r="F271" s="450">
        <v>0.0</v>
      </c>
      <c r="G271" s="450">
        <v>0.0</v>
      </c>
      <c r="H271" s="450">
        <v>0.0</v>
      </c>
      <c r="I271" s="450">
        <v>0.0</v>
      </c>
      <c r="J271" s="450">
        <v>0.0</v>
      </c>
      <c r="K271" s="450">
        <v>0.0</v>
      </c>
      <c r="L271" s="450">
        <v>0.0</v>
      </c>
      <c r="M271" s="450">
        <v>0.0</v>
      </c>
      <c r="N271" s="450">
        <v>0.0</v>
      </c>
      <c r="O271" s="450">
        <v>0.0</v>
      </c>
      <c r="P271" s="450">
        <v>0.0</v>
      </c>
      <c r="Q271" s="450">
        <v>0.0</v>
      </c>
      <c r="R271" s="450">
        <v>0.0</v>
      </c>
      <c r="S271" s="450">
        <v>0.0</v>
      </c>
      <c r="T271" s="450">
        <v>0.0</v>
      </c>
      <c r="U271" s="450">
        <v>0.0</v>
      </c>
      <c r="V271" s="450">
        <v>0.0</v>
      </c>
      <c r="W271" s="450">
        <f>$AS$81</f>
        <v>284866.2263</v>
      </c>
      <c r="X271" s="450">
        <v>0.0</v>
      </c>
      <c r="Y271" s="450">
        <v>0.0</v>
      </c>
      <c r="Z271" s="450">
        <v>0.0</v>
      </c>
      <c r="AA271" s="450">
        <v>0.0</v>
      </c>
      <c r="AB271" s="450">
        <v>0.0</v>
      </c>
      <c r="AC271" s="450">
        <v>0.0</v>
      </c>
      <c r="AD271" s="450">
        <v>0.0</v>
      </c>
      <c r="BJ271" s="406"/>
      <c r="BK271" s="406"/>
      <c r="BL271" s="406"/>
      <c r="BM271" s="406"/>
      <c r="BN271" s="406"/>
      <c r="BO271" s="406"/>
      <c r="BP271" s="406"/>
      <c r="BQ271" s="406"/>
      <c r="BR271" s="406"/>
      <c r="BS271" s="406"/>
      <c r="BT271" s="406"/>
      <c r="BU271" s="406"/>
      <c r="BV271" s="406"/>
      <c r="BW271" s="406"/>
      <c r="BX271" s="406"/>
      <c r="BY271" s="406"/>
      <c r="BZ271" s="406"/>
      <c r="CA271" s="406"/>
      <c r="CB271" s="406"/>
      <c r="CC271" s="406"/>
      <c r="CD271" s="406"/>
      <c r="CE271" s="406"/>
      <c r="CF271" s="406"/>
      <c r="CG271" s="406"/>
      <c r="CH271" s="406"/>
      <c r="CI271" s="406"/>
      <c r="CJ271" s="406"/>
      <c r="CK271" s="406"/>
      <c r="CL271" s="406"/>
      <c r="CM271" s="406"/>
      <c r="CN271" s="406"/>
      <c r="CO271" s="406"/>
      <c r="CP271" s="406"/>
      <c r="CQ271" s="406"/>
      <c r="CR271" s="406"/>
      <c r="CS271" s="406"/>
      <c r="CT271" s="406"/>
      <c r="CU271" s="406"/>
      <c r="CV271" s="406"/>
      <c r="CW271" s="406"/>
      <c r="CX271" s="406"/>
      <c r="CY271" s="406"/>
      <c r="CZ271" s="406"/>
      <c r="DA271" s="406"/>
      <c r="DB271" s="406"/>
      <c r="DC271" s="406"/>
      <c r="DD271" s="406"/>
      <c r="DE271" s="406"/>
      <c r="DF271" s="406"/>
      <c r="DG271" s="406"/>
      <c r="DH271" s="406"/>
      <c r="DI271" s="406"/>
      <c r="DJ271" s="406"/>
      <c r="DK271" s="406"/>
      <c r="DL271" s="406"/>
      <c r="DM271" s="406"/>
      <c r="DN271" s="406"/>
      <c r="DO271" s="406"/>
      <c r="DP271" s="406"/>
      <c r="DQ271" s="406"/>
      <c r="DR271" s="406"/>
      <c r="DS271" s="406"/>
      <c r="DT271" s="406"/>
      <c r="DU271" s="406"/>
    </row>
    <row r="272">
      <c r="B272" s="405">
        <v>22.0</v>
      </c>
      <c r="C272" s="450">
        <v>0.0</v>
      </c>
      <c r="D272" s="450">
        <v>0.0</v>
      </c>
      <c r="E272" s="450">
        <v>0.0</v>
      </c>
      <c r="F272" s="450">
        <v>0.0</v>
      </c>
      <c r="G272" s="450">
        <v>0.0</v>
      </c>
      <c r="H272" s="450">
        <v>0.0</v>
      </c>
      <c r="I272" s="450">
        <v>0.0</v>
      </c>
      <c r="J272" s="450">
        <v>0.0</v>
      </c>
      <c r="K272" s="450">
        <v>0.0</v>
      </c>
      <c r="L272" s="450">
        <v>0.0</v>
      </c>
      <c r="M272" s="450">
        <v>0.0</v>
      </c>
      <c r="N272" s="450">
        <v>0.0</v>
      </c>
      <c r="O272" s="450">
        <v>0.0</v>
      </c>
      <c r="P272" s="450">
        <v>0.0</v>
      </c>
      <c r="Q272" s="450">
        <v>0.0</v>
      </c>
      <c r="R272" s="450">
        <v>0.0</v>
      </c>
      <c r="S272" s="450">
        <v>0.0</v>
      </c>
      <c r="T272" s="450">
        <v>0.0</v>
      </c>
      <c r="U272" s="450">
        <v>0.0</v>
      </c>
      <c r="V272" s="450">
        <v>0.0</v>
      </c>
      <c r="W272" s="450">
        <v>0.0</v>
      </c>
      <c r="X272" s="450">
        <f>$AS$82</f>
        <v>21822145.17</v>
      </c>
      <c r="Y272" s="450">
        <v>0.0</v>
      </c>
      <c r="Z272" s="450">
        <v>0.0</v>
      </c>
      <c r="AA272" s="450">
        <v>0.0</v>
      </c>
      <c r="AB272" s="450">
        <v>0.0</v>
      </c>
      <c r="AC272" s="450">
        <v>0.0</v>
      </c>
      <c r="AD272" s="450">
        <v>0.0</v>
      </c>
      <c r="BJ272" s="406"/>
      <c r="BK272" s="406"/>
      <c r="BL272" s="406"/>
      <c r="BM272" s="406"/>
      <c r="BN272" s="406"/>
      <c r="BO272" s="406"/>
      <c r="BP272" s="406"/>
      <c r="BQ272" s="406"/>
      <c r="BR272" s="406"/>
      <c r="BS272" s="406"/>
      <c r="BT272" s="406"/>
      <c r="BU272" s="406"/>
      <c r="BV272" s="406"/>
      <c r="BW272" s="406"/>
      <c r="BX272" s="406"/>
      <c r="BY272" s="406"/>
      <c r="BZ272" s="406"/>
      <c r="CA272" s="406"/>
      <c r="CB272" s="406"/>
      <c r="CC272" s="406"/>
      <c r="CD272" s="406"/>
      <c r="CE272" s="406"/>
      <c r="CF272" s="406"/>
      <c r="CG272" s="406"/>
      <c r="CH272" s="406"/>
      <c r="CI272" s="406"/>
      <c r="CJ272" s="406"/>
      <c r="CK272" s="406"/>
      <c r="CL272" s="406"/>
      <c r="CM272" s="406"/>
      <c r="CN272" s="406"/>
      <c r="CO272" s="406"/>
      <c r="CP272" s="406"/>
      <c r="CQ272" s="406"/>
      <c r="CR272" s="406"/>
      <c r="CS272" s="406"/>
      <c r="CT272" s="406"/>
      <c r="CU272" s="406"/>
      <c r="CV272" s="406"/>
      <c r="CW272" s="406"/>
      <c r="CX272" s="406"/>
      <c r="CY272" s="406"/>
      <c r="CZ272" s="406"/>
      <c r="DA272" s="406"/>
      <c r="DB272" s="406"/>
      <c r="DC272" s="406"/>
      <c r="DD272" s="406"/>
      <c r="DE272" s="406"/>
      <c r="DF272" s="406"/>
      <c r="DG272" s="406"/>
      <c r="DH272" s="406"/>
      <c r="DI272" s="406"/>
      <c r="DJ272" s="406"/>
      <c r="DK272" s="406"/>
      <c r="DL272" s="406"/>
      <c r="DM272" s="406"/>
      <c r="DN272" s="406"/>
      <c r="DO272" s="406"/>
      <c r="DP272" s="406"/>
      <c r="DQ272" s="406"/>
      <c r="DR272" s="406"/>
      <c r="DS272" s="406"/>
      <c r="DT272" s="406"/>
      <c r="DU272" s="406"/>
    </row>
    <row r="273">
      <c r="B273" s="405">
        <v>23.0</v>
      </c>
      <c r="C273" s="450">
        <v>0.0</v>
      </c>
      <c r="D273" s="450">
        <v>0.0</v>
      </c>
      <c r="E273" s="450">
        <v>0.0</v>
      </c>
      <c r="F273" s="450">
        <v>0.0</v>
      </c>
      <c r="G273" s="450">
        <v>0.0</v>
      </c>
      <c r="H273" s="450">
        <v>0.0</v>
      </c>
      <c r="I273" s="450">
        <v>0.0</v>
      </c>
      <c r="J273" s="450">
        <v>0.0</v>
      </c>
      <c r="K273" s="450">
        <v>0.0</v>
      </c>
      <c r="L273" s="450">
        <v>0.0</v>
      </c>
      <c r="M273" s="450">
        <v>0.0</v>
      </c>
      <c r="N273" s="450">
        <v>0.0</v>
      </c>
      <c r="O273" s="450">
        <v>0.0</v>
      </c>
      <c r="P273" s="450">
        <v>0.0</v>
      </c>
      <c r="Q273" s="450">
        <v>0.0</v>
      </c>
      <c r="R273" s="450">
        <v>0.0</v>
      </c>
      <c r="S273" s="450">
        <v>0.0</v>
      </c>
      <c r="T273" s="450">
        <v>0.0</v>
      </c>
      <c r="U273" s="450">
        <v>0.0</v>
      </c>
      <c r="V273" s="450">
        <v>0.0</v>
      </c>
      <c r="W273" s="450">
        <v>0.0</v>
      </c>
      <c r="X273" s="450">
        <v>0.0</v>
      </c>
      <c r="Y273" s="450">
        <f>$AS$83</f>
        <v>275951.755</v>
      </c>
      <c r="Z273" s="450">
        <v>0.0</v>
      </c>
      <c r="AA273" s="450">
        <v>0.0</v>
      </c>
      <c r="AB273" s="450">
        <v>0.0</v>
      </c>
      <c r="AC273" s="450">
        <v>0.0</v>
      </c>
      <c r="AD273" s="450">
        <v>0.0</v>
      </c>
      <c r="BJ273" s="406"/>
      <c r="BK273" s="406"/>
      <c r="BL273" s="406"/>
      <c r="BM273" s="406"/>
      <c r="BN273" s="406"/>
      <c r="BO273" s="406"/>
      <c r="BP273" s="406"/>
      <c r="BQ273" s="406"/>
      <c r="BR273" s="406"/>
      <c r="BS273" s="406"/>
      <c r="BT273" s="406"/>
      <c r="BU273" s="406"/>
      <c r="BV273" s="406"/>
      <c r="BW273" s="406"/>
      <c r="BX273" s="406"/>
      <c r="BY273" s="406"/>
      <c r="BZ273" s="406"/>
      <c r="CA273" s="406"/>
      <c r="CB273" s="406"/>
      <c r="CC273" s="406"/>
      <c r="CD273" s="406"/>
      <c r="CE273" s="406"/>
      <c r="CF273" s="406"/>
      <c r="CG273" s="406"/>
      <c r="CH273" s="406"/>
      <c r="CI273" s="406"/>
      <c r="CJ273" s="406"/>
      <c r="CK273" s="406"/>
      <c r="CL273" s="406"/>
      <c r="CM273" s="406"/>
      <c r="CN273" s="406"/>
      <c r="CO273" s="406"/>
      <c r="CP273" s="406"/>
      <c r="CQ273" s="406"/>
      <c r="CR273" s="406"/>
      <c r="CS273" s="406"/>
      <c r="CT273" s="406"/>
      <c r="CU273" s="406"/>
      <c r="CV273" s="406"/>
      <c r="CW273" s="406"/>
      <c r="CX273" s="406"/>
      <c r="CY273" s="406"/>
      <c r="CZ273" s="406"/>
      <c r="DA273" s="406"/>
      <c r="DB273" s="406"/>
      <c r="DC273" s="406"/>
      <c r="DD273" s="406"/>
      <c r="DE273" s="406"/>
      <c r="DF273" s="406"/>
      <c r="DG273" s="406"/>
      <c r="DH273" s="406"/>
      <c r="DI273" s="406"/>
      <c r="DJ273" s="406"/>
      <c r="DK273" s="406"/>
      <c r="DL273" s="406"/>
      <c r="DM273" s="406"/>
      <c r="DN273" s="406"/>
      <c r="DO273" s="406"/>
      <c r="DP273" s="406"/>
      <c r="DQ273" s="406"/>
      <c r="DR273" s="406"/>
      <c r="DS273" s="406"/>
      <c r="DT273" s="406"/>
      <c r="DU273" s="406"/>
    </row>
    <row r="274">
      <c r="B274" s="405">
        <v>24.0</v>
      </c>
      <c r="C274" s="450">
        <v>0.0</v>
      </c>
      <c r="D274" s="450">
        <v>0.0</v>
      </c>
      <c r="E274" s="450">
        <v>0.0</v>
      </c>
      <c r="F274" s="450">
        <v>0.0</v>
      </c>
      <c r="G274" s="450">
        <v>0.0</v>
      </c>
      <c r="H274" s="450">
        <v>0.0</v>
      </c>
      <c r="I274" s="450">
        <v>0.0</v>
      </c>
      <c r="J274" s="450">
        <v>0.0</v>
      </c>
      <c r="K274" s="450">
        <v>0.0</v>
      </c>
      <c r="L274" s="450">
        <v>0.0</v>
      </c>
      <c r="M274" s="450">
        <v>0.0</v>
      </c>
      <c r="N274" s="450">
        <v>0.0</v>
      </c>
      <c r="O274" s="450">
        <v>0.0</v>
      </c>
      <c r="P274" s="450">
        <v>0.0</v>
      </c>
      <c r="Q274" s="450">
        <v>0.0</v>
      </c>
      <c r="R274" s="450">
        <v>0.0</v>
      </c>
      <c r="S274" s="450">
        <v>0.0</v>
      </c>
      <c r="T274" s="450">
        <v>0.0</v>
      </c>
      <c r="U274" s="450">
        <v>0.0</v>
      </c>
      <c r="V274" s="450">
        <v>0.0</v>
      </c>
      <c r="W274" s="450">
        <v>0.0</v>
      </c>
      <c r="X274" s="450">
        <v>0.0</v>
      </c>
      <c r="Y274" s="450">
        <v>0.0</v>
      </c>
      <c r="Z274" s="450">
        <f>$AS$84</f>
        <v>11378192.62</v>
      </c>
      <c r="AA274" s="450">
        <v>0.0</v>
      </c>
      <c r="AB274" s="450">
        <v>0.0</v>
      </c>
      <c r="AC274" s="450">
        <v>0.0</v>
      </c>
      <c r="AD274" s="450">
        <v>0.0</v>
      </c>
      <c r="BJ274" s="406"/>
      <c r="BK274" s="406"/>
      <c r="BL274" s="406"/>
      <c r="BM274" s="406"/>
      <c r="BN274" s="406"/>
      <c r="BO274" s="406"/>
      <c r="BP274" s="406"/>
      <c r="BQ274" s="406"/>
      <c r="BR274" s="406"/>
      <c r="BS274" s="406"/>
      <c r="BT274" s="406"/>
      <c r="BU274" s="406"/>
      <c r="BV274" s="406"/>
      <c r="BW274" s="406"/>
      <c r="BX274" s="406"/>
      <c r="BY274" s="406"/>
      <c r="BZ274" s="406"/>
      <c r="CA274" s="406"/>
      <c r="CB274" s="406"/>
      <c r="CC274" s="406"/>
      <c r="CD274" s="406"/>
      <c r="CE274" s="406"/>
      <c r="CF274" s="406"/>
      <c r="CG274" s="406"/>
      <c r="CH274" s="406"/>
      <c r="CI274" s="406"/>
      <c r="CJ274" s="406"/>
      <c r="CK274" s="406"/>
      <c r="CL274" s="406"/>
      <c r="CM274" s="406"/>
      <c r="CN274" s="406"/>
      <c r="CO274" s="406"/>
      <c r="CP274" s="406"/>
      <c r="CQ274" s="406"/>
      <c r="CR274" s="406"/>
      <c r="CS274" s="406"/>
      <c r="CT274" s="406"/>
      <c r="CU274" s="406"/>
      <c r="CV274" s="406"/>
      <c r="CW274" s="406"/>
      <c r="CX274" s="406"/>
      <c r="CY274" s="406"/>
      <c r="CZ274" s="406"/>
      <c r="DA274" s="406"/>
      <c r="DB274" s="406"/>
      <c r="DC274" s="406"/>
      <c r="DD274" s="406"/>
      <c r="DE274" s="406"/>
      <c r="DF274" s="406"/>
      <c r="DG274" s="406"/>
      <c r="DH274" s="406"/>
      <c r="DI274" s="406"/>
      <c r="DJ274" s="406"/>
      <c r="DK274" s="406"/>
      <c r="DL274" s="406"/>
      <c r="DM274" s="406"/>
      <c r="DN274" s="406"/>
      <c r="DO274" s="406"/>
      <c r="DP274" s="406"/>
      <c r="DQ274" s="406"/>
      <c r="DR274" s="406"/>
      <c r="DS274" s="406"/>
      <c r="DT274" s="406"/>
      <c r="DU274" s="406"/>
    </row>
    <row r="275">
      <c r="B275" s="405">
        <v>25.0</v>
      </c>
      <c r="C275" s="450">
        <v>0.0</v>
      </c>
      <c r="D275" s="450">
        <v>0.0</v>
      </c>
      <c r="E275" s="450">
        <v>0.0</v>
      </c>
      <c r="F275" s="450">
        <v>0.0</v>
      </c>
      <c r="G275" s="450">
        <v>0.0</v>
      </c>
      <c r="H275" s="450">
        <v>0.0</v>
      </c>
      <c r="I275" s="450">
        <v>0.0</v>
      </c>
      <c r="J275" s="450">
        <v>0.0</v>
      </c>
      <c r="K275" s="450">
        <v>0.0</v>
      </c>
      <c r="L275" s="450">
        <v>0.0</v>
      </c>
      <c r="M275" s="450">
        <v>0.0</v>
      </c>
      <c r="N275" s="450">
        <v>0.0</v>
      </c>
      <c r="O275" s="450">
        <v>0.0</v>
      </c>
      <c r="P275" s="450">
        <v>0.0</v>
      </c>
      <c r="Q275" s="450">
        <v>0.0</v>
      </c>
      <c r="R275" s="450">
        <v>0.0</v>
      </c>
      <c r="S275" s="450">
        <v>0.0</v>
      </c>
      <c r="T275" s="450">
        <v>0.0</v>
      </c>
      <c r="U275" s="450">
        <v>0.0</v>
      </c>
      <c r="V275" s="450">
        <v>0.0</v>
      </c>
      <c r="W275" s="450">
        <v>0.0</v>
      </c>
      <c r="X275" s="450">
        <v>0.0</v>
      </c>
      <c r="Y275" s="450">
        <v>0.0</v>
      </c>
      <c r="Z275" s="450">
        <v>0.0</v>
      </c>
      <c r="AA275" s="450">
        <f>$AS$85</f>
        <v>35171271.07</v>
      </c>
      <c r="AB275" s="450">
        <v>0.0</v>
      </c>
      <c r="AC275" s="450">
        <v>0.0</v>
      </c>
      <c r="AD275" s="450">
        <v>0.0</v>
      </c>
      <c r="AG275" s="17" t="s">
        <v>39</v>
      </c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9"/>
      <c r="BJ275" s="406"/>
      <c r="BK275" s="406"/>
      <c r="BL275" s="406"/>
      <c r="BM275" s="406"/>
      <c r="BN275" s="406"/>
      <c r="BO275" s="406"/>
      <c r="BP275" s="406"/>
      <c r="BQ275" s="406"/>
      <c r="BR275" s="406"/>
      <c r="BS275" s="406"/>
      <c r="BT275" s="406"/>
      <c r="BU275" s="406"/>
      <c r="BV275" s="406"/>
      <c r="BW275" s="406"/>
      <c r="BX275" s="406"/>
      <c r="BY275" s="406"/>
      <c r="BZ275" s="406"/>
      <c r="CA275" s="406"/>
      <c r="CB275" s="406"/>
      <c r="CC275" s="406"/>
      <c r="CD275" s="406"/>
      <c r="CE275" s="406"/>
      <c r="CF275" s="406"/>
      <c r="CG275" s="406"/>
      <c r="CH275" s="406"/>
      <c r="CI275" s="406"/>
      <c r="CJ275" s="406"/>
      <c r="CK275" s="406"/>
      <c r="CL275" s="406"/>
      <c r="CM275" s="406"/>
      <c r="CN275" s="406"/>
      <c r="CO275" s="406"/>
      <c r="CP275" s="406"/>
      <c r="CQ275" s="406"/>
      <c r="CR275" s="406"/>
      <c r="CS275" s="406"/>
      <c r="CT275" s="406"/>
      <c r="CU275" s="406"/>
      <c r="CV275" s="406"/>
      <c r="CW275" s="406"/>
      <c r="CX275" s="406"/>
      <c r="CY275" s="406"/>
      <c r="CZ275" s="406"/>
      <c r="DA275" s="406"/>
      <c r="DB275" s="406"/>
      <c r="DC275" s="406"/>
      <c r="DD275" s="406"/>
      <c r="DE275" s="406"/>
      <c r="DF275" s="406"/>
      <c r="DG275" s="406"/>
      <c r="DH275" s="406"/>
      <c r="DI275" s="406"/>
      <c r="DJ275" s="406"/>
      <c r="DK275" s="406"/>
      <c r="DL275" s="406"/>
      <c r="DM275" s="406"/>
      <c r="DN275" s="406"/>
      <c r="DO275" s="406"/>
      <c r="DP275" s="406"/>
      <c r="DQ275" s="406"/>
      <c r="DR275" s="406"/>
      <c r="DS275" s="406"/>
      <c r="DT275" s="406"/>
      <c r="DU275" s="406"/>
    </row>
    <row r="276">
      <c r="B276" s="405">
        <v>26.0</v>
      </c>
      <c r="C276" s="450">
        <v>0.0</v>
      </c>
      <c r="D276" s="450">
        <v>0.0</v>
      </c>
      <c r="E276" s="450">
        <v>0.0</v>
      </c>
      <c r="F276" s="450">
        <v>0.0</v>
      </c>
      <c r="G276" s="450">
        <v>0.0</v>
      </c>
      <c r="H276" s="450">
        <v>0.0</v>
      </c>
      <c r="I276" s="450">
        <v>0.0</v>
      </c>
      <c r="J276" s="450">
        <v>0.0</v>
      </c>
      <c r="K276" s="450">
        <v>0.0</v>
      </c>
      <c r="L276" s="450">
        <v>0.0</v>
      </c>
      <c r="M276" s="450">
        <v>0.0</v>
      </c>
      <c r="N276" s="450">
        <v>0.0</v>
      </c>
      <c r="O276" s="450">
        <v>0.0</v>
      </c>
      <c r="P276" s="450">
        <v>0.0</v>
      </c>
      <c r="Q276" s="450">
        <v>0.0</v>
      </c>
      <c r="R276" s="450">
        <v>0.0</v>
      </c>
      <c r="S276" s="450">
        <v>0.0</v>
      </c>
      <c r="T276" s="450">
        <v>0.0</v>
      </c>
      <c r="U276" s="450">
        <v>0.0</v>
      </c>
      <c r="V276" s="450">
        <v>0.0</v>
      </c>
      <c r="W276" s="450">
        <v>0.0</v>
      </c>
      <c r="X276" s="450">
        <v>0.0</v>
      </c>
      <c r="Y276" s="450">
        <v>0.0</v>
      </c>
      <c r="Z276" s="450">
        <v>0.0</v>
      </c>
      <c r="AA276" s="450">
        <v>0.0</v>
      </c>
      <c r="AB276" s="450">
        <f>$AS$86</f>
        <v>90435.45323</v>
      </c>
      <c r="AC276" s="450">
        <v>0.0</v>
      </c>
      <c r="AD276" s="450">
        <v>0.0</v>
      </c>
      <c r="AG276" s="429" t="s">
        <v>58</v>
      </c>
      <c r="AH276" s="285" t="s">
        <v>59</v>
      </c>
      <c r="AI276" s="285" t="s">
        <v>60</v>
      </c>
      <c r="AJ276" s="285" t="s">
        <v>61</v>
      </c>
      <c r="AK276" s="285" t="s">
        <v>62</v>
      </c>
      <c r="AL276" s="285" t="s">
        <v>63</v>
      </c>
      <c r="AM276" s="430" t="s">
        <v>64</v>
      </c>
      <c r="AN276" s="430" t="s">
        <v>65</v>
      </c>
      <c r="AO276" s="430" t="s">
        <v>66</v>
      </c>
      <c r="AP276" s="287" t="s">
        <v>67</v>
      </c>
      <c r="AQ276" s="287" t="s">
        <v>68</v>
      </c>
      <c r="AR276" s="430" t="s">
        <v>69</v>
      </c>
      <c r="AS276" s="430" t="s">
        <v>70</v>
      </c>
      <c r="AT276" s="97" t="s">
        <v>71</v>
      </c>
      <c r="AU276" s="281" t="s">
        <v>210</v>
      </c>
      <c r="BJ276" s="406"/>
      <c r="BK276" s="406"/>
      <c r="BL276" s="406"/>
      <c r="BM276" s="406"/>
      <c r="BN276" s="406"/>
      <c r="BO276" s="406"/>
      <c r="BP276" s="406"/>
      <c r="BQ276" s="406"/>
      <c r="BR276" s="406"/>
      <c r="BS276" s="406"/>
      <c r="BT276" s="406"/>
      <c r="BU276" s="406"/>
      <c r="BV276" s="406"/>
      <c r="BW276" s="406"/>
      <c r="BX276" s="406"/>
      <c r="BY276" s="406"/>
      <c r="BZ276" s="406"/>
      <c r="CA276" s="406"/>
      <c r="CB276" s="406"/>
      <c r="CC276" s="406"/>
      <c r="CD276" s="406"/>
      <c r="CE276" s="406"/>
      <c r="CF276" s="406"/>
      <c r="CG276" s="406"/>
      <c r="CH276" s="406"/>
      <c r="CI276" s="406"/>
      <c r="CJ276" s="406"/>
      <c r="CK276" s="406"/>
      <c r="CL276" s="406"/>
      <c r="CM276" s="406"/>
      <c r="CN276" s="406"/>
      <c r="CO276" s="406"/>
      <c r="CP276" s="406"/>
      <c r="CQ276" s="406"/>
      <c r="CR276" s="406"/>
      <c r="CS276" s="406"/>
      <c r="CT276" s="406"/>
      <c r="CU276" s="406"/>
      <c r="CV276" s="406"/>
      <c r="CW276" s="406"/>
      <c r="CX276" s="406"/>
      <c r="CY276" s="406"/>
      <c r="CZ276" s="406"/>
      <c r="DA276" s="406"/>
      <c r="DB276" s="406"/>
      <c r="DC276" s="406"/>
      <c r="DD276" s="406"/>
      <c r="DE276" s="406"/>
      <c r="DF276" s="406"/>
      <c r="DG276" s="406"/>
      <c r="DH276" s="406"/>
      <c r="DI276" s="406"/>
      <c r="DJ276" s="406"/>
      <c r="DK276" s="406"/>
      <c r="DL276" s="406"/>
      <c r="DM276" s="406"/>
      <c r="DN276" s="406"/>
      <c r="DO276" s="406"/>
      <c r="DP276" s="406"/>
      <c r="DQ276" s="406"/>
      <c r="DR276" s="406"/>
      <c r="DS276" s="406"/>
      <c r="DT276" s="406"/>
      <c r="DU276" s="406"/>
    </row>
    <row r="277">
      <c r="B277" s="405">
        <v>27.0</v>
      </c>
      <c r="C277" s="450">
        <v>0.0</v>
      </c>
      <c r="D277" s="450">
        <v>0.0</v>
      </c>
      <c r="E277" s="450">
        <v>0.0</v>
      </c>
      <c r="F277" s="450">
        <v>0.0</v>
      </c>
      <c r="G277" s="450">
        <v>0.0</v>
      </c>
      <c r="H277" s="450">
        <v>0.0</v>
      </c>
      <c r="I277" s="450">
        <v>0.0</v>
      </c>
      <c r="J277" s="450">
        <v>0.0</v>
      </c>
      <c r="K277" s="450">
        <v>0.0</v>
      </c>
      <c r="L277" s="450">
        <v>0.0</v>
      </c>
      <c r="M277" s="450">
        <v>0.0</v>
      </c>
      <c r="N277" s="450">
        <v>0.0</v>
      </c>
      <c r="O277" s="450">
        <v>0.0</v>
      </c>
      <c r="P277" s="450">
        <v>0.0</v>
      </c>
      <c r="Q277" s="450">
        <v>0.0</v>
      </c>
      <c r="R277" s="450">
        <v>0.0</v>
      </c>
      <c r="S277" s="450">
        <v>0.0</v>
      </c>
      <c r="T277" s="450">
        <v>0.0</v>
      </c>
      <c r="U277" s="450">
        <v>0.0</v>
      </c>
      <c r="V277" s="450">
        <v>0.0</v>
      </c>
      <c r="W277" s="450">
        <v>0.0</v>
      </c>
      <c r="X277" s="450">
        <v>0.0</v>
      </c>
      <c r="Y277" s="450">
        <v>0.0</v>
      </c>
      <c r="Z277" s="450">
        <v>0.0</v>
      </c>
      <c r="AA277" s="450">
        <v>0.0</v>
      </c>
      <c r="AB277" s="450">
        <v>0.0</v>
      </c>
      <c r="AC277" s="450">
        <f>$AS$87</f>
        <v>118569.8966</v>
      </c>
      <c r="AD277" s="450">
        <v>0.0</v>
      </c>
      <c r="AF277" s="281" t="s">
        <v>211</v>
      </c>
      <c r="AG277" s="446">
        <f t="shared" ref="AG277:AT277" si="99">C359</f>
        <v>1974.55384</v>
      </c>
      <c r="AH277" s="446">
        <f t="shared" si="99"/>
        <v>2123.797278</v>
      </c>
      <c r="AI277" s="446">
        <f t="shared" si="99"/>
        <v>1450.127508</v>
      </c>
      <c r="AJ277" s="446">
        <f t="shared" si="99"/>
        <v>2096.598393</v>
      </c>
      <c r="AK277" s="446">
        <f t="shared" si="99"/>
        <v>12303.42094</v>
      </c>
      <c r="AL277" s="446">
        <f t="shared" si="99"/>
        <v>1002.522134</v>
      </c>
      <c r="AM277" s="446">
        <f t="shared" si="99"/>
        <v>4073.921922</v>
      </c>
      <c r="AN277" s="446">
        <f t="shared" si="99"/>
        <v>92213.30557</v>
      </c>
      <c r="AO277" s="446">
        <f t="shared" si="99"/>
        <v>51.55003442</v>
      </c>
      <c r="AP277" s="446">
        <f t="shared" si="99"/>
        <v>83972.94341</v>
      </c>
      <c r="AQ277" s="446">
        <f t="shared" si="99"/>
        <v>170127.256</v>
      </c>
      <c r="AR277" s="446">
        <f t="shared" si="99"/>
        <v>1979.185731</v>
      </c>
      <c r="AS277" s="446">
        <f t="shared" si="99"/>
        <v>654.6106709</v>
      </c>
      <c r="AT277" s="446">
        <f t="shared" si="99"/>
        <v>22096.82717</v>
      </c>
      <c r="AU277" s="446">
        <f t="shared" ref="AU277:AU278" si="100">SUM(AG277:AT277)</f>
        <v>396120.6205</v>
      </c>
      <c r="AV277" s="281" t="s">
        <v>212</v>
      </c>
      <c r="BJ277" s="406"/>
      <c r="BK277" s="406"/>
      <c r="BL277" s="406"/>
      <c r="BM277" s="406"/>
      <c r="BN277" s="406"/>
      <c r="BO277" s="406"/>
      <c r="BP277" s="406"/>
      <c r="BQ277" s="406"/>
      <c r="BR277" s="406"/>
      <c r="BS277" s="406"/>
      <c r="BT277" s="406"/>
      <c r="BU277" s="406"/>
      <c r="BV277" s="406"/>
      <c r="BW277" s="406"/>
      <c r="BX277" s="406"/>
      <c r="BY277" s="406"/>
      <c r="BZ277" s="406"/>
      <c r="CA277" s="406"/>
      <c r="CB277" s="406"/>
      <c r="CC277" s="406"/>
      <c r="CD277" s="406"/>
      <c r="CE277" s="406"/>
      <c r="CF277" s="406"/>
      <c r="CG277" s="406"/>
      <c r="CH277" s="406"/>
      <c r="CI277" s="406"/>
      <c r="CJ277" s="406"/>
      <c r="CK277" s="406"/>
      <c r="CL277" s="406"/>
      <c r="CM277" s="406"/>
      <c r="CN277" s="406"/>
      <c r="CO277" s="406"/>
      <c r="CP277" s="406"/>
      <c r="CQ277" s="406"/>
      <c r="CR277" s="406"/>
      <c r="CS277" s="406"/>
      <c r="CT277" s="406"/>
      <c r="CU277" s="406"/>
      <c r="CV277" s="406"/>
      <c r="CW277" s="406"/>
      <c r="CX277" s="406"/>
      <c r="CY277" s="406"/>
      <c r="CZ277" s="406"/>
      <c r="DA277" s="406"/>
      <c r="DB277" s="406"/>
      <c r="DC277" s="406"/>
      <c r="DD277" s="406"/>
      <c r="DE277" s="406"/>
      <c r="DF277" s="406"/>
      <c r="DG277" s="406"/>
      <c r="DH277" s="406"/>
      <c r="DI277" s="406"/>
      <c r="DJ277" s="406"/>
      <c r="DK277" s="406"/>
      <c r="DL277" s="406"/>
      <c r="DM277" s="406"/>
      <c r="DN277" s="406"/>
      <c r="DO277" s="406"/>
      <c r="DP277" s="406"/>
      <c r="DQ277" s="406"/>
      <c r="DR277" s="406"/>
      <c r="DS277" s="406"/>
      <c r="DT277" s="406"/>
      <c r="DU277" s="406"/>
    </row>
    <row r="278">
      <c r="B278" s="405">
        <v>28.0</v>
      </c>
      <c r="C278" s="450">
        <v>0.0</v>
      </c>
      <c r="D278" s="450">
        <v>0.0</v>
      </c>
      <c r="E278" s="450">
        <v>0.0</v>
      </c>
      <c r="F278" s="450">
        <v>0.0</v>
      </c>
      <c r="G278" s="450">
        <v>0.0</v>
      </c>
      <c r="H278" s="450">
        <v>0.0</v>
      </c>
      <c r="I278" s="450">
        <v>0.0</v>
      </c>
      <c r="J278" s="450">
        <v>0.0</v>
      </c>
      <c r="K278" s="450">
        <v>0.0</v>
      </c>
      <c r="L278" s="450">
        <v>0.0</v>
      </c>
      <c r="M278" s="450">
        <v>0.0</v>
      </c>
      <c r="N278" s="450">
        <v>0.0</v>
      </c>
      <c r="O278" s="450">
        <v>0.0</v>
      </c>
      <c r="P278" s="450">
        <v>0.0</v>
      </c>
      <c r="Q278" s="450">
        <v>0.0</v>
      </c>
      <c r="R278" s="450">
        <v>0.0</v>
      </c>
      <c r="S278" s="450">
        <v>0.0</v>
      </c>
      <c r="T278" s="450">
        <v>0.0</v>
      </c>
      <c r="U278" s="450">
        <v>0.0</v>
      </c>
      <c r="V278" s="450">
        <v>0.0</v>
      </c>
      <c r="W278" s="450">
        <v>0.0</v>
      </c>
      <c r="X278" s="450">
        <v>0.0</v>
      </c>
      <c r="Y278" s="450">
        <v>0.0</v>
      </c>
      <c r="Z278" s="450">
        <v>0.0</v>
      </c>
      <c r="AA278" s="450">
        <v>0.0</v>
      </c>
      <c r="AB278" s="450">
        <v>0.0</v>
      </c>
      <c r="AC278" s="450">
        <v>0.0</v>
      </c>
      <c r="AD278" s="450">
        <f>$AS$88</f>
        <v>2870732.934</v>
      </c>
      <c r="AF278" s="281" t="s">
        <v>213</v>
      </c>
      <c r="AG278" s="446">
        <v>1961.633214314451</v>
      </c>
      <c r="AH278" s="446">
        <v>2093.4397508446955</v>
      </c>
      <c r="AI278" s="446">
        <v>1510.3104957545734</v>
      </c>
      <c r="AJ278" s="446">
        <v>2103.7640173008103</v>
      </c>
      <c r="AK278" s="446">
        <v>13220.687844514057</v>
      </c>
      <c r="AL278" s="446">
        <v>1002.7441997715559</v>
      </c>
      <c r="AM278" s="446">
        <v>4074.8077660840922</v>
      </c>
      <c r="AN278" s="446">
        <v>92225.17538863647</v>
      </c>
      <c r="AO278" s="446">
        <v>51.985250672041445</v>
      </c>
      <c r="AP278" s="406">
        <v>83982.70678118474</v>
      </c>
      <c r="AQ278" s="446">
        <v>170193.72246619593</v>
      </c>
      <c r="AR278" s="446">
        <v>1979.8132598297689</v>
      </c>
      <c r="AS278" s="446">
        <v>654.9509999206487</v>
      </c>
      <c r="AT278" s="446">
        <v>22104.75524843106</v>
      </c>
      <c r="AU278" s="446">
        <f t="shared" si="100"/>
        <v>397160.4967</v>
      </c>
      <c r="AV278" s="281" t="s">
        <v>214</v>
      </c>
      <c r="BJ278" s="406"/>
      <c r="BK278" s="406"/>
      <c r="BL278" s="406"/>
      <c r="BM278" s="406"/>
      <c r="BN278" s="406"/>
      <c r="BO278" s="406"/>
      <c r="BP278" s="406"/>
      <c r="BQ278" s="406"/>
      <c r="BR278" s="406"/>
      <c r="BS278" s="406"/>
      <c r="BT278" s="406"/>
      <c r="BU278" s="406"/>
      <c r="BV278" s="406"/>
      <c r="BW278" s="406"/>
      <c r="BX278" s="406"/>
      <c r="BY278" s="406"/>
      <c r="BZ278" s="406"/>
      <c r="CA278" s="406"/>
      <c r="CB278" s="406"/>
      <c r="CC278" s="406"/>
      <c r="CD278" s="406"/>
      <c r="CE278" s="406"/>
      <c r="CF278" s="406"/>
      <c r="CG278" s="406"/>
      <c r="CH278" s="406"/>
      <c r="CI278" s="406"/>
      <c r="CJ278" s="406"/>
      <c r="CK278" s="406"/>
      <c r="CL278" s="406"/>
      <c r="CM278" s="406"/>
      <c r="CN278" s="406"/>
      <c r="CO278" s="406"/>
      <c r="CP278" s="406"/>
      <c r="CQ278" s="406"/>
      <c r="CR278" s="406"/>
      <c r="CS278" s="406"/>
      <c r="CT278" s="406"/>
      <c r="CU278" s="406"/>
      <c r="CV278" s="406"/>
      <c r="CW278" s="406"/>
      <c r="CX278" s="406"/>
      <c r="CY278" s="406"/>
      <c r="CZ278" s="406"/>
      <c r="DA278" s="406"/>
      <c r="DB278" s="406"/>
      <c r="DC278" s="406"/>
      <c r="DD278" s="406"/>
      <c r="DE278" s="406"/>
      <c r="DF278" s="406"/>
      <c r="DG278" s="406"/>
      <c r="DH278" s="406"/>
      <c r="DI278" s="406"/>
      <c r="DJ278" s="406"/>
      <c r="DK278" s="406"/>
      <c r="DL278" s="406"/>
      <c r="DM278" s="406"/>
      <c r="DN278" s="406"/>
      <c r="DO278" s="406"/>
      <c r="DP278" s="406"/>
      <c r="DQ278" s="406"/>
      <c r="DR278" s="406"/>
      <c r="DS278" s="406"/>
      <c r="DT278" s="406"/>
      <c r="DU278" s="406"/>
    </row>
    <row r="279">
      <c r="BJ279" s="406"/>
      <c r="BK279" s="406"/>
      <c r="BL279" s="406"/>
      <c r="BM279" s="406"/>
      <c r="BN279" s="406"/>
      <c r="BO279" s="406"/>
      <c r="BP279" s="406"/>
      <c r="BQ279" s="406"/>
      <c r="BR279" s="406"/>
      <c r="BS279" s="406"/>
      <c r="BT279" s="406"/>
      <c r="BU279" s="406"/>
      <c r="BV279" s="406"/>
      <c r="BW279" s="406"/>
      <c r="BX279" s="406"/>
      <c r="BY279" s="406"/>
      <c r="BZ279" s="406"/>
      <c r="CA279" s="406"/>
      <c r="CB279" s="406"/>
      <c r="CC279" s="406"/>
      <c r="CD279" s="406"/>
      <c r="CE279" s="406"/>
      <c r="CF279" s="406"/>
      <c r="CG279" s="406"/>
      <c r="CH279" s="406"/>
      <c r="CI279" s="406"/>
      <c r="CJ279" s="406"/>
      <c r="CK279" s="406"/>
      <c r="CL279" s="406"/>
      <c r="CM279" s="406"/>
      <c r="CN279" s="406"/>
      <c r="CO279" s="406"/>
      <c r="CP279" s="406"/>
      <c r="CQ279" s="406"/>
      <c r="CR279" s="406"/>
      <c r="CS279" s="406"/>
      <c r="CT279" s="406"/>
      <c r="CU279" s="406"/>
      <c r="CV279" s="406"/>
      <c r="CW279" s="406"/>
      <c r="CX279" s="406"/>
      <c r="CY279" s="406"/>
      <c r="CZ279" s="406"/>
      <c r="DA279" s="406"/>
      <c r="DB279" s="406"/>
      <c r="DC279" s="406"/>
      <c r="DD279" s="406"/>
      <c r="DE279" s="406"/>
      <c r="DF279" s="406"/>
      <c r="DG279" s="406"/>
      <c r="DH279" s="406"/>
      <c r="DI279" s="406"/>
      <c r="DJ279" s="406"/>
      <c r="DK279" s="406"/>
      <c r="DL279" s="406"/>
      <c r="DM279" s="406"/>
      <c r="DN279" s="406"/>
      <c r="DO279" s="406"/>
      <c r="DP279" s="406"/>
      <c r="DQ279" s="406"/>
      <c r="DR279" s="406"/>
      <c r="DS279" s="406"/>
      <c r="DT279" s="406"/>
      <c r="DU279" s="406"/>
    </row>
    <row r="280">
      <c r="B280" s="448" t="s">
        <v>215</v>
      </c>
      <c r="C280" s="449"/>
      <c r="D280" s="449"/>
      <c r="E280" s="449"/>
      <c r="F280" s="449"/>
      <c r="G280" s="449"/>
      <c r="H280" s="449"/>
      <c r="I280" s="449"/>
      <c r="J280" s="449"/>
      <c r="K280" s="449"/>
      <c r="L280" s="449"/>
      <c r="M280" s="449"/>
      <c r="N280" s="449"/>
      <c r="O280" s="449"/>
      <c r="P280" s="449"/>
      <c r="Q280" s="449"/>
      <c r="R280" s="449"/>
      <c r="S280" s="449"/>
      <c r="T280" s="449"/>
      <c r="U280" s="449"/>
      <c r="V280" s="449"/>
      <c r="W280" s="449"/>
      <c r="X280" s="449"/>
      <c r="Y280" s="449"/>
      <c r="Z280" s="449"/>
      <c r="AA280" s="449"/>
      <c r="AB280" s="449"/>
      <c r="AC280" s="449"/>
      <c r="AD280" s="449"/>
      <c r="BJ280" s="406"/>
      <c r="BK280" s="406"/>
      <c r="BL280" s="406"/>
      <c r="BM280" s="406"/>
      <c r="BN280" s="406"/>
      <c r="BO280" s="406"/>
      <c r="BP280" s="406"/>
      <c r="BQ280" s="406"/>
      <c r="BR280" s="406"/>
      <c r="BS280" s="406"/>
      <c r="BT280" s="406"/>
      <c r="BU280" s="406"/>
      <c r="BV280" s="406"/>
      <c r="BW280" s="406"/>
      <c r="BX280" s="406"/>
      <c r="BY280" s="406"/>
      <c r="BZ280" s="406"/>
      <c r="CA280" s="406"/>
      <c r="CB280" s="406"/>
      <c r="CC280" s="406"/>
      <c r="CD280" s="406"/>
      <c r="CE280" s="406"/>
      <c r="CF280" s="406"/>
      <c r="CG280" s="406"/>
      <c r="CH280" s="406"/>
      <c r="CI280" s="406"/>
      <c r="CJ280" s="406"/>
      <c r="CK280" s="406"/>
      <c r="CL280" s="406"/>
      <c r="CM280" s="406"/>
      <c r="CN280" s="406"/>
      <c r="CO280" s="406"/>
      <c r="CP280" s="406"/>
      <c r="CQ280" s="406"/>
      <c r="CR280" s="406"/>
      <c r="CS280" s="406"/>
      <c r="CT280" s="406"/>
      <c r="CU280" s="406"/>
      <c r="CV280" s="406"/>
      <c r="CW280" s="406"/>
      <c r="CX280" s="406"/>
      <c r="CY280" s="406"/>
      <c r="CZ280" s="406"/>
      <c r="DA280" s="406"/>
      <c r="DB280" s="406"/>
      <c r="DC280" s="406"/>
      <c r="DD280" s="406"/>
      <c r="DE280" s="406"/>
      <c r="DF280" s="406"/>
      <c r="DG280" s="406"/>
      <c r="DH280" s="406"/>
      <c r="DI280" s="406"/>
      <c r="DJ280" s="406"/>
      <c r="DK280" s="406"/>
      <c r="DL280" s="406"/>
      <c r="DM280" s="406"/>
      <c r="DN280" s="406"/>
      <c r="DO280" s="406"/>
      <c r="DP280" s="406"/>
      <c r="DQ280" s="406"/>
      <c r="DR280" s="406"/>
      <c r="DS280" s="406"/>
      <c r="DT280" s="406"/>
      <c r="DU280" s="406"/>
    </row>
    <row r="281">
      <c r="B281" s="404"/>
      <c r="C281" s="405">
        <v>1.0</v>
      </c>
      <c r="D281" s="405">
        <v>2.0</v>
      </c>
      <c r="E281" s="405">
        <v>3.0</v>
      </c>
      <c r="F281" s="405">
        <v>4.0</v>
      </c>
      <c r="G281" s="405">
        <v>5.0</v>
      </c>
      <c r="H281" s="405">
        <v>6.0</v>
      </c>
      <c r="I281" s="405">
        <v>7.0</v>
      </c>
      <c r="J281" s="405">
        <v>8.0</v>
      </c>
      <c r="K281" s="405">
        <v>9.0</v>
      </c>
      <c r="L281" s="405">
        <v>10.0</v>
      </c>
      <c r="M281" s="405">
        <v>11.0</v>
      </c>
      <c r="N281" s="405">
        <v>12.0</v>
      </c>
      <c r="O281" s="405">
        <v>13.0</v>
      </c>
      <c r="P281" s="405">
        <v>14.0</v>
      </c>
      <c r="Q281" s="405">
        <v>15.0</v>
      </c>
      <c r="R281" s="405">
        <v>16.0</v>
      </c>
      <c r="S281" s="405">
        <v>17.0</v>
      </c>
      <c r="T281" s="405">
        <v>18.0</v>
      </c>
      <c r="U281" s="405">
        <v>19.0</v>
      </c>
      <c r="V281" s="405">
        <v>20.0</v>
      </c>
      <c r="W281" s="405">
        <v>21.0</v>
      </c>
      <c r="X281" s="405">
        <v>22.0</v>
      </c>
      <c r="Y281" s="405">
        <v>23.0</v>
      </c>
      <c r="Z281" s="405">
        <v>24.0</v>
      </c>
      <c r="AA281" s="405">
        <v>25.0</v>
      </c>
      <c r="AB281" s="405">
        <v>26.0</v>
      </c>
      <c r="AC281" s="405">
        <v>27.0</v>
      </c>
      <c r="AD281" s="405">
        <v>28.0</v>
      </c>
      <c r="BJ281" s="406"/>
      <c r="BK281" s="406"/>
      <c r="BL281" s="406"/>
      <c r="BM281" s="406"/>
      <c r="BN281" s="406"/>
      <c r="BO281" s="406"/>
      <c r="BP281" s="406"/>
      <c r="BQ281" s="406"/>
      <c r="BR281" s="406"/>
      <c r="BS281" s="406"/>
      <c r="BT281" s="406"/>
      <c r="BU281" s="406"/>
      <c r="BV281" s="406"/>
      <c r="BW281" s="406"/>
      <c r="BX281" s="406"/>
      <c r="BY281" s="406"/>
      <c r="BZ281" s="406"/>
      <c r="CA281" s="406"/>
      <c r="CB281" s="406"/>
      <c r="CC281" s="406"/>
      <c r="CD281" s="406"/>
      <c r="CE281" s="406"/>
      <c r="CF281" s="406"/>
      <c r="CG281" s="406"/>
      <c r="CH281" s="406"/>
      <c r="CI281" s="406"/>
      <c r="CJ281" s="406"/>
      <c r="CK281" s="406"/>
      <c r="CL281" s="406"/>
      <c r="CM281" s="406"/>
      <c r="CN281" s="406"/>
      <c r="CO281" s="406"/>
      <c r="CP281" s="406"/>
      <c r="CQ281" s="406"/>
      <c r="CR281" s="406"/>
      <c r="CS281" s="406"/>
      <c r="CT281" s="406"/>
      <c r="CU281" s="406"/>
      <c r="CV281" s="406"/>
      <c r="CW281" s="406"/>
      <c r="CX281" s="406"/>
      <c r="CY281" s="406"/>
      <c r="CZ281" s="406"/>
      <c r="DA281" s="406"/>
      <c r="DB281" s="406"/>
      <c r="DC281" s="406"/>
      <c r="DD281" s="406"/>
      <c r="DE281" s="406"/>
      <c r="DF281" s="406"/>
      <c r="DG281" s="406"/>
      <c r="DH281" s="406"/>
      <c r="DI281" s="406"/>
      <c r="DJ281" s="406"/>
      <c r="DK281" s="406"/>
      <c r="DL281" s="406"/>
      <c r="DM281" s="406"/>
      <c r="DN281" s="406"/>
      <c r="DO281" s="406"/>
      <c r="DP281" s="406"/>
      <c r="DQ281" s="406"/>
      <c r="DR281" s="406"/>
      <c r="DS281" s="406"/>
      <c r="DT281" s="406"/>
      <c r="DU281" s="406"/>
    </row>
    <row r="282">
      <c r="B282" s="405">
        <v>1.0</v>
      </c>
      <c r="C282" s="450">
        <f>$AT$61</f>
        <v>819.4616222</v>
      </c>
      <c r="D282" s="450">
        <v>0.0</v>
      </c>
      <c r="E282" s="450">
        <v>0.0</v>
      </c>
      <c r="F282" s="450">
        <v>0.0</v>
      </c>
      <c r="G282" s="450">
        <v>0.0</v>
      </c>
      <c r="H282" s="450">
        <v>0.0</v>
      </c>
      <c r="I282" s="450">
        <v>0.0</v>
      </c>
      <c r="J282" s="450">
        <v>0.0</v>
      </c>
      <c r="K282" s="450">
        <v>0.0</v>
      </c>
      <c r="L282" s="450">
        <v>0.0</v>
      </c>
      <c r="M282" s="450">
        <v>0.0</v>
      </c>
      <c r="N282" s="450">
        <v>0.0</v>
      </c>
      <c r="O282" s="450">
        <v>0.0</v>
      </c>
      <c r="P282" s="450">
        <v>0.0</v>
      </c>
      <c r="Q282" s="450">
        <v>0.0</v>
      </c>
      <c r="R282" s="450">
        <v>0.0</v>
      </c>
      <c r="S282" s="450">
        <v>0.0</v>
      </c>
      <c r="T282" s="450">
        <v>0.0</v>
      </c>
      <c r="U282" s="450">
        <v>0.0</v>
      </c>
      <c r="V282" s="450">
        <v>0.0</v>
      </c>
      <c r="W282" s="450">
        <v>0.0</v>
      </c>
      <c r="X282" s="450">
        <v>0.0</v>
      </c>
      <c r="Y282" s="450">
        <v>0.0</v>
      </c>
      <c r="Z282" s="450">
        <v>0.0</v>
      </c>
      <c r="AA282" s="450">
        <v>0.0</v>
      </c>
      <c r="AB282" s="450">
        <v>0.0</v>
      </c>
      <c r="AC282" s="450">
        <v>0.0</v>
      </c>
      <c r="AD282" s="450">
        <v>0.0</v>
      </c>
      <c r="BJ282" s="406"/>
      <c r="BK282" s="406"/>
      <c r="BL282" s="406"/>
      <c r="BM282" s="406"/>
      <c r="BN282" s="406"/>
      <c r="BO282" s="406"/>
      <c r="BP282" s="406"/>
      <c r="BQ282" s="406"/>
      <c r="BR282" s="406"/>
      <c r="BS282" s="406"/>
      <c r="BT282" s="406"/>
      <c r="BU282" s="406"/>
      <c r="BV282" s="406"/>
      <c r="BW282" s="406"/>
      <c r="BX282" s="406"/>
      <c r="BY282" s="406"/>
      <c r="BZ282" s="406"/>
      <c r="CA282" s="406"/>
      <c r="CB282" s="406"/>
      <c r="CC282" s="406"/>
      <c r="CD282" s="406"/>
      <c r="CE282" s="406"/>
      <c r="CF282" s="406"/>
      <c r="CG282" s="406"/>
      <c r="CH282" s="406"/>
      <c r="CI282" s="406"/>
      <c r="CJ282" s="406"/>
      <c r="CK282" s="406"/>
      <c r="CL282" s="406"/>
      <c r="CM282" s="406"/>
      <c r="CN282" s="406"/>
      <c r="CO282" s="406"/>
      <c r="CP282" s="406"/>
      <c r="CQ282" s="406"/>
      <c r="CR282" s="406"/>
      <c r="CS282" s="406"/>
      <c r="CT282" s="406"/>
      <c r="CU282" s="406"/>
      <c r="CV282" s="406"/>
      <c r="CW282" s="406"/>
      <c r="CX282" s="406"/>
      <c r="CY282" s="406"/>
      <c r="CZ282" s="406"/>
      <c r="DA282" s="406"/>
      <c r="DB282" s="406"/>
      <c r="DC282" s="406"/>
      <c r="DD282" s="406"/>
      <c r="DE282" s="406"/>
      <c r="DF282" s="406"/>
      <c r="DG282" s="406"/>
      <c r="DH282" s="406"/>
      <c r="DI282" s="406"/>
      <c r="DJ282" s="406"/>
      <c r="DK282" s="406"/>
      <c r="DL282" s="406"/>
      <c r="DM282" s="406"/>
      <c r="DN282" s="406"/>
      <c r="DO282" s="406"/>
      <c r="DP282" s="406"/>
      <c r="DQ282" s="406"/>
      <c r="DR282" s="406"/>
      <c r="DS282" s="406"/>
      <c r="DT282" s="406"/>
      <c r="DU282" s="406"/>
    </row>
    <row r="283">
      <c r="B283" s="405">
        <v>2.0</v>
      </c>
      <c r="C283" s="450">
        <v>0.0</v>
      </c>
      <c r="D283" s="450">
        <f>$AT$62</f>
        <v>2577.805845</v>
      </c>
      <c r="E283" s="450">
        <v>0.0</v>
      </c>
      <c r="F283" s="450">
        <v>0.0</v>
      </c>
      <c r="G283" s="450">
        <v>0.0</v>
      </c>
      <c r="H283" s="450">
        <v>0.0</v>
      </c>
      <c r="I283" s="450">
        <v>0.0</v>
      </c>
      <c r="J283" s="450">
        <v>0.0</v>
      </c>
      <c r="K283" s="450">
        <v>0.0</v>
      </c>
      <c r="L283" s="450">
        <v>0.0</v>
      </c>
      <c r="M283" s="450">
        <v>0.0</v>
      </c>
      <c r="N283" s="450">
        <v>0.0</v>
      </c>
      <c r="O283" s="450">
        <v>0.0</v>
      </c>
      <c r="P283" s="450">
        <v>0.0</v>
      </c>
      <c r="Q283" s="450">
        <v>0.0</v>
      </c>
      <c r="R283" s="450">
        <v>0.0</v>
      </c>
      <c r="S283" s="450">
        <v>0.0</v>
      </c>
      <c r="T283" s="450">
        <v>0.0</v>
      </c>
      <c r="U283" s="450">
        <v>0.0</v>
      </c>
      <c r="V283" s="450">
        <v>0.0</v>
      </c>
      <c r="W283" s="450">
        <v>0.0</v>
      </c>
      <c r="X283" s="450">
        <v>0.0</v>
      </c>
      <c r="Y283" s="450">
        <v>0.0</v>
      </c>
      <c r="Z283" s="450">
        <v>0.0</v>
      </c>
      <c r="AA283" s="450">
        <v>0.0</v>
      </c>
      <c r="AB283" s="450">
        <v>0.0</v>
      </c>
      <c r="AC283" s="450">
        <v>0.0</v>
      </c>
      <c r="AD283" s="450">
        <v>0.0</v>
      </c>
      <c r="AF283" s="24"/>
      <c r="AG283" s="24"/>
      <c r="AH283" s="24"/>
      <c r="AI283" s="24"/>
      <c r="AJ283" s="24"/>
      <c r="AK283" s="24"/>
      <c r="AL283" s="24"/>
      <c r="AM283" s="24"/>
      <c r="AN283" s="24"/>
      <c r="AO283" s="24"/>
      <c r="AP283" s="24"/>
      <c r="AQ283" s="24"/>
      <c r="AR283" s="24"/>
      <c r="AS283" s="24"/>
      <c r="AT283" s="24"/>
      <c r="AU283" s="24"/>
      <c r="AV283" s="24"/>
      <c r="AW283" s="24"/>
      <c r="AX283" s="24"/>
      <c r="AY283" s="24"/>
      <c r="AZ283" s="24"/>
      <c r="BA283" s="24"/>
      <c r="BB283" s="24"/>
      <c r="BC283" s="24"/>
      <c r="BD283" s="24"/>
      <c r="BE283" s="24"/>
      <c r="BF283" s="24"/>
      <c r="BG283" s="24"/>
      <c r="BH283" s="24"/>
      <c r="BI283" s="24"/>
      <c r="BJ283" s="406"/>
      <c r="BK283" s="406"/>
      <c r="BL283" s="406"/>
      <c r="BM283" s="406"/>
      <c r="BN283" s="406"/>
      <c r="BO283" s="406"/>
      <c r="BP283" s="406"/>
      <c r="BQ283" s="406"/>
      <c r="BR283" s="406"/>
      <c r="BS283" s="406"/>
      <c r="BT283" s="406"/>
      <c r="BU283" s="406"/>
      <c r="BV283" s="406"/>
      <c r="BW283" s="406"/>
      <c r="BX283" s="406"/>
      <c r="BY283" s="406"/>
      <c r="BZ283" s="406"/>
      <c r="CA283" s="406"/>
      <c r="CB283" s="406"/>
      <c r="CC283" s="406"/>
      <c r="CD283" s="406"/>
      <c r="CE283" s="406"/>
      <c r="CF283" s="406"/>
      <c r="CG283" s="406"/>
      <c r="CH283" s="406"/>
      <c r="CI283" s="406"/>
      <c r="CJ283" s="406"/>
      <c r="CK283" s="406"/>
      <c r="CL283" s="406"/>
      <c r="CM283" s="406"/>
      <c r="CN283" s="406"/>
      <c r="CO283" s="406"/>
      <c r="CP283" s="406"/>
      <c r="CQ283" s="406"/>
      <c r="CR283" s="406"/>
      <c r="CS283" s="406"/>
      <c r="CT283" s="406"/>
      <c r="CU283" s="406"/>
      <c r="CV283" s="406"/>
      <c r="CW283" s="406"/>
      <c r="CX283" s="406"/>
      <c r="CY283" s="406"/>
      <c r="CZ283" s="406"/>
      <c r="DA283" s="406"/>
      <c r="DB283" s="406"/>
      <c r="DC283" s="406"/>
      <c r="DD283" s="406"/>
      <c r="DE283" s="406"/>
      <c r="DF283" s="406"/>
      <c r="DG283" s="406"/>
      <c r="DH283" s="406"/>
      <c r="DI283" s="406"/>
      <c r="DJ283" s="406"/>
      <c r="DK283" s="406"/>
      <c r="DL283" s="406"/>
      <c r="DM283" s="406"/>
      <c r="DN283" s="406"/>
      <c r="DO283" s="406"/>
      <c r="DP283" s="406"/>
      <c r="DQ283" s="406"/>
      <c r="DR283" s="406"/>
      <c r="DS283" s="406"/>
      <c r="DT283" s="406"/>
      <c r="DU283" s="406"/>
    </row>
    <row r="284">
      <c r="B284" s="405">
        <v>3.0</v>
      </c>
      <c r="C284" s="450">
        <v>0.0</v>
      </c>
      <c r="D284" s="450">
        <v>0.0</v>
      </c>
      <c r="E284" s="450">
        <f>$AT$63</f>
        <v>314.5995157</v>
      </c>
      <c r="F284" s="450">
        <v>0.0</v>
      </c>
      <c r="G284" s="450">
        <v>0.0</v>
      </c>
      <c r="H284" s="450">
        <v>0.0</v>
      </c>
      <c r="I284" s="450">
        <v>0.0</v>
      </c>
      <c r="J284" s="450">
        <v>0.0</v>
      </c>
      <c r="K284" s="450">
        <v>0.0</v>
      </c>
      <c r="L284" s="450">
        <v>0.0</v>
      </c>
      <c r="M284" s="450">
        <v>0.0</v>
      </c>
      <c r="N284" s="450">
        <v>0.0</v>
      </c>
      <c r="O284" s="450">
        <v>0.0</v>
      </c>
      <c r="P284" s="450">
        <v>0.0</v>
      </c>
      <c r="Q284" s="450">
        <v>0.0</v>
      </c>
      <c r="R284" s="450">
        <v>0.0</v>
      </c>
      <c r="S284" s="450">
        <v>0.0</v>
      </c>
      <c r="T284" s="450">
        <v>0.0</v>
      </c>
      <c r="U284" s="450">
        <v>0.0</v>
      </c>
      <c r="V284" s="450">
        <v>0.0</v>
      </c>
      <c r="W284" s="450">
        <v>0.0</v>
      </c>
      <c r="X284" s="450">
        <v>0.0</v>
      </c>
      <c r="Y284" s="450">
        <v>0.0</v>
      </c>
      <c r="Z284" s="450">
        <v>0.0</v>
      </c>
      <c r="AA284" s="450">
        <v>0.0</v>
      </c>
      <c r="AB284" s="450">
        <v>0.0</v>
      </c>
      <c r="AC284" s="450">
        <v>0.0</v>
      </c>
      <c r="AD284" s="450">
        <v>0.0</v>
      </c>
      <c r="BJ284" s="406"/>
      <c r="BK284" s="406"/>
      <c r="BL284" s="406"/>
      <c r="BM284" s="406"/>
      <c r="BN284" s="406"/>
      <c r="BO284" s="406"/>
      <c r="BP284" s="406"/>
      <c r="BQ284" s="406"/>
      <c r="BR284" s="406"/>
      <c r="BS284" s="406"/>
      <c r="BT284" s="406"/>
      <c r="BU284" s="406"/>
      <c r="BV284" s="406"/>
      <c r="BW284" s="406"/>
      <c r="BX284" s="406"/>
      <c r="BY284" s="406"/>
      <c r="BZ284" s="406"/>
      <c r="CA284" s="406"/>
      <c r="CB284" s="406"/>
      <c r="CC284" s="406"/>
      <c r="CD284" s="406"/>
      <c r="CE284" s="406"/>
      <c r="CF284" s="406"/>
      <c r="CG284" s="406"/>
      <c r="CH284" s="406"/>
      <c r="CI284" s="406"/>
      <c r="CJ284" s="406"/>
      <c r="CK284" s="406"/>
      <c r="CL284" s="406"/>
      <c r="CM284" s="406"/>
      <c r="CN284" s="406"/>
      <c r="CO284" s="406"/>
      <c r="CP284" s="406"/>
      <c r="CQ284" s="406"/>
      <c r="CR284" s="406"/>
      <c r="CS284" s="406"/>
      <c r="CT284" s="406"/>
      <c r="CU284" s="406"/>
      <c r="CV284" s="406"/>
      <c r="CW284" s="406"/>
      <c r="CX284" s="406"/>
      <c r="CY284" s="406"/>
      <c r="CZ284" s="406"/>
      <c r="DA284" s="406"/>
      <c r="DB284" s="406"/>
      <c r="DC284" s="406"/>
      <c r="DD284" s="406"/>
      <c r="DE284" s="406"/>
      <c r="DF284" s="406"/>
      <c r="DG284" s="406"/>
      <c r="DH284" s="406"/>
      <c r="DI284" s="406"/>
      <c r="DJ284" s="406"/>
      <c r="DK284" s="406"/>
      <c r="DL284" s="406"/>
      <c r="DM284" s="406"/>
      <c r="DN284" s="406"/>
      <c r="DO284" s="406"/>
      <c r="DP284" s="406"/>
      <c r="DQ284" s="406"/>
      <c r="DR284" s="406"/>
      <c r="DS284" s="406"/>
      <c r="DT284" s="406"/>
      <c r="DU284" s="406"/>
    </row>
    <row r="285">
      <c r="B285" s="405">
        <v>4.0</v>
      </c>
      <c r="C285" s="450">
        <v>0.0</v>
      </c>
      <c r="D285" s="450">
        <v>0.0</v>
      </c>
      <c r="E285" s="450">
        <v>0.0</v>
      </c>
      <c r="F285" s="450">
        <f>$AT$64</f>
        <v>2486.68644</v>
      </c>
      <c r="G285" s="450">
        <v>0.0</v>
      </c>
      <c r="H285" s="450">
        <v>0.0</v>
      </c>
      <c r="I285" s="450">
        <v>0.0</v>
      </c>
      <c r="J285" s="450">
        <v>0.0</v>
      </c>
      <c r="K285" s="450">
        <v>0.0</v>
      </c>
      <c r="L285" s="450">
        <v>0.0</v>
      </c>
      <c r="M285" s="450">
        <v>0.0</v>
      </c>
      <c r="N285" s="450">
        <v>0.0</v>
      </c>
      <c r="O285" s="450">
        <v>0.0</v>
      </c>
      <c r="P285" s="450">
        <v>0.0</v>
      </c>
      <c r="Q285" s="450">
        <v>0.0</v>
      </c>
      <c r="R285" s="450">
        <v>0.0</v>
      </c>
      <c r="S285" s="450">
        <v>0.0</v>
      </c>
      <c r="T285" s="450">
        <v>0.0</v>
      </c>
      <c r="U285" s="450">
        <v>0.0</v>
      </c>
      <c r="V285" s="450">
        <v>0.0</v>
      </c>
      <c r="W285" s="450">
        <v>0.0</v>
      </c>
      <c r="X285" s="450">
        <v>0.0</v>
      </c>
      <c r="Y285" s="450">
        <v>0.0</v>
      </c>
      <c r="Z285" s="450">
        <v>0.0</v>
      </c>
      <c r="AA285" s="450">
        <v>0.0</v>
      </c>
      <c r="AB285" s="450">
        <v>0.0</v>
      </c>
      <c r="AC285" s="450">
        <v>0.0</v>
      </c>
      <c r="AD285" s="450">
        <v>0.0</v>
      </c>
      <c r="BJ285" s="406"/>
      <c r="BK285" s="406"/>
      <c r="BL285" s="406"/>
      <c r="BM285" s="406"/>
      <c r="BN285" s="406"/>
      <c r="BO285" s="406"/>
      <c r="BP285" s="406"/>
      <c r="BQ285" s="406"/>
      <c r="BR285" s="406"/>
      <c r="BS285" s="406"/>
      <c r="BT285" s="406"/>
      <c r="BU285" s="406"/>
      <c r="BV285" s="406"/>
      <c r="BW285" s="406"/>
      <c r="BX285" s="406"/>
      <c r="BY285" s="406"/>
      <c r="BZ285" s="406"/>
      <c r="CA285" s="406"/>
      <c r="CB285" s="406"/>
      <c r="CC285" s="406"/>
      <c r="CD285" s="406"/>
      <c r="CE285" s="406"/>
      <c r="CF285" s="406"/>
      <c r="CG285" s="406"/>
      <c r="CH285" s="406"/>
      <c r="CI285" s="406"/>
      <c r="CJ285" s="406"/>
      <c r="CK285" s="406"/>
      <c r="CL285" s="406"/>
      <c r="CM285" s="406"/>
      <c r="CN285" s="406"/>
      <c r="CO285" s="406"/>
      <c r="CP285" s="406"/>
      <c r="CQ285" s="406"/>
      <c r="CR285" s="406"/>
      <c r="CS285" s="406"/>
      <c r="CT285" s="406"/>
      <c r="CU285" s="406"/>
      <c r="CV285" s="406"/>
      <c r="CW285" s="406"/>
      <c r="CX285" s="406"/>
      <c r="CY285" s="406"/>
      <c r="CZ285" s="406"/>
      <c r="DA285" s="406"/>
      <c r="DB285" s="406"/>
      <c r="DC285" s="406"/>
      <c r="DD285" s="406"/>
      <c r="DE285" s="406"/>
      <c r="DF285" s="406"/>
      <c r="DG285" s="406"/>
      <c r="DH285" s="406"/>
      <c r="DI285" s="406"/>
      <c r="DJ285" s="406"/>
      <c r="DK285" s="406"/>
      <c r="DL285" s="406"/>
      <c r="DM285" s="406"/>
      <c r="DN285" s="406"/>
      <c r="DO285" s="406"/>
      <c r="DP285" s="406"/>
      <c r="DQ285" s="406"/>
      <c r="DR285" s="406"/>
      <c r="DS285" s="406"/>
      <c r="DT285" s="406"/>
      <c r="DU285" s="406"/>
    </row>
    <row r="286">
      <c r="B286" s="405">
        <v>5.0</v>
      </c>
      <c r="C286" s="450">
        <v>0.0</v>
      </c>
      <c r="D286" s="450">
        <v>0.0</v>
      </c>
      <c r="E286" s="450">
        <v>0.0</v>
      </c>
      <c r="F286" s="450">
        <v>0.0</v>
      </c>
      <c r="G286" s="450">
        <f>$AT$65</f>
        <v>7095.900304</v>
      </c>
      <c r="H286" s="450">
        <v>0.0</v>
      </c>
      <c r="I286" s="450">
        <v>0.0</v>
      </c>
      <c r="J286" s="450">
        <v>0.0</v>
      </c>
      <c r="K286" s="450">
        <v>0.0</v>
      </c>
      <c r="L286" s="450">
        <v>0.0</v>
      </c>
      <c r="M286" s="450">
        <v>0.0</v>
      </c>
      <c r="N286" s="450">
        <v>0.0</v>
      </c>
      <c r="O286" s="450">
        <v>0.0</v>
      </c>
      <c r="P286" s="450">
        <v>0.0</v>
      </c>
      <c r="Q286" s="450">
        <v>0.0</v>
      </c>
      <c r="R286" s="450">
        <v>0.0</v>
      </c>
      <c r="S286" s="450">
        <v>0.0</v>
      </c>
      <c r="T286" s="450">
        <v>0.0</v>
      </c>
      <c r="U286" s="450">
        <v>0.0</v>
      </c>
      <c r="V286" s="450">
        <v>0.0</v>
      </c>
      <c r="W286" s="450">
        <v>0.0</v>
      </c>
      <c r="X286" s="450">
        <v>0.0</v>
      </c>
      <c r="Y286" s="450">
        <v>0.0</v>
      </c>
      <c r="Z286" s="450">
        <v>0.0</v>
      </c>
      <c r="AA286" s="450">
        <v>0.0</v>
      </c>
      <c r="AB286" s="450">
        <v>0.0</v>
      </c>
      <c r="AC286" s="450">
        <v>0.0</v>
      </c>
      <c r="AD286" s="450">
        <v>0.0</v>
      </c>
      <c r="BJ286" s="406"/>
      <c r="BK286" s="406"/>
      <c r="BL286" s="406"/>
      <c r="BM286" s="406"/>
      <c r="BN286" s="406"/>
      <c r="BO286" s="406"/>
      <c r="BP286" s="406"/>
      <c r="BQ286" s="406"/>
      <c r="BR286" s="406"/>
      <c r="BS286" s="406"/>
      <c r="BT286" s="406"/>
      <c r="BU286" s="406"/>
      <c r="BV286" s="406"/>
      <c r="BW286" s="406"/>
      <c r="BX286" s="406"/>
      <c r="BY286" s="406"/>
      <c r="BZ286" s="406"/>
      <c r="CA286" s="406"/>
      <c r="CB286" s="406"/>
      <c r="CC286" s="406"/>
      <c r="CD286" s="406"/>
      <c r="CE286" s="406"/>
      <c r="CF286" s="406"/>
      <c r="CG286" s="406"/>
      <c r="CH286" s="406"/>
      <c r="CI286" s="406"/>
      <c r="CJ286" s="406"/>
      <c r="CK286" s="406"/>
      <c r="CL286" s="406"/>
      <c r="CM286" s="406"/>
      <c r="CN286" s="406"/>
      <c r="CO286" s="406"/>
      <c r="CP286" s="406"/>
      <c r="CQ286" s="406"/>
      <c r="CR286" s="406"/>
      <c r="CS286" s="406"/>
      <c r="CT286" s="406"/>
      <c r="CU286" s="406"/>
      <c r="CV286" s="406"/>
      <c r="CW286" s="406"/>
      <c r="CX286" s="406"/>
      <c r="CY286" s="406"/>
      <c r="CZ286" s="406"/>
      <c r="DA286" s="406"/>
      <c r="DB286" s="406"/>
      <c r="DC286" s="406"/>
      <c r="DD286" s="406"/>
      <c r="DE286" s="406"/>
      <c r="DF286" s="406"/>
      <c r="DG286" s="406"/>
      <c r="DH286" s="406"/>
      <c r="DI286" s="406"/>
      <c r="DJ286" s="406"/>
      <c r="DK286" s="406"/>
      <c r="DL286" s="406"/>
      <c r="DM286" s="406"/>
      <c r="DN286" s="406"/>
      <c r="DO286" s="406"/>
      <c r="DP286" s="406"/>
      <c r="DQ286" s="406"/>
      <c r="DR286" s="406"/>
      <c r="DS286" s="406"/>
      <c r="DT286" s="406"/>
      <c r="DU286" s="406"/>
    </row>
    <row r="287">
      <c r="B287" s="405">
        <v>6.0</v>
      </c>
      <c r="C287" s="450">
        <v>0.0</v>
      </c>
      <c r="D287" s="450">
        <v>0.0</v>
      </c>
      <c r="E287" s="450">
        <v>0.0</v>
      </c>
      <c r="F287" s="450">
        <v>0.0</v>
      </c>
      <c r="G287" s="450">
        <v>0.0</v>
      </c>
      <c r="H287" s="450">
        <f>$AT$66</f>
        <v>8.338656875</v>
      </c>
      <c r="I287" s="450">
        <v>0.0</v>
      </c>
      <c r="J287" s="450">
        <v>0.0</v>
      </c>
      <c r="K287" s="450">
        <v>0.0</v>
      </c>
      <c r="L287" s="450">
        <v>0.0</v>
      </c>
      <c r="M287" s="450">
        <v>0.0</v>
      </c>
      <c r="N287" s="450">
        <v>0.0</v>
      </c>
      <c r="O287" s="450">
        <v>0.0</v>
      </c>
      <c r="P287" s="450">
        <v>0.0</v>
      </c>
      <c r="Q287" s="450">
        <v>0.0</v>
      </c>
      <c r="R287" s="450">
        <v>0.0</v>
      </c>
      <c r="S287" s="450">
        <v>0.0</v>
      </c>
      <c r="T287" s="450">
        <v>0.0</v>
      </c>
      <c r="U287" s="450">
        <v>0.0</v>
      </c>
      <c r="V287" s="450">
        <v>0.0</v>
      </c>
      <c r="W287" s="450">
        <v>0.0</v>
      </c>
      <c r="X287" s="450">
        <v>0.0</v>
      </c>
      <c r="Y287" s="450">
        <v>0.0</v>
      </c>
      <c r="Z287" s="450">
        <v>0.0</v>
      </c>
      <c r="AA287" s="450">
        <v>0.0</v>
      </c>
      <c r="AB287" s="450">
        <v>0.0</v>
      </c>
      <c r="AC287" s="450">
        <v>0.0</v>
      </c>
      <c r="AD287" s="450">
        <v>0.0</v>
      </c>
      <c r="BJ287" s="406"/>
      <c r="BK287" s="406"/>
      <c r="BL287" s="406"/>
      <c r="BM287" s="406"/>
      <c r="BN287" s="406"/>
      <c r="BO287" s="406"/>
      <c r="BP287" s="406"/>
      <c r="BQ287" s="406"/>
      <c r="BR287" s="406"/>
      <c r="BS287" s="406"/>
      <c r="BT287" s="406"/>
      <c r="BU287" s="406"/>
      <c r="BV287" s="406"/>
      <c r="BW287" s="406"/>
      <c r="BX287" s="406"/>
      <c r="BY287" s="406"/>
      <c r="BZ287" s="406"/>
      <c r="CA287" s="406"/>
      <c r="CB287" s="406"/>
      <c r="CC287" s="406"/>
      <c r="CD287" s="406"/>
      <c r="CE287" s="406"/>
      <c r="CF287" s="406"/>
      <c r="CG287" s="406"/>
      <c r="CH287" s="406"/>
      <c r="CI287" s="406"/>
      <c r="CJ287" s="406"/>
      <c r="CK287" s="406"/>
      <c r="CL287" s="406"/>
      <c r="CM287" s="406"/>
      <c r="CN287" s="406"/>
      <c r="CO287" s="406"/>
      <c r="CP287" s="406"/>
      <c r="CQ287" s="406"/>
      <c r="CR287" s="406"/>
      <c r="CS287" s="406"/>
      <c r="CT287" s="406"/>
      <c r="CU287" s="406"/>
      <c r="CV287" s="406"/>
      <c r="CW287" s="406"/>
      <c r="CX287" s="406"/>
      <c r="CY287" s="406"/>
      <c r="CZ287" s="406"/>
      <c r="DA287" s="406"/>
      <c r="DB287" s="406"/>
      <c r="DC287" s="406"/>
      <c r="DD287" s="406"/>
      <c r="DE287" s="406"/>
      <c r="DF287" s="406"/>
      <c r="DG287" s="406"/>
      <c r="DH287" s="406"/>
      <c r="DI287" s="406"/>
      <c r="DJ287" s="406"/>
      <c r="DK287" s="406"/>
      <c r="DL287" s="406"/>
      <c r="DM287" s="406"/>
      <c r="DN287" s="406"/>
      <c r="DO287" s="406"/>
      <c r="DP287" s="406"/>
      <c r="DQ287" s="406"/>
      <c r="DR287" s="406"/>
      <c r="DS287" s="406"/>
      <c r="DT287" s="406"/>
      <c r="DU287" s="406"/>
    </row>
    <row r="288">
      <c r="B288" s="405">
        <v>7.0</v>
      </c>
      <c r="C288" s="450">
        <v>0.0</v>
      </c>
      <c r="D288" s="450">
        <v>0.0</v>
      </c>
      <c r="E288" s="450">
        <v>0.0</v>
      </c>
      <c r="F288" s="450">
        <v>0.0</v>
      </c>
      <c r="G288" s="450">
        <v>0.0</v>
      </c>
      <c r="H288" s="450">
        <v>0.0</v>
      </c>
      <c r="I288" s="450">
        <f>$AT$67</f>
        <v>654.2533753</v>
      </c>
      <c r="J288" s="450">
        <v>0.0</v>
      </c>
      <c r="K288" s="450">
        <v>0.0</v>
      </c>
      <c r="L288" s="450">
        <v>0.0</v>
      </c>
      <c r="M288" s="450">
        <v>0.0</v>
      </c>
      <c r="N288" s="450">
        <v>0.0</v>
      </c>
      <c r="O288" s="450">
        <v>0.0</v>
      </c>
      <c r="P288" s="450">
        <v>0.0</v>
      </c>
      <c r="Q288" s="450">
        <v>0.0</v>
      </c>
      <c r="R288" s="450">
        <v>0.0</v>
      </c>
      <c r="S288" s="450">
        <v>0.0</v>
      </c>
      <c r="T288" s="450">
        <v>0.0</v>
      </c>
      <c r="U288" s="450">
        <v>0.0</v>
      </c>
      <c r="V288" s="450">
        <v>0.0</v>
      </c>
      <c r="W288" s="450">
        <v>0.0</v>
      </c>
      <c r="X288" s="450">
        <v>0.0</v>
      </c>
      <c r="Y288" s="450">
        <v>0.0</v>
      </c>
      <c r="Z288" s="450">
        <v>0.0</v>
      </c>
      <c r="AA288" s="450">
        <v>0.0</v>
      </c>
      <c r="AB288" s="450">
        <v>0.0</v>
      </c>
      <c r="AC288" s="450">
        <v>0.0</v>
      </c>
      <c r="AD288" s="450">
        <v>0.0</v>
      </c>
      <c r="BJ288" s="406"/>
      <c r="BK288" s="406"/>
      <c r="BL288" s="406"/>
      <c r="BM288" s="406"/>
      <c r="BN288" s="406"/>
      <c r="BO288" s="406"/>
      <c r="BP288" s="406"/>
      <c r="BQ288" s="406"/>
      <c r="BR288" s="406"/>
      <c r="BS288" s="406"/>
      <c r="BT288" s="406"/>
      <c r="BU288" s="406"/>
      <c r="BV288" s="406"/>
      <c r="BW288" s="406"/>
      <c r="BX288" s="406"/>
      <c r="BY288" s="406"/>
      <c r="BZ288" s="406"/>
      <c r="CA288" s="406"/>
      <c r="CB288" s="406"/>
      <c r="CC288" s="406"/>
      <c r="CD288" s="406"/>
      <c r="CE288" s="406"/>
      <c r="CF288" s="406"/>
      <c r="CG288" s="406"/>
      <c r="CH288" s="406"/>
      <c r="CI288" s="406"/>
      <c r="CJ288" s="406"/>
      <c r="CK288" s="406"/>
      <c r="CL288" s="406"/>
      <c r="CM288" s="406"/>
      <c r="CN288" s="406"/>
      <c r="CO288" s="406"/>
      <c r="CP288" s="406"/>
      <c r="CQ288" s="406"/>
      <c r="CR288" s="406"/>
      <c r="CS288" s="406"/>
      <c r="CT288" s="406"/>
      <c r="CU288" s="406"/>
      <c r="CV288" s="406"/>
      <c r="CW288" s="406"/>
      <c r="CX288" s="406"/>
      <c r="CY288" s="406"/>
      <c r="CZ288" s="406"/>
      <c r="DA288" s="406"/>
      <c r="DB288" s="406"/>
      <c r="DC288" s="406"/>
      <c r="DD288" s="406"/>
      <c r="DE288" s="406"/>
      <c r="DF288" s="406"/>
      <c r="DG288" s="406"/>
      <c r="DH288" s="406"/>
      <c r="DI288" s="406"/>
      <c r="DJ288" s="406"/>
      <c r="DK288" s="406"/>
      <c r="DL288" s="406"/>
      <c r="DM288" s="406"/>
      <c r="DN288" s="406"/>
      <c r="DO288" s="406"/>
      <c r="DP288" s="406"/>
      <c r="DQ288" s="406"/>
      <c r="DR288" s="406"/>
      <c r="DS288" s="406"/>
      <c r="DT288" s="406"/>
      <c r="DU288" s="406"/>
    </row>
    <row r="289">
      <c r="B289" s="405">
        <v>8.0</v>
      </c>
      <c r="C289" s="450">
        <v>0.0</v>
      </c>
      <c r="D289" s="450">
        <v>0.0</v>
      </c>
      <c r="E289" s="450">
        <v>0.0</v>
      </c>
      <c r="F289" s="450">
        <v>0.0</v>
      </c>
      <c r="G289" s="450">
        <v>0.0</v>
      </c>
      <c r="H289" s="450">
        <v>0.0</v>
      </c>
      <c r="I289" s="450">
        <v>0.0</v>
      </c>
      <c r="J289" s="450">
        <f>$AT$68</f>
        <v>23676.17416</v>
      </c>
      <c r="K289" s="450">
        <v>0.0</v>
      </c>
      <c r="L289" s="450">
        <v>0.0</v>
      </c>
      <c r="M289" s="450">
        <v>0.0</v>
      </c>
      <c r="N289" s="450">
        <v>0.0</v>
      </c>
      <c r="O289" s="450">
        <v>0.0</v>
      </c>
      <c r="P289" s="450">
        <v>0.0</v>
      </c>
      <c r="Q289" s="450">
        <v>0.0</v>
      </c>
      <c r="R289" s="450">
        <v>0.0</v>
      </c>
      <c r="S289" s="450">
        <v>0.0</v>
      </c>
      <c r="T289" s="450">
        <v>0.0</v>
      </c>
      <c r="U289" s="450">
        <v>0.0</v>
      </c>
      <c r="V289" s="450">
        <v>0.0</v>
      </c>
      <c r="W289" s="450">
        <v>0.0</v>
      </c>
      <c r="X289" s="450">
        <v>0.0</v>
      </c>
      <c r="Y289" s="450">
        <v>0.0</v>
      </c>
      <c r="Z289" s="450">
        <v>0.0</v>
      </c>
      <c r="AA289" s="450">
        <v>0.0</v>
      </c>
      <c r="AB289" s="450">
        <v>0.0</v>
      </c>
      <c r="AC289" s="450">
        <v>0.0</v>
      </c>
      <c r="AD289" s="450">
        <v>0.0</v>
      </c>
      <c r="BJ289" s="406"/>
      <c r="BK289" s="406"/>
      <c r="BL289" s="406"/>
      <c r="BM289" s="406"/>
      <c r="BN289" s="406"/>
      <c r="BO289" s="406"/>
      <c r="BP289" s="406"/>
      <c r="BQ289" s="406"/>
      <c r="BR289" s="406"/>
      <c r="BS289" s="406"/>
      <c r="BT289" s="406"/>
      <c r="BU289" s="406"/>
      <c r="BV289" s="406"/>
      <c r="BW289" s="406"/>
      <c r="BX289" s="406"/>
      <c r="BY289" s="406"/>
      <c r="BZ289" s="406"/>
      <c r="CA289" s="406"/>
      <c r="CB289" s="406"/>
      <c r="CC289" s="406"/>
      <c r="CD289" s="406"/>
      <c r="CE289" s="406"/>
      <c r="CF289" s="406"/>
      <c r="CG289" s="406"/>
      <c r="CH289" s="406"/>
      <c r="CI289" s="406"/>
      <c r="CJ289" s="406"/>
      <c r="CK289" s="406"/>
      <c r="CL289" s="406"/>
      <c r="CM289" s="406"/>
      <c r="CN289" s="406"/>
      <c r="CO289" s="406"/>
      <c r="CP289" s="406"/>
      <c r="CQ289" s="406"/>
      <c r="CR289" s="406"/>
      <c r="CS289" s="406"/>
      <c r="CT289" s="406"/>
      <c r="CU289" s="406"/>
      <c r="CV289" s="406"/>
      <c r="CW289" s="406"/>
      <c r="CX289" s="406"/>
      <c r="CY289" s="406"/>
      <c r="CZ289" s="406"/>
      <c r="DA289" s="406"/>
      <c r="DB289" s="406"/>
      <c r="DC289" s="406"/>
      <c r="DD289" s="406"/>
      <c r="DE289" s="406"/>
      <c r="DF289" s="406"/>
      <c r="DG289" s="406"/>
      <c r="DH289" s="406"/>
      <c r="DI289" s="406"/>
      <c r="DJ289" s="406"/>
      <c r="DK289" s="406"/>
      <c r="DL289" s="406"/>
      <c r="DM289" s="406"/>
      <c r="DN289" s="406"/>
      <c r="DO289" s="406"/>
      <c r="DP289" s="406"/>
      <c r="DQ289" s="406"/>
      <c r="DR289" s="406"/>
      <c r="DS289" s="406"/>
      <c r="DT289" s="406"/>
      <c r="DU289" s="406"/>
    </row>
    <row r="290">
      <c r="B290" s="405">
        <v>9.0</v>
      </c>
      <c r="C290" s="450">
        <v>0.0</v>
      </c>
      <c r="D290" s="450">
        <v>0.0</v>
      </c>
      <c r="E290" s="450">
        <v>0.0</v>
      </c>
      <c r="F290" s="450">
        <v>0.0</v>
      </c>
      <c r="G290" s="450">
        <v>0.0</v>
      </c>
      <c r="H290" s="450">
        <v>0.0</v>
      </c>
      <c r="I290" s="450">
        <v>0.0</v>
      </c>
      <c r="J290" s="450">
        <v>0.0</v>
      </c>
      <c r="K290" s="450">
        <f>$AT$69</f>
        <v>71.61941762</v>
      </c>
      <c r="L290" s="450">
        <v>0.0</v>
      </c>
      <c r="M290" s="450">
        <v>0.0</v>
      </c>
      <c r="N290" s="450">
        <v>0.0</v>
      </c>
      <c r="O290" s="450">
        <v>0.0</v>
      </c>
      <c r="P290" s="450">
        <v>0.0</v>
      </c>
      <c r="Q290" s="450">
        <v>0.0</v>
      </c>
      <c r="R290" s="450">
        <v>0.0</v>
      </c>
      <c r="S290" s="450">
        <v>0.0</v>
      </c>
      <c r="T290" s="450">
        <v>0.0</v>
      </c>
      <c r="U290" s="450">
        <v>0.0</v>
      </c>
      <c r="V290" s="450">
        <v>0.0</v>
      </c>
      <c r="W290" s="450">
        <v>0.0</v>
      </c>
      <c r="X290" s="450">
        <v>0.0</v>
      </c>
      <c r="Y290" s="450">
        <v>0.0</v>
      </c>
      <c r="Z290" s="450">
        <v>0.0</v>
      </c>
      <c r="AA290" s="450">
        <v>0.0</v>
      </c>
      <c r="AB290" s="450">
        <v>0.0</v>
      </c>
      <c r="AC290" s="450">
        <v>0.0</v>
      </c>
      <c r="AD290" s="450">
        <v>0.0</v>
      </c>
      <c r="BJ290" s="406"/>
      <c r="BK290" s="406"/>
      <c r="BL290" s="406"/>
      <c r="BM290" s="406"/>
      <c r="BN290" s="406"/>
      <c r="BO290" s="406"/>
      <c r="BP290" s="406"/>
      <c r="BQ290" s="406"/>
      <c r="BR290" s="406"/>
      <c r="BS290" s="406"/>
      <c r="BT290" s="406"/>
      <c r="BU290" s="406"/>
      <c r="BV290" s="406"/>
      <c r="BW290" s="406"/>
      <c r="BX290" s="406"/>
      <c r="BY290" s="406"/>
      <c r="BZ290" s="406"/>
      <c r="CA290" s="406"/>
      <c r="CB290" s="406"/>
      <c r="CC290" s="406"/>
      <c r="CD290" s="406"/>
      <c r="CE290" s="406"/>
      <c r="CF290" s="406"/>
      <c r="CG290" s="406"/>
      <c r="CH290" s="406"/>
      <c r="CI290" s="406"/>
      <c r="CJ290" s="406"/>
      <c r="CK290" s="406"/>
      <c r="CL290" s="406"/>
      <c r="CM290" s="406"/>
      <c r="CN290" s="406"/>
      <c r="CO290" s="406"/>
      <c r="CP290" s="406"/>
      <c r="CQ290" s="406"/>
      <c r="CR290" s="406"/>
      <c r="CS290" s="406"/>
      <c r="CT290" s="406"/>
      <c r="CU290" s="406"/>
      <c r="CV290" s="406"/>
      <c r="CW290" s="406"/>
      <c r="CX290" s="406"/>
      <c r="CY290" s="406"/>
      <c r="CZ290" s="406"/>
      <c r="DA290" s="406"/>
      <c r="DB290" s="406"/>
      <c r="DC290" s="406"/>
      <c r="DD290" s="406"/>
      <c r="DE290" s="406"/>
      <c r="DF290" s="406"/>
      <c r="DG290" s="406"/>
      <c r="DH290" s="406"/>
      <c r="DI290" s="406"/>
      <c r="DJ290" s="406"/>
      <c r="DK290" s="406"/>
      <c r="DL290" s="406"/>
      <c r="DM290" s="406"/>
      <c r="DN290" s="406"/>
      <c r="DO290" s="406"/>
      <c r="DP290" s="406"/>
      <c r="DQ290" s="406"/>
      <c r="DR290" s="406"/>
      <c r="DS290" s="406"/>
      <c r="DT290" s="406"/>
      <c r="DU290" s="406"/>
    </row>
    <row r="291">
      <c r="B291" s="405">
        <v>10.0</v>
      </c>
      <c r="C291" s="450">
        <v>0.0</v>
      </c>
      <c r="D291" s="450">
        <v>0.0</v>
      </c>
      <c r="E291" s="450">
        <v>0.0</v>
      </c>
      <c r="F291" s="450">
        <v>0.0</v>
      </c>
      <c r="G291" s="450">
        <v>0.0</v>
      </c>
      <c r="H291" s="450">
        <v>0.0</v>
      </c>
      <c r="I291" s="450">
        <v>0.0</v>
      </c>
      <c r="J291" s="450">
        <v>0.0</v>
      </c>
      <c r="K291" s="450">
        <v>0.0</v>
      </c>
      <c r="L291" s="450">
        <f>$AT$70</f>
        <v>7355.759073</v>
      </c>
      <c r="M291" s="450">
        <v>0.0</v>
      </c>
      <c r="N291" s="450">
        <v>0.0</v>
      </c>
      <c r="O291" s="450">
        <v>0.0</v>
      </c>
      <c r="P291" s="450">
        <v>0.0</v>
      </c>
      <c r="Q291" s="450">
        <v>0.0</v>
      </c>
      <c r="R291" s="450">
        <v>0.0</v>
      </c>
      <c r="S291" s="450">
        <v>0.0</v>
      </c>
      <c r="T291" s="450">
        <v>0.0</v>
      </c>
      <c r="U291" s="450">
        <v>0.0</v>
      </c>
      <c r="V291" s="450">
        <v>0.0</v>
      </c>
      <c r="W291" s="450">
        <v>0.0</v>
      </c>
      <c r="X291" s="450">
        <v>0.0</v>
      </c>
      <c r="Y291" s="450">
        <v>0.0</v>
      </c>
      <c r="Z291" s="450">
        <v>0.0</v>
      </c>
      <c r="AA291" s="450">
        <v>0.0</v>
      </c>
      <c r="AB291" s="450">
        <v>0.0</v>
      </c>
      <c r="AC291" s="450">
        <v>0.0</v>
      </c>
      <c r="AD291" s="450">
        <v>0.0</v>
      </c>
      <c r="BJ291" s="406"/>
      <c r="BK291" s="406"/>
      <c r="BL291" s="406"/>
      <c r="BM291" s="406"/>
      <c r="BN291" s="406"/>
      <c r="BO291" s="406"/>
      <c r="BP291" s="406"/>
      <c r="BQ291" s="406"/>
      <c r="BR291" s="406"/>
      <c r="BS291" s="406"/>
      <c r="BT291" s="406"/>
      <c r="BU291" s="406"/>
      <c r="BV291" s="406"/>
      <c r="BW291" s="406"/>
      <c r="BX291" s="406"/>
      <c r="BY291" s="406"/>
      <c r="BZ291" s="406"/>
      <c r="CA291" s="406"/>
      <c r="CB291" s="406"/>
      <c r="CC291" s="406"/>
      <c r="CD291" s="406"/>
      <c r="CE291" s="406"/>
      <c r="CF291" s="406"/>
      <c r="CG291" s="406"/>
      <c r="CH291" s="406"/>
      <c r="CI291" s="406"/>
      <c r="CJ291" s="406"/>
      <c r="CK291" s="406"/>
      <c r="CL291" s="406"/>
      <c r="CM291" s="406"/>
      <c r="CN291" s="406"/>
      <c r="CO291" s="406"/>
      <c r="CP291" s="406"/>
      <c r="CQ291" s="406"/>
      <c r="CR291" s="406"/>
      <c r="CS291" s="406"/>
      <c r="CT291" s="406"/>
      <c r="CU291" s="406"/>
      <c r="CV291" s="406"/>
      <c r="CW291" s="406"/>
      <c r="CX291" s="406"/>
      <c r="CY291" s="406"/>
      <c r="CZ291" s="406"/>
      <c r="DA291" s="406"/>
      <c r="DB291" s="406"/>
      <c r="DC291" s="406"/>
      <c r="DD291" s="406"/>
      <c r="DE291" s="406"/>
      <c r="DF291" s="406"/>
      <c r="DG291" s="406"/>
      <c r="DH291" s="406"/>
      <c r="DI291" s="406"/>
      <c r="DJ291" s="406"/>
      <c r="DK291" s="406"/>
      <c r="DL291" s="406"/>
      <c r="DM291" s="406"/>
      <c r="DN291" s="406"/>
      <c r="DO291" s="406"/>
      <c r="DP291" s="406"/>
      <c r="DQ291" s="406"/>
      <c r="DR291" s="406"/>
      <c r="DS291" s="406"/>
      <c r="DT291" s="406"/>
      <c r="DU291" s="406"/>
    </row>
    <row r="292">
      <c r="B292" s="405">
        <v>11.0</v>
      </c>
      <c r="C292" s="450">
        <v>0.0</v>
      </c>
      <c r="D292" s="450">
        <v>0.0</v>
      </c>
      <c r="E292" s="450">
        <v>0.0</v>
      </c>
      <c r="F292" s="450">
        <v>0.0</v>
      </c>
      <c r="G292" s="450">
        <v>0.0</v>
      </c>
      <c r="H292" s="450">
        <v>0.0</v>
      </c>
      <c r="I292" s="450">
        <v>0.0</v>
      </c>
      <c r="J292" s="450">
        <v>0.0</v>
      </c>
      <c r="K292" s="450">
        <v>0.0</v>
      </c>
      <c r="L292" s="450">
        <v>0.0</v>
      </c>
      <c r="M292" s="450">
        <f>$AT$71</f>
        <v>4471.65226</v>
      </c>
      <c r="N292" s="450">
        <v>0.0</v>
      </c>
      <c r="O292" s="450">
        <v>0.0</v>
      </c>
      <c r="P292" s="450">
        <v>0.0</v>
      </c>
      <c r="Q292" s="450">
        <v>0.0</v>
      </c>
      <c r="R292" s="450">
        <v>0.0</v>
      </c>
      <c r="S292" s="450">
        <v>0.0</v>
      </c>
      <c r="T292" s="450">
        <v>0.0</v>
      </c>
      <c r="U292" s="450">
        <v>0.0</v>
      </c>
      <c r="V292" s="450">
        <v>0.0</v>
      </c>
      <c r="W292" s="450">
        <v>0.0</v>
      </c>
      <c r="X292" s="450">
        <v>0.0</v>
      </c>
      <c r="Y292" s="450">
        <v>0.0</v>
      </c>
      <c r="Z292" s="450">
        <v>0.0</v>
      </c>
      <c r="AA292" s="450">
        <v>0.0</v>
      </c>
      <c r="AB292" s="450">
        <v>0.0</v>
      </c>
      <c r="AC292" s="450">
        <v>0.0</v>
      </c>
      <c r="AD292" s="450">
        <v>0.0</v>
      </c>
      <c r="BJ292" s="406"/>
      <c r="BK292" s="406"/>
      <c r="BL292" s="406"/>
      <c r="BM292" s="406"/>
      <c r="BN292" s="406"/>
      <c r="BO292" s="406"/>
      <c r="BP292" s="406"/>
      <c r="BQ292" s="406"/>
      <c r="BR292" s="406"/>
      <c r="BS292" s="406"/>
      <c r="BT292" s="406"/>
      <c r="BU292" s="406"/>
      <c r="BV292" s="406"/>
      <c r="BW292" s="406"/>
      <c r="BX292" s="406"/>
      <c r="BY292" s="406"/>
      <c r="BZ292" s="406"/>
      <c r="CA292" s="406"/>
      <c r="CB292" s="406"/>
      <c r="CC292" s="406"/>
      <c r="CD292" s="406"/>
      <c r="CE292" s="406"/>
      <c r="CF292" s="406"/>
      <c r="CG292" s="406"/>
      <c r="CH292" s="406"/>
      <c r="CI292" s="406"/>
      <c r="CJ292" s="406"/>
      <c r="CK292" s="406"/>
      <c r="CL292" s="406"/>
      <c r="CM292" s="406"/>
      <c r="CN292" s="406"/>
      <c r="CO292" s="406"/>
      <c r="CP292" s="406"/>
      <c r="CQ292" s="406"/>
      <c r="CR292" s="406"/>
      <c r="CS292" s="406"/>
      <c r="CT292" s="406"/>
      <c r="CU292" s="406"/>
      <c r="CV292" s="406"/>
      <c r="CW292" s="406"/>
      <c r="CX292" s="406"/>
      <c r="CY292" s="406"/>
      <c r="CZ292" s="406"/>
      <c r="DA292" s="406"/>
      <c r="DB292" s="406"/>
      <c r="DC292" s="406"/>
      <c r="DD292" s="406"/>
      <c r="DE292" s="406"/>
      <c r="DF292" s="406"/>
      <c r="DG292" s="406"/>
      <c r="DH292" s="406"/>
      <c r="DI292" s="406"/>
      <c r="DJ292" s="406"/>
      <c r="DK292" s="406"/>
      <c r="DL292" s="406"/>
      <c r="DM292" s="406"/>
      <c r="DN292" s="406"/>
      <c r="DO292" s="406"/>
      <c r="DP292" s="406"/>
      <c r="DQ292" s="406"/>
      <c r="DR292" s="406"/>
      <c r="DS292" s="406"/>
      <c r="DT292" s="406"/>
      <c r="DU292" s="406"/>
    </row>
    <row r="293">
      <c r="B293" s="405">
        <v>12.0</v>
      </c>
      <c r="C293" s="450">
        <v>0.0</v>
      </c>
      <c r="D293" s="450">
        <v>0.0</v>
      </c>
      <c r="E293" s="450">
        <v>0.0</v>
      </c>
      <c r="F293" s="450">
        <v>0.0</v>
      </c>
      <c r="G293" s="450">
        <v>0.0</v>
      </c>
      <c r="H293" s="450">
        <v>0.0</v>
      </c>
      <c r="I293" s="450">
        <v>0.0</v>
      </c>
      <c r="J293" s="450">
        <v>0.0</v>
      </c>
      <c r="K293" s="450">
        <v>0.0</v>
      </c>
      <c r="L293" s="450">
        <v>0.0</v>
      </c>
      <c r="M293" s="450">
        <v>0.0</v>
      </c>
      <c r="N293" s="450">
        <f>$AT$72</f>
        <v>18.8253453</v>
      </c>
      <c r="O293" s="450">
        <v>0.0</v>
      </c>
      <c r="P293" s="450">
        <v>0.0</v>
      </c>
      <c r="Q293" s="450">
        <v>0.0</v>
      </c>
      <c r="R293" s="450">
        <v>0.0</v>
      </c>
      <c r="S293" s="450">
        <v>0.0</v>
      </c>
      <c r="T293" s="450">
        <v>0.0</v>
      </c>
      <c r="U293" s="450">
        <v>0.0</v>
      </c>
      <c r="V293" s="450">
        <v>0.0</v>
      </c>
      <c r="W293" s="450">
        <v>0.0</v>
      </c>
      <c r="X293" s="450">
        <v>0.0</v>
      </c>
      <c r="Y293" s="450">
        <v>0.0</v>
      </c>
      <c r="Z293" s="450">
        <v>0.0</v>
      </c>
      <c r="AA293" s="450">
        <v>0.0</v>
      </c>
      <c r="AB293" s="450">
        <v>0.0</v>
      </c>
      <c r="AC293" s="450">
        <v>0.0</v>
      </c>
      <c r="AD293" s="450">
        <v>0.0</v>
      </c>
      <c r="BJ293" s="406"/>
      <c r="BK293" s="406"/>
      <c r="BL293" s="406"/>
      <c r="BM293" s="406"/>
      <c r="BN293" s="406"/>
      <c r="BO293" s="406"/>
      <c r="BP293" s="406"/>
      <c r="BQ293" s="406"/>
      <c r="BR293" s="406"/>
      <c r="BS293" s="406"/>
      <c r="BT293" s="406"/>
      <c r="BU293" s="406"/>
      <c r="BV293" s="406"/>
      <c r="BW293" s="406"/>
      <c r="BX293" s="406"/>
      <c r="BY293" s="406"/>
      <c r="BZ293" s="406"/>
      <c r="CA293" s="406"/>
      <c r="CB293" s="406"/>
      <c r="CC293" s="406"/>
      <c r="CD293" s="406"/>
      <c r="CE293" s="406"/>
      <c r="CF293" s="406"/>
      <c r="CG293" s="406"/>
      <c r="CH293" s="406"/>
      <c r="CI293" s="406"/>
      <c r="CJ293" s="406"/>
      <c r="CK293" s="406"/>
      <c r="CL293" s="406"/>
      <c r="CM293" s="406"/>
      <c r="CN293" s="406"/>
      <c r="CO293" s="406"/>
      <c r="CP293" s="406"/>
      <c r="CQ293" s="406"/>
      <c r="CR293" s="406"/>
      <c r="CS293" s="406"/>
      <c r="CT293" s="406"/>
      <c r="CU293" s="406"/>
      <c r="CV293" s="406"/>
      <c r="CW293" s="406"/>
      <c r="CX293" s="406"/>
      <c r="CY293" s="406"/>
      <c r="CZ293" s="406"/>
      <c r="DA293" s="406"/>
      <c r="DB293" s="406"/>
      <c r="DC293" s="406"/>
      <c r="DD293" s="406"/>
      <c r="DE293" s="406"/>
      <c r="DF293" s="406"/>
      <c r="DG293" s="406"/>
      <c r="DH293" s="406"/>
      <c r="DI293" s="406"/>
      <c r="DJ293" s="406"/>
      <c r="DK293" s="406"/>
      <c r="DL293" s="406"/>
      <c r="DM293" s="406"/>
      <c r="DN293" s="406"/>
      <c r="DO293" s="406"/>
      <c r="DP293" s="406"/>
      <c r="DQ293" s="406"/>
      <c r="DR293" s="406"/>
      <c r="DS293" s="406"/>
      <c r="DT293" s="406"/>
      <c r="DU293" s="406"/>
    </row>
    <row r="294">
      <c r="B294" s="405">
        <v>13.0</v>
      </c>
      <c r="C294" s="450">
        <v>0.0</v>
      </c>
      <c r="D294" s="450">
        <v>0.0</v>
      </c>
      <c r="E294" s="450">
        <v>0.0</v>
      </c>
      <c r="F294" s="450">
        <v>0.0</v>
      </c>
      <c r="G294" s="450">
        <v>0.0</v>
      </c>
      <c r="H294" s="450">
        <v>0.0</v>
      </c>
      <c r="I294" s="450">
        <v>0.0</v>
      </c>
      <c r="J294" s="450">
        <v>0.0</v>
      </c>
      <c r="K294" s="450">
        <v>0.0</v>
      </c>
      <c r="L294" s="450">
        <v>0.0</v>
      </c>
      <c r="M294" s="450">
        <v>0.0</v>
      </c>
      <c r="N294" s="450">
        <v>0.0</v>
      </c>
      <c r="O294" s="450">
        <f>$AT$73</f>
        <v>1.064292661</v>
      </c>
      <c r="P294" s="450">
        <v>0.0</v>
      </c>
      <c r="Q294" s="450">
        <v>0.0</v>
      </c>
      <c r="R294" s="450">
        <v>0.0</v>
      </c>
      <c r="S294" s="450">
        <v>0.0</v>
      </c>
      <c r="T294" s="450">
        <v>0.0</v>
      </c>
      <c r="U294" s="450">
        <v>0.0</v>
      </c>
      <c r="V294" s="450">
        <v>0.0</v>
      </c>
      <c r="W294" s="450">
        <v>0.0</v>
      </c>
      <c r="X294" s="450">
        <v>0.0</v>
      </c>
      <c r="Y294" s="450">
        <v>0.0</v>
      </c>
      <c r="Z294" s="450">
        <v>0.0</v>
      </c>
      <c r="AA294" s="450">
        <v>0.0</v>
      </c>
      <c r="AB294" s="450">
        <v>0.0</v>
      </c>
      <c r="AC294" s="450">
        <v>0.0</v>
      </c>
      <c r="AD294" s="450">
        <v>0.0</v>
      </c>
      <c r="BJ294" s="406"/>
      <c r="BK294" s="406"/>
      <c r="BL294" s="406"/>
      <c r="BM294" s="406"/>
      <c r="BN294" s="406"/>
      <c r="BO294" s="406"/>
      <c r="BP294" s="406"/>
      <c r="BQ294" s="406"/>
      <c r="BR294" s="406"/>
      <c r="BS294" s="406"/>
      <c r="BT294" s="406"/>
      <c r="BU294" s="406"/>
      <c r="BV294" s="406"/>
      <c r="BW294" s="406"/>
      <c r="BX294" s="406"/>
      <c r="BY294" s="406"/>
      <c r="BZ294" s="406"/>
      <c r="CA294" s="406"/>
      <c r="CB294" s="406"/>
      <c r="CC294" s="406"/>
      <c r="CD294" s="406"/>
      <c r="CE294" s="406"/>
      <c r="CF294" s="406"/>
      <c r="CG294" s="406"/>
      <c r="CH294" s="406"/>
      <c r="CI294" s="406"/>
      <c r="CJ294" s="406"/>
      <c r="CK294" s="406"/>
      <c r="CL294" s="406"/>
      <c r="CM294" s="406"/>
      <c r="CN294" s="406"/>
      <c r="CO294" s="406"/>
      <c r="CP294" s="406"/>
      <c r="CQ294" s="406"/>
      <c r="CR294" s="406"/>
      <c r="CS294" s="406"/>
      <c r="CT294" s="406"/>
      <c r="CU294" s="406"/>
      <c r="CV294" s="406"/>
      <c r="CW294" s="406"/>
      <c r="CX294" s="406"/>
      <c r="CY294" s="406"/>
      <c r="CZ294" s="406"/>
      <c r="DA294" s="406"/>
      <c r="DB294" s="406"/>
      <c r="DC294" s="406"/>
      <c r="DD294" s="406"/>
      <c r="DE294" s="406"/>
      <c r="DF294" s="406"/>
      <c r="DG294" s="406"/>
      <c r="DH294" s="406"/>
      <c r="DI294" s="406"/>
      <c r="DJ294" s="406"/>
      <c r="DK294" s="406"/>
      <c r="DL294" s="406"/>
      <c r="DM294" s="406"/>
      <c r="DN294" s="406"/>
      <c r="DO294" s="406"/>
      <c r="DP294" s="406"/>
      <c r="DQ294" s="406"/>
      <c r="DR294" s="406"/>
      <c r="DS294" s="406"/>
      <c r="DT294" s="406"/>
      <c r="DU294" s="406"/>
    </row>
    <row r="295">
      <c r="B295" s="405">
        <v>14.0</v>
      </c>
      <c r="C295" s="450">
        <v>0.0</v>
      </c>
      <c r="D295" s="450">
        <v>0.0</v>
      </c>
      <c r="E295" s="450">
        <v>0.0</v>
      </c>
      <c r="F295" s="450">
        <v>0.0</v>
      </c>
      <c r="G295" s="450">
        <v>0.0</v>
      </c>
      <c r="H295" s="450">
        <v>0.0</v>
      </c>
      <c r="I295" s="450">
        <v>0.0</v>
      </c>
      <c r="J295" s="450">
        <v>0.0</v>
      </c>
      <c r="K295" s="450">
        <v>0.0</v>
      </c>
      <c r="L295" s="450">
        <v>0.0</v>
      </c>
      <c r="M295" s="450">
        <v>0.0</v>
      </c>
      <c r="N295" s="450">
        <v>0.0</v>
      </c>
      <c r="O295" s="450">
        <v>0.0</v>
      </c>
      <c r="P295" s="450">
        <f>$AT$74</f>
        <v>2791.809238</v>
      </c>
      <c r="Q295" s="450">
        <v>0.0</v>
      </c>
      <c r="R295" s="450">
        <v>0.0</v>
      </c>
      <c r="S295" s="450">
        <v>0.0</v>
      </c>
      <c r="T295" s="450">
        <v>0.0</v>
      </c>
      <c r="U295" s="450">
        <v>0.0</v>
      </c>
      <c r="V295" s="450">
        <v>0.0</v>
      </c>
      <c r="W295" s="450">
        <v>0.0</v>
      </c>
      <c r="X295" s="450">
        <v>0.0</v>
      </c>
      <c r="Y295" s="450">
        <v>0.0</v>
      </c>
      <c r="Z295" s="450">
        <v>0.0</v>
      </c>
      <c r="AA295" s="450">
        <v>0.0</v>
      </c>
      <c r="AB295" s="450">
        <v>0.0</v>
      </c>
      <c r="AC295" s="450">
        <v>0.0</v>
      </c>
      <c r="AD295" s="450">
        <v>0.0</v>
      </c>
      <c r="BJ295" s="406"/>
      <c r="BK295" s="406"/>
      <c r="BL295" s="406"/>
      <c r="BM295" s="406"/>
      <c r="BN295" s="406"/>
      <c r="BO295" s="406"/>
      <c r="BP295" s="406"/>
      <c r="BQ295" s="406"/>
      <c r="BR295" s="406"/>
      <c r="BS295" s="406"/>
      <c r="BT295" s="406"/>
      <c r="BU295" s="406"/>
      <c r="BV295" s="406"/>
      <c r="BW295" s="406"/>
      <c r="BX295" s="406"/>
      <c r="BY295" s="406"/>
      <c r="BZ295" s="406"/>
      <c r="CA295" s="406"/>
      <c r="CB295" s="406"/>
      <c r="CC295" s="406"/>
      <c r="CD295" s="406"/>
      <c r="CE295" s="406"/>
      <c r="CF295" s="406"/>
      <c r="CG295" s="406"/>
      <c r="CH295" s="406"/>
      <c r="CI295" s="406"/>
      <c r="CJ295" s="406"/>
      <c r="CK295" s="406"/>
      <c r="CL295" s="406"/>
      <c r="CM295" s="406"/>
      <c r="CN295" s="406"/>
      <c r="CO295" s="406"/>
      <c r="CP295" s="406"/>
      <c r="CQ295" s="406"/>
      <c r="CR295" s="406"/>
      <c r="CS295" s="406"/>
      <c r="CT295" s="406"/>
      <c r="CU295" s="406"/>
      <c r="CV295" s="406"/>
      <c r="CW295" s="406"/>
      <c r="CX295" s="406"/>
      <c r="CY295" s="406"/>
      <c r="CZ295" s="406"/>
      <c r="DA295" s="406"/>
      <c r="DB295" s="406"/>
      <c r="DC295" s="406"/>
      <c r="DD295" s="406"/>
      <c r="DE295" s="406"/>
      <c r="DF295" s="406"/>
      <c r="DG295" s="406"/>
      <c r="DH295" s="406"/>
      <c r="DI295" s="406"/>
      <c r="DJ295" s="406"/>
      <c r="DK295" s="406"/>
      <c r="DL295" s="406"/>
      <c r="DM295" s="406"/>
      <c r="DN295" s="406"/>
      <c r="DO295" s="406"/>
      <c r="DP295" s="406"/>
      <c r="DQ295" s="406"/>
      <c r="DR295" s="406"/>
      <c r="DS295" s="406"/>
      <c r="DT295" s="406"/>
      <c r="DU295" s="406"/>
    </row>
    <row r="296">
      <c r="B296" s="405">
        <v>15.0</v>
      </c>
      <c r="C296" s="450">
        <v>0.0</v>
      </c>
      <c r="D296" s="450">
        <v>0.0</v>
      </c>
      <c r="E296" s="450">
        <v>0.0</v>
      </c>
      <c r="F296" s="450">
        <v>0.0</v>
      </c>
      <c r="G296" s="450">
        <v>0.0</v>
      </c>
      <c r="H296" s="450">
        <v>0.0</v>
      </c>
      <c r="I296" s="450">
        <v>0.0</v>
      </c>
      <c r="J296" s="450">
        <v>0.0</v>
      </c>
      <c r="K296" s="450">
        <v>0.0</v>
      </c>
      <c r="L296" s="450">
        <v>0.0</v>
      </c>
      <c r="M296" s="450">
        <v>0.0</v>
      </c>
      <c r="N296" s="450">
        <v>0.0</v>
      </c>
      <c r="O296" s="450">
        <v>0.0</v>
      </c>
      <c r="P296" s="450">
        <v>0.0</v>
      </c>
      <c r="Q296" s="450">
        <f>$AT$75</f>
        <v>1238.511932</v>
      </c>
      <c r="R296" s="450">
        <v>0.0</v>
      </c>
      <c r="S296" s="450">
        <v>0.0</v>
      </c>
      <c r="T296" s="450">
        <v>0.0</v>
      </c>
      <c r="U296" s="450">
        <v>0.0</v>
      </c>
      <c r="V296" s="450">
        <v>0.0</v>
      </c>
      <c r="W296" s="450">
        <v>0.0</v>
      </c>
      <c r="X296" s="450">
        <v>0.0</v>
      </c>
      <c r="Y296" s="450">
        <v>0.0</v>
      </c>
      <c r="Z296" s="450">
        <v>0.0</v>
      </c>
      <c r="AA296" s="450">
        <v>0.0</v>
      </c>
      <c r="AB296" s="450">
        <v>0.0</v>
      </c>
      <c r="AC296" s="450">
        <v>0.0</v>
      </c>
      <c r="AD296" s="450">
        <v>0.0</v>
      </c>
      <c r="BJ296" s="406"/>
      <c r="BK296" s="406"/>
      <c r="BL296" s="406"/>
      <c r="BM296" s="406"/>
      <c r="BN296" s="406"/>
      <c r="BO296" s="406"/>
      <c r="BP296" s="406"/>
      <c r="BQ296" s="406"/>
      <c r="BR296" s="406"/>
      <c r="BS296" s="406"/>
      <c r="BT296" s="406"/>
      <c r="BU296" s="406"/>
      <c r="BV296" s="406"/>
      <c r="BW296" s="406"/>
      <c r="BX296" s="406"/>
      <c r="BY296" s="406"/>
      <c r="BZ296" s="406"/>
      <c r="CA296" s="406"/>
      <c r="CB296" s="406"/>
      <c r="CC296" s="406"/>
      <c r="CD296" s="406"/>
      <c r="CE296" s="406"/>
      <c r="CF296" s="406"/>
      <c r="CG296" s="406"/>
      <c r="CH296" s="406"/>
      <c r="CI296" s="406"/>
      <c r="CJ296" s="406"/>
      <c r="CK296" s="406"/>
      <c r="CL296" s="406"/>
      <c r="CM296" s="406"/>
      <c r="CN296" s="406"/>
      <c r="CO296" s="406"/>
      <c r="CP296" s="406"/>
      <c r="CQ296" s="406"/>
      <c r="CR296" s="406"/>
      <c r="CS296" s="406"/>
      <c r="CT296" s="406"/>
      <c r="CU296" s="406"/>
      <c r="CV296" s="406"/>
      <c r="CW296" s="406"/>
      <c r="CX296" s="406"/>
      <c r="CY296" s="406"/>
      <c r="CZ296" s="406"/>
      <c r="DA296" s="406"/>
      <c r="DB296" s="406"/>
      <c r="DC296" s="406"/>
      <c r="DD296" s="406"/>
      <c r="DE296" s="406"/>
      <c r="DF296" s="406"/>
      <c r="DG296" s="406"/>
      <c r="DH296" s="406"/>
      <c r="DI296" s="406"/>
      <c r="DJ296" s="406"/>
      <c r="DK296" s="406"/>
      <c r="DL296" s="406"/>
      <c r="DM296" s="406"/>
      <c r="DN296" s="406"/>
      <c r="DO296" s="406"/>
      <c r="DP296" s="406"/>
      <c r="DQ296" s="406"/>
      <c r="DR296" s="406"/>
      <c r="DS296" s="406"/>
      <c r="DT296" s="406"/>
      <c r="DU296" s="406"/>
    </row>
    <row r="297">
      <c r="B297" s="405">
        <v>16.0</v>
      </c>
      <c r="C297" s="450">
        <v>0.0</v>
      </c>
      <c r="D297" s="450">
        <v>0.0</v>
      </c>
      <c r="E297" s="450">
        <v>0.0</v>
      </c>
      <c r="F297" s="450">
        <v>0.0</v>
      </c>
      <c r="G297" s="450">
        <v>0.0</v>
      </c>
      <c r="H297" s="450">
        <v>0.0</v>
      </c>
      <c r="I297" s="450">
        <v>0.0</v>
      </c>
      <c r="J297" s="450">
        <v>0.0</v>
      </c>
      <c r="K297" s="450">
        <v>0.0</v>
      </c>
      <c r="L297" s="450">
        <v>0.0</v>
      </c>
      <c r="M297" s="450">
        <v>0.0</v>
      </c>
      <c r="N297" s="450">
        <v>0.0</v>
      </c>
      <c r="O297" s="450">
        <v>0.0</v>
      </c>
      <c r="P297" s="450">
        <v>0.0</v>
      </c>
      <c r="Q297" s="450">
        <v>0.0</v>
      </c>
      <c r="R297" s="450">
        <f>$AT$76</f>
        <v>912.8469012</v>
      </c>
      <c r="S297" s="450">
        <v>0.0</v>
      </c>
      <c r="T297" s="450">
        <v>0.0</v>
      </c>
      <c r="U297" s="450">
        <v>0.0</v>
      </c>
      <c r="V297" s="450">
        <v>0.0</v>
      </c>
      <c r="W297" s="450">
        <v>0.0</v>
      </c>
      <c r="X297" s="450">
        <v>0.0</v>
      </c>
      <c r="Y297" s="450">
        <v>0.0</v>
      </c>
      <c r="Z297" s="450">
        <v>0.0</v>
      </c>
      <c r="AA297" s="450">
        <v>0.0</v>
      </c>
      <c r="AB297" s="450">
        <v>0.0</v>
      </c>
      <c r="AC297" s="450">
        <v>0.0</v>
      </c>
      <c r="AD297" s="450">
        <v>0.0</v>
      </c>
      <c r="BJ297" s="24"/>
      <c r="BK297" s="24"/>
      <c r="BL297" s="24"/>
      <c r="BM297" s="24"/>
      <c r="BN297" s="24"/>
      <c r="BO297" s="24"/>
      <c r="BP297" s="24"/>
      <c r="BQ297" s="24"/>
      <c r="BR297" s="24"/>
      <c r="BS297" s="24"/>
      <c r="BT297" s="24"/>
      <c r="BU297" s="24"/>
      <c r="BV297" s="24"/>
      <c r="BW297" s="24"/>
      <c r="BX297" s="24"/>
      <c r="BY297" s="24"/>
      <c r="BZ297" s="24"/>
      <c r="CA297" s="24"/>
      <c r="CB297" s="24"/>
      <c r="CC297" s="24"/>
      <c r="CD297" s="24"/>
      <c r="CE297" s="24"/>
      <c r="CF297" s="24"/>
      <c r="CG297" s="24"/>
      <c r="CH297" s="24"/>
      <c r="CI297" s="24"/>
      <c r="CJ297" s="24"/>
      <c r="CK297" s="24"/>
      <c r="CL297" s="24"/>
      <c r="CM297" s="24"/>
      <c r="CN297" s="24"/>
      <c r="CO297" s="24"/>
      <c r="CP297" s="24"/>
      <c r="CQ297" s="24"/>
      <c r="CR297" s="24"/>
      <c r="CS297" s="24"/>
      <c r="CT297" s="24"/>
      <c r="CU297" s="24"/>
      <c r="CV297" s="24"/>
      <c r="CW297" s="24"/>
      <c r="CX297" s="24"/>
      <c r="CY297" s="24"/>
      <c r="CZ297" s="24"/>
      <c r="DA297" s="24"/>
      <c r="DB297" s="24"/>
      <c r="DC297" s="24"/>
      <c r="DD297" s="24"/>
      <c r="DE297" s="24"/>
      <c r="DF297" s="24"/>
      <c r="DG297" s="24"/>
      <c r="DH297" s="24"/>
      <c r="DI297" s="24"/>
      <c r="DJ297" s="24"/>
      <c r="DK297" s="24"/>
      <c r="DL297" s="24"/>
      <c r="DM297" s="24"/>
      <c r="DN297" s="24"/>
      <c r="DO297" s="24"/>
      <c r="DP297" s="24"/>
      <c r="DQ297" s="24"/>
      <c r="DR297" s="24"/>
      <c r="DS297" s="24"/>
      <c r="DT297" s="24"/>
      <c r="DU297" s="24"/>
    </row>
    <row r="298">
      <c r="B298" s="405">
        <v>17.0</v>
      </c>
      <c r="C298" s="450">
        <v>0.0</v>
      </c>
      <c r="D298" s="450">
        <v>0.0</v>
      </c>
      <c r="E298" s="450">
        <v>0.0</v>
      </c>
      <c r="F298" s="450">
        <v>0.0</v>
      </c>
      <c r="G298" s="450">
        <v>0.0</v>
      </c>
      <c r="H298" s="450">
        <v>0.0</v>
      </c>
      <c r="I298" s="450">
        <v>0.0</v>
      </c>
      <c r="J298" s="450">
        <v>0.0</v>
      </c>
      <c r="K298" s="450">
        <v>0.0</v>
      </c>
      <c r="L298" s="450">
        <v>0.0</v>
      </c>
      <c r="M298" s="450">
        <v>0.0</v>
      </c>
      <c r="N298" s="450">
        <v>0.0</v>
      </c>
      <c r="O298" s="450">
        <v>0.0</v>
      </c>
      <c r="P298" s="450">
        <v>0.0</v>
      </c>
      <c r="Q298" s="450">
        <v>0.0</v>
      </c>
      <c r="R298" s="450">
        <v>0.0</v>
      </c>
      <c r="S298" s="450">
        <f>$AT$77</f>
        <v>233.9369712</v>
      </c>
      <c r="T298" s="450">
        <v>0.0</v>
      </c>
      <c r="U298" s="450">
        <v>0.0</v>
      </c>
      <c r="V298" s="450">
        <v>0.0</v>
      </c>
      <c r="W298" s="450">
        <v>0.0</v>
      </c>
      <c r="X298" s="450">
        <v>0.0</v>
      </c>
      <c r="Y298" s="450">
        <v>0.0</v>
      </c>
      <c r="Z298" s="450">
        <v>0.0</v>
      </c>
      <c r="AA298" s="450">
        <v>0.0</v>
      </c>
      <c r="AB298" s="450">
        <v>0.0</v>
      </c>
      <c r="AC298" s="450">
        <v>0.0</v>
      </c>
      <c r="AD298" s="450">
        <v>0.0</v>
      </c>
      <c r="BJ298" s="24"/>
      <c r="BK298" s="24"/>
      <c r="BL298" s="24"/>
      <c r="BM298" s="24"/>
      <c r="BN298" s="24"/>
      <c r="BO298" s="24"/>
      <c r="BP298" s="24"/>
      <c r="BQ298" s="24"/>
      <c r="BR298" s="24"/>
      <c r="BS298" s="24"/>
      <c r="BT298" s="24"/>
      <c r="BU298" s="24"/>
      <c r="BV298" s="24"/>
      <c r="BW298" s="24"/>
      <c r="BX298" s="24"/>
      <c r="BY298" s="24"/>
      <c r="BZ298" s="24"/>
      <c r="CA298" s="24"/>
      <c r="CB298" s="24"/>
      <c r="CC298" s="24"/>
      <c r="CD298" s="24"/>
      <c r="CE298" s="24"/>
      <c r="CF298" s="24"/>
      <c r="CG298" s="24"/>
      <c r="CH298" s="24"/>
      <c r="CI298" s="24"/>
      <c r="CJ298" s="24"/>
      <c r="CK298" s="24"/>
      <c r="CL298" s="24"/>
      <c r="CM298" s="24"/>
      <c r="CN298" s="24"/>
      <c r="CO298" s="24"/>
      <c r="CP298" s="24"/>
      <c r="CQ298" s="24"/>
      <c r="CR298" s="24"/>
      <c r="CS298" s="24"/>
      <c r="CT298" s="24"/>
      <c r="CU298" s="24"/>
      <c r="CV298" s="24"/>
      <c r="CW298" s="24"/>
      <c r="CX298" s="24"/>
      <c r="CY298" s="24"/>
      <c r="CZ298" s="24"/>
      <c r="DA298" s="24"/>
      <c r="DB298" s="24"/>
      <c r="DC298" s="24"/>
      <c r="DD298" s="24"/>
      <c r="DE298" s="24"/>
      <c r="DF298" s="24"/>
      <c r="DG298" s="24"/>
      <c r="DH298" s="24"/>
      <c r="DI298" s="24"/>
      <c r="DJ298" s="24"/>
      <c r="DK298" s="24"/>
      <c r="DL298" s="24"/>
      <c r="DM298" s="24"/>
      <c r="DN298" s="24"/>
      <c r="DO298" s="24"/>
      <c r="DP298" s="24"/>
      <c r="DQ298" s="24"/>
      <c r="DR298" s="24"/>
      <c r="DS298" s="24"/>
      <c r="DT298" s="24"/>
      <c r="DU298" s="24"/>
    </row>
    <row r="299">
      <c r="B299" s="405">
        <v>18.0</v>
      </c>
      <c r="C299" s="450">
        <v>0.0</v>
      </c>
      <c r="D299" s="450">
        <v>0.0</v>
      </c>
      <c r="E299" s="450">
        <v>0.0</v>
      </c>
      <c r="F299" s="450">
        <v>0.0</v>
      </c>
      <c r="G299" s="450">
        <v>0.0</v>
      </c>
      <c r="H299" s="450">
        <v>0.0</v>
      </c>
      <c r="I299" s="450">
        <v>0.0</v>
      </c>
      <c r="J299" s="450">
        <v>0.0</v>
      </c>
      <c r="K299" s="450">
        <v>0.0</v>
      </c>
      <c r="L299" s="450">
        <v>0.0</v>
      </c>
      <c r="M299" s="450">
        <v>0.0</v>
      </c>
      <c r="N299" s="450">
        <v>0.0</v>
      </c>
      <c r="O299" s="450">
        <v>0.0</v>
      </c>
      <c r="P299" s="450">
        <v>0.0</v>
      </c>
      <c r="Q299" s="450">
        <v>0.0</v>
      </c>
      <c r="R299" s="450">
        <v>0.0</v>
      </c>
      <c r="S299" s="450">
        <v>0.0</v>
      </c>
      <c r="T299" s="450">
        <f>$AT$78</f>
        <v>1293.961591</v>
      </c>
      <c r="U299" s="450">
        <v>0.0</v>
      </c>
      <c r="V299" s="450">
        <v>0.0</v>
      </c>
      <c r="W299" s="450">
        <v>0.0</v>
      </c>
      <c r="X299" s="450">
        <v>0.0</v>
      </c>
      <c r="Y299" s="450">
        <v>0.0</v>
      </c>
      <c r="Z299" s="450">
        <v>0.0</v>
      </c>
      <c r="AA299" s="450">
        <v>0.0</v>
      </c>
      <c r="AB299" s="450">
        <v>0.0</v>
      </c>
      <c r="AC299" s="450">
        <v>0.0</v>
      </c>
      <c r="AD299" s="450">
        <v>0.0</v>
      </c>
      <c r="BJ299" s="24"/>
      <c r="BK299" s="24"/>
      <c r="BL299" s="24"/>
      <c r="BM299" s="24"/>
      <c r="BN299" s="24"/>
      <c r="BO299" s="24"/>
      <c r="BP299" s="24"/>
      <c r="BQ299" s="24"/>
      <c r="BR299" s="24"/>
      <c r="BS299" s="24"/>
      <c r="BT299" s="24"/>
      <c r="BU299" s="24"/>
      <c r="BV299" s="24"/>
      <c r="BW299" s="24"/>
      <c r="BX299" s="24"/>
      <c r="BY299" s="24"/>
      <c r="BZ299" s="24"/>
      <c r="CA299" s="24"/>
      <c r="CB299" s="24"/>
      <c r="CC299" s="24"/>
      <c r="CD299" s="24"/>
      <c r="CE299" s="24"/>
      <c r="CF299" s="24"/>
      <c r="CG299" s="24"/>
      <c r="CH299" s="24"/>
      <c r="CI299" s="24"/>
      <c r="CJ299" s="24"/>
      <c r="CK299" s="24"/>
      <c r="CL299" s="24"/>
      <c r="CM299" s="24"/>
      <c r="CN299" s="24"/>
      <c r="CO299" s="24"/>
      <c r="CP299" s="24"/>
      <c r="CQ299" s="24"/>
      <c r="CR299" s="24"/>
      <c r="CS299" s="24"/>
      <c r="CT299" s="24"/>
      <c r="CU299" s="24"/>
      <c r="CV299" s="24"/>
      <c r="CW299" s="24"/>
      <c r="CX299" s="24"/>
      <c r="CY299" s="24"/>
      <c r="CZ299" s="24"/>
      <c r="DA299" s="24"/>
      <c r="DB299" s="24"/>
      <c r="DC299" s="24"/>
      <c r="DD299" s="24"/>
      <c r="DE299" s="24"/>
      <c r="DF299" s="24"/>
      <c r="DG299" s="24"/>
      <c r="DH299" s="24"/>
      <c r="DI299" s="24"/>
      <c r="DJ299" s="24"/>
      <c r="DK299" s="24"/>
      <c r="DL299" s="24"/>
      <c r="DM299" s="24"/>
      <c r="DN299" s="24"/>
      <c r="DO299" s="24"/>
      <c r="DP299" s="24"/>
      <c r="DQ299" s="24"/>
      <c r="DR299" s="24"/>
      <c r="DS299" s="24"/>
      <c r="DT299" s="24"/>
      <c r="DU299" s="24"/>
    </row>
    <row r="300">
      <c r="B300" s="405">
        <v>19.0</v>
      </c>
      <c r="C300" s="450">
        <v>0.0</v>
      </c>
      <c r="D300" s="450">
        <v>0.0</v>
      </c>
      <c r="E300" s="450">
        <v>0.0</v>
      </c>
      <c r="F300" s="450">
        <v>0.0</v>
      </c>
      <c r="G300" s="450">
        <v>0.0</v>
      </c>
      <c r="H300" s="450">
        <v>0.0</v>
      </c>
      <c r="I300" s="450">
        <v>0.0</v>
      </c>
      <c r="J300" s="450">
        <v>0.0</v>
      </c>
      <c r="K300" s="450">
        <v>0.0</v>
      </c>
      <c r="L300" s="450">
        <v>0.0</v>
      </c>
      <c r="M300" s="450">
        <v>0.0</v>
      </c>
      <c r="N300" s="450">
        <v>0.0</v>
      </c>
      <c r="O300" s="450">
        <v>0.0</v>
      </c>
      <c r="P300" s="450">
        <v>0.0</v>
      </c>
      <c r="Q300" s="450">
        <v>0.0</v>
      </c>
      <c r="R300" s="450">
        <v>0.0</v>
      </c>
      <c r="S300" s="450">
        <v>0.0</v>
      </c>
      <c r="T300" s="450">
        <v>0.0</v>
      </c>
      <c r="U300" s="450">
        <f>$AT$79</f>
        <v>4120.973741</v>
      </c>
      <c r="V300" s="450">
        <v>0.0</v>
      </c>
      <c r="W300" s="450">
        <v>0.0</v>
      </c>
      <c r="X300" s="450">
        <v>0.0</v>
      </c>
      <c r="Y300" s="450">
        <v>0.0</v>
      </c>
      <c r="Z300" s="450">
        <v>0.0</v>
      </c>
      <c r="AA300" s="450">
        <v>0.0</v>
      </c>
      <c r="AB300" s="450">
        <v>0.0</v>
      </c>
      <c r="AC300" s="450">
        <v>0.0</v>
      </c>
      <c r="AD300" s="450">
        <v>0.0</v>
      </c>
    </row>
    <row r="301">
      <c r="B301" s="405">
        <v>20.0</v>
      </c>
      <c r="C301" s="450">
        <v>0.0</v>
      </c>
      <c r="D301" s="450">
        <v>0.0</v>
      </c>
      <c r="E301" s="450">
        <v>0.0</v>
      </c>
      <c r="F301" s="450">
        <v>0.0</v>
      </c>
      <c r="G301" s="450">
        <v>0.0</v>
      </c>
      <c r="H301" s="450">
        <v>0.0</v>
      </c>
      <c r="I301" s="450">
        <v>0.0</v>
      </c>
      <c r="J301" s="450">
        <v>0.0</v>
      </c>
      <c r="K301" s="450">
        <v>0.0</v>
      </c>
      <c r="L301" s="450">
        <v>0.0</v>
      </c>
      <c r="M301" s="450">
        <v>0.0</v>
      </c>
      <c r="N301" s="450">
        <v>0.0</v>
      </c>
      <c r="O301" s="450">
        <v>0.0</v>
      </c>
      <c r="P301" s="450">
        <v>0.0</v>
      </c>
      <c r="Q301" s="450">
        <v>0.0</v>
      </c>
      <c r="R301" s="450">
        <v>0.0</v>
      </c>
      <c r="S301" s="450">
        <v>0.0</v>
      </c>
      <c r="T301" s="450">
        <v>0.0</v>
      </c>
      <c r="U301" s="450">
        <v>0.0</v>
      </c>
      <c r="V301" s="450">
        <f>$AT$80</f>
        <v>54.21546275</v>
      </c>
      <c r="W301" s="450">
        <v>0.0</v>
      </c>
      <c r="X301" s="450">
        <v>0.0</v>
      </c>
      <c r="Y301" s="450">
        <v>0.0</v>
      </c>
      <c r="Z301" s="450">
        <v>0.0</v>
      </c>
      <c r="AA301" s="450">
        <v>0.0</v>
      </c>
      <c r="AB301" s="450">
        <v>0.0</v>
      </c>
      <c r="AC301" s="450">
        <v>0.0</v>
      </c>
      <c r="AD301" s="450">
        <v>0.0</v>
      </c>
    </row>
    <row r="302">
      <c r="B302" s="405">
        <v>21.0</v>
      </c>
      <c r="C302" s="450">
        <v>0.0</v>
      </c>
      <c r="D302" s="450">
        <v>0.0</v>
      </c>
      <c r="E302" s="450">
        <v>0.0</v>
      </c>
      <c r="F302" s="450">
        <v>0.0</v>
      </c>
      <c r="G302" s="450">
        <v>0.0</v>
      </c>
      <c r="H302" s="450">
        <v>0.0</v>
      </c>
      <c r="I302" s="450">
        <v>0.0</v>
      </c>
      <c r="J302" s="450">
        <v>0.0</v>
      </c>
      <c r="K302" s="450">
        <v>0.0</v>
      </c>
      <c r="L302" s="450">
        <v>0.0</v>
      </c>
      <c r="M302" s="450">
        <v>0.0</v>
      </c>
      <c r="N302" s="450">
        <v>0.0</v>
      </c>
      <c r="O302" s="450">
        <v>0.0</v>
      </c>
      <c r="P302" s="450">
        <v>0.0</v>
      </c>
      <c r="Q302" s="450">
        <v>0.0</v>
      </c>
      <c r="R302" s="450">
        <v>0.0</v>
      </c>
      <c r="S302" s="450">
        <v>0.0</v>
      </c>
      <c r="T302" s="450">
        <v>0.0</v>
      </c>
      <c r="U302" s="450">
        <v>0.0</v>
      </c>
      <c r="V302" s="450">
        <v>0.0</v>
      </c>
      <c r="W302" s="450">
        <f>$AT$81</f>
        <v>198.1450714</v>
      </c>
      <c r="X302" s="450">
        <v>0.0</v>
      </c>
      <c r="Y302" s="450">
        <v>0.0</v>
      </c>
      <c r="Z302" s="450">
        <v>0.0</v>
      </c>
      <c r="AA302" s="450">
        <v>0.0</v>
      </c>
      <c r="AB302" s="450">
        <v>0.0</v>
      </c>
      <c r="AC302" s="450">
        <v>0.0</v>
      </c>
      <c r="AD302" s="450">
        <v>0.0</v>
      </c>
    </row>
    <row r="303">
      <c r="B303" s="405">
        <v>22.0</v>
      </c>
      <c r="C303" s="450">
        <v>0.0</v>
      </c>
      <c r="D303" s="450">
        <v>0.0</v>
      </c>
      <c r="E303" s="450">
        <v>0.0</v>
      </c>
      <c r="F303" s="450">
        <v>0.0</v>
      </c>
      <c r="G303" s="450">
        <v>0.0</v>
      </c>
      <c r="H303" s="450">
        <v>0.0</v>
      </c>
      <c r="I303" s="450">
        <v>0.0</v>
      </c>
      <c r="J303" s="450">
        <v>0.0</v>
      </c>
      <c r="K303" s="450">
        <v>0.0</v>
      </c>
      <c r="L303" s="450">
        <v>0.0</v>
      </c>
      <c r="M303" s="450">
        <v>0.0</v>
      </c>
      <c r="N303" s="450">
        <v>0.0</v>
      </c>
      <c r="O303" s="450">
        <v>0.0</v>
      </c>
      <c r="P303" s="450">
        <v>0.0</v>
      </c>
      <c r="Q303" s="450">
        <v>0.0</v>
      </c>
      <c r="R303" s="450">
        <v>0.0</v>
      </c>
      <c r="S303" s="450">
        <v>0.0</v>
      </c>
      <c r="T303" s="450">
        <v>0.0</v>
      </c>
      <c r="U303" s="450">
        <v>0.0</v>
      </c>
      <c r="V303" s="450">
        <v>0.0</v>
      </c>
      <c r="W303" s="450">
        <v>0.0</v>
      </c>
      <c r="X303" s="450">
        <f>$AT$82</f>
        <v>47398.25581</v>
      </c>
      <c r="Y303" s="450">
        <v>0.0</v>
      </c>
      <c r="Z303" s="450">
        <v>0.0</v>
      </c>
      <c r="AA303" s="450">
        <v>0.0</v>
      </c>
      <c r="AB303" s="450">
        <v>0.0</v>
      </c>
      <c r="AC303" s="450">
        <v>0.0</v>
      </c>
      <c r="AD303" s="450">
        <v>0.0</v>
      </c>
    </row>
    <row r="304">
      <c r="B304" s="405">
        <v>23.0</v>
      </c>
      <c r="C304" s="450">
        <v>0.0</v>
      </c>
      <c r="D304" s="450">
        <v>0.0</v>
      </c>
      <c r="E304" s="450">
        <v>0.0</v>
      </c>
      <c r="F304" s="450">
        <v>0.0</v>
      </c>
      <c r="G304" s="450">
        <v>0.0</v>
      </c>
      <c r="H304" s="450">
        <v>0.0</v>
      </c>
      <c r="I304" s="450">
        <v>0.0</v>
      </c>
      <c r="J304" s="450">
        <v>0.0</v>
      </c>
      <c r="K304" s="450">
        <v>0.0</v>
      </c>
      <c r="L304" s="450">
        <v>0.0</v>
      </c>
      <c r="M304" s="450">
        <v>0.0</v>
      </c>
      <c r="N304" s="450">
        <v>0.0</v>
      </c>
      <c r="O304" s="450">
        <v>0.0</v>
      </c>
      <c r="P304" s="450">
        <v>0.0</v>
      </c>
      <c r="Q304" s="450">
        <v>0.0</v>
      </c>
      <c r="R304" s="450">
        <v>0.0</v>
      </c>
      <c r="S304" s="450">
        <v>0.0</v>
      </c>
      <c r="T304" s="450">
        <v>0.0</v>
      </c>
      <c r="U304" s="450">
        <v>0.0</v>
      </c>
      <c r="V304" s="450">
        <v>0.0</v>
      </c>
      <c r="W304" s="450">
        <v>0.0</v>
      </c>
      <c r="X304" s="450">
        <v>0.0</v>
      </c>
      <c r="Y304" s="450">
        <f>$AT$83</f>
        <v>42.68720575</v>
      </c>
      <c r="Z304" s="450">
        <v>0.0</v>
      </c>
      <c r="AA304" s="450">
        <v>0.0</v>
      </c>
      <c r="AB304" s="450">
        <v>0.0</v>
      </c>
      <c r="AC304" s="450">
        <v>0.0</v>
      </c>
      <c r="AD304" s="450">
        <v>0.0</v>
      </c>
    </row>
    <row r="305">
      <c r="B305" s="405">
        <v>24.0</v>
      </c>
      <c r="C305" s="450">
        <v>0.0</v>
      </c>
      <c r="D305" s="450">
        <v>0.0</v>
      </c>
      <c r="E305" s="450">
        <v>0.0</v>
      </c>
      <c r="F305" s="450">
        <v>0.0</v>
      </c>
      <c r="G305" s="450">
        <v>0.0</v>
      </c>
      <c r="H305" s="450">
        <v>0.0</v>
      </c>
      <c r="I305" s="450">
        <v>0.0</v>
      </c>
      <c r="J305" s="450">
        <v>0.0</v>
      </c>
      <c r="K305" s="450">
        <v>0.0</v>
      </c>
      <c r="L305" s="450">
        <v>0.0</v>
      </c>
      <c r="M305" s="450">
        <v>0.0</v>
      </c>
      <c r="N305" s="450">
        <v>0.0</v>
      </c>
      <c r="O305" s="450">
        <v>0.0</v>
      </c>
      <c r="P305" s="450">
        <v>0.0</v>
      </c>
      <c r="Q305" s="450">
        <v>0.0</v>
      </c>
      <c r="R305" s="450">
        <v>0.0</v>
      </c>
      <c r="S305" s="450">
        <v>0.0</v>
      </c>
      <c r="T305" s="450">
        <v>0.0</v>
      </c>
      <c r="U305" s="450">
        <v>0.0</v>
      </c>
      <c r="V305" s="450">
        <v>0.0</v>
      </c>
      <c r="W305" s="450">
        <v>0.0</v>
      </c>
      <c r="X305" s="450">
        <v>0.0</v>
      </c>
      <c r="Y305" s="450">
        <v>0.0</v>
      </c>
      <c r="Z305" s="450">
        <f>$AT$84</f>
        <v>5844.610116</v>
      </c>
      <c r="AA305" s="450">
        <v>0.0</v>
      </c>
      <c r="AB305" s="450">
        <v>0.0</v>
      </c>
      <c r="AC305" s="450">
        <v>0.0</v>
      </c>
      <c r="AD305" s="450">
        <v>0.0</v>
      </c>
    </row>
    <row r="306">
      <c r="B306" s="405">
        <v>25.0</v>
      </c>
      <c r="C306" s="450">
        <v>0.0</v>
      </c>
      <c r="D306" s="450">
        <v>0.0</v>
      </c>
      <c r="E306" s="450">
        <v>0.0</v>
      </c>
      <c r="F306" s="450">
        <v>0.0</v>
      </c>
      <c r="G306" s="450">
        <v>0.0</v>
      </c>
      <c r="H306" s="450">
        <v>0.0</v>
      </c>
      <c r="I306" s="450">
        <v>0.0</v>
      </c>
      <c r="J306" s="450">
        <v>0.0</v>
      </c>
      <c r="K306" s="450">
        <v>0.0</v>
      </c>
      <c r="L306" s="450">
        <v>0.0</v>
      </c>
      <c r="M306" s="450">
        <v>0.0</v>
      </c>
      <c r="N306" s="450">
        <v>0.0</v>
      </c>
      <c r="O306" s="450">
        <v>0.0</v>
      </c>
      <c r="P306" s="450">
        <v>0.0</v>
      </c>
      <c r="Q306" s="450">
        <v>0.0</v>
      </c>
      <c r="R306" s="450">
        <v>0.0</v>
      </c>
      <c r="S306" s="450">
        <v>0.0</v>
      </c>
      <c r="T306" s="450">
        <v>0.0</v>
      </c>
      <c r="U306" s="450">
        <v>0.0</v>
      </c>
      <c r="V306" s="450">
        <v>0.0</v>
      </c>
      <c r="W306" s="450">
        <v>0.0</v>
      </c>
      <c r="X306" s="450">
        <v>0.0</v>
      </c>
      <c r="Y306" s="450">
        <v>0.0</v>
      </c>
      <c r="Z306" s="450">
        <v>0.0</v>
      </c>
      <c r="AA306" s="450">
        <f>$AT$85</f>
        <v>2245.100458</v>
      </c>
      <c r="AB306" s="450">
        <v>0.0</v>
      </c>
      <c r="AC306" s="450">
        <v>0.0</v>
      </c>
      <c r="AD306" s="450">
        <v>0.0</v>
      </c>
    </row>
    <row r="307">
      <c r="B307" s="405">
        <v>26.0</v>
      </c>
      <c r="C307" s="450">
        <v>0.0</v>
      </c>
      <c r="D307" s="450">
        <v>0.0</v>
      </c>
      <c r="E307" s="450">
        <v>0.0</v>
      </c>
      <c r="F307" s="450">
        <v>0.0</v>
      </c>
      <c r="G307" s="450">
        <v>0.0</v>
      </c>
      <c r="H307" s="450">
        <v>0.0</v>
      </c>
      <c r="I307" s="450">
        <v>0.0</v>
      </c>
      <c r="J307" s="450">
        <v>0.0</v>
      </c>
      <c r="K307" s="450">
        <v>0.0</v>
      </c>
      <c r="L307" s="450">
        <v>0.0</v>
      </c>
      <c r="M307" s="450">
        <v>0.0</v>
      </c>
      <c r="N307" s="450">
        <v>0.0</v>
      </c>
      <c r="O307" s="450">
        <v>0.0</v>
      </c>
      <c r="P307" s="450">
        <v>0.0</v>
      </c>
      <c r="Q307" s="450">
        <v>0.0</v>
      </c>
      <c r="R307" s="450">
        <v>0.0</v>
      </c>
      <c r="S307" s="450">
        <v>0.0</v>
      </c>
      <c r="T307" s="450">
        <v>0.0</v>
      </c>
      <c r="U307" s="450">
        <v>0.0</v>
      </c>
      <c r="V307" s="450">
        <v>0.0</v>
      </c>
      <c r="W307" s="450">
        <v>0.0</v>
      </c>
      <c r="X307" s="450">
        <v>0.0</v>
      </c>
      <c r="Y307" s="450">
        <v>0.0</v>
      </c>
      <c r="Z307" s="450">
        <v>0.0</v>
      </c>
      <c r="AA307" s="450">
        <v>0.0</v>
      </c>
      <c r="AB307" s="450">
        <f>$AT$86</f>
        <v>11.3364043</v>
      </c>
      <c r="AC307" s="450">
        <v>0.0</v>
      </c>
      <c r="AD307" s="450">
        <v>0.0</v>
      </c>
    </row>
    <row r="308">
      <c r="B308" s="405">
        <v>27.0</v>
      </c>
      <c r="C308" s="450">
        <v>0.0</v>
      </c>
      <c r="D308" s="450">
        <v>0.0</v>
      </c>
      <c r="E308" s="450">
        <v>0.0</v>
      </c>
      <c r="F308" s="450">
        <v>0.0</v>
      </c>
      <c r="G308" s="450">
        <v>0.0</v>
      </c>
      <c r="H308" s="450">
        <v>0.0</v>
      </c>
      <c r="I308" s="450">
        <v>0.0</v>
      </c>
      <c r="J308" s="450">
        <v>0.0</v>
      </c>
      <c r="K308" s="450">
        <v>0.0</v>
      </c>
      <c r="L308" s="450">
        <v>0.0</v>
      </c>
      <c r="M308" s="450">
        <v>0.0</v>
      </c>
      <c r="N308" s="450">
        <v>0.0</v>
      </c>
      <c r="O308" s="450">
        <v>0.0</v>
      </c>
      <c r="P308" s="450">
        <v>0.0</v>
      </c>
      <c r="Q308" s="450">
        <v>0.0</v>
      </c>
      <c r="R308" s="450">
        <v>0.0</v>
      </c>
      <c r="S308" s="450">
        <v>0.0</v>
      </c>
      <c r="T308" s="450">
        <v>0.0</v>
      </c>
      <c r="U308" s="450">
        <v>0.0</v>
      </c>
      <c r="V308" s="450">
        <v>0.0</v>
      </c>
      <c r="W308" s="450">
        <v>0.0</v>
      </c>
      <c r="X308" s="450">
        <v>0.0</v>
      </c>
      <c r="Y308" s="450">
        <v>0.0</v>
      </c>
      <c r="Z308" s="450">
        <v>0.0</v>
      </c>
      <c r="AA308" s="450">
        <v>0.0</v>
      </c>
      <c r="AB308" s="450">
        <v>0.0</v>
      </c>
      <c r="AC308" s="450">
        <f>$AT$87</f>
        <v>9.189019573</v>
      </c>
      <c r="AD308" s="450">
        <v>0.0</v>
      </c>
    </row>
    <row r="309">
      <c r="B309" s="405">
        <v>28.0</v>
      </c>
      <c r="C309" s="450">
        <v>0.0</v>
      </c>
      <c r="D309" s="450">
        <v>0.0</v>
      </c>
      <c r="E309" s="450">
        <v>0.0</v>
      </c>
      <c r="F309" s="450">
        <v>0.0</v>
      </c>
      <c r="G309" s="450">
        <v>0.0</v>
      </c>
      <c r="H309" s="450">
        <v>0.0</v>
      </c>
      <c r="I309" s="450">
        <v>0.0</v>
      </c>
      <c r="J309" s="450">
        <v>0.0</v>
      </c>
      <c r="K309" s="450">
        <v>0.0</v>
      </c>
      <c r="L309" s="450">
        <v>0.0</v>
      </c>
      <c r="M309" s="450">
        <v>0.0</v>
      </c>
      <c r="N309" s="450">
        <v>0.0</v>
      </c>
      <c r="O309" s="450">
        <v>0.0</v>
      </c>
      <c r="P309" s="450">
        <v>0.0</v>
      </c>
      <c r="Q309" s="450">
        <v>0.0</v>
      </c>
      <c r="R309" s="450">
        <v>0.0</v>
      </c>
      <c r="S309" s="450">
        <v>0.0</v>
      </c>
      <c r="T309" s="450">
        <v>0.0</v>
      </c>
      <c r="U309" s="450">
        <v>0.0</v>
      </c>
      <c r="V309" s="450">
        <v>0.0</v>
      </c>
      <c r="W309" s="450">
        <v>0.0</v>
      </c>
      <c r="X309" s="450">
        <v>0.0</v>
      </c>
      <c r="Y309" s="450">
        <v>0.0</v>
      </c>
      <c r="Z309" s="450">
        <v>0.0</v>
      </c>
      <c r="AA309" s="450">
        <v>0.0</v>
      </c>
      <c r="AB309" s="450">
        <v>0.0</v>
      </c>
      <c r="AC309" s="450">
        <v>0.0</v>
      </c>
      <c r="AD309" s="450">
        <f>$AT$88</f>
        <v>11.45964917</v>
      </c>
    </row>
    <row r="319">
      <c r="AY319" s="184"/>
    </row>
    <row r="320">
      <c r="AY320" s="184"/>
    </row>
    <row r="321">
      <c r="AY321" s="24"/>
    </row>
    <row r="322">
      <c r="AY322" s="24"/>
    </row>
    <row r="323">
      <c r="AY323" s="24"/>
    </row>
    <row r="327">
      <c r="B327" s="13" t="s">
        <v>216</v>
      </c>
    </row>
    <row r="329">
      <c r="A329" s="24"/>
      <c r="B329" s="25" t="s">
        <v>44</v>
      </c>
      <c r="C329" s="17" t="s">
        <v>39</v>
      </c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9"/>
      <c r="Q329" s="17" t="s">
        <v>40</v>
      </c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9"/>
      <c r="AE329" s="17" t="s">
        <v>39</v>
      </c>
      <c r="AF329" s="18"/>
      <c r="AG329" s="18"/>
      <c r="AH329" s="18"/>
      <c r="AI329" s="18"/>
      <c r="AJ329" s="18"/>
      <c r="AK329" s="19"/>
      <c r="AL329" s="17" t="s">
        <v>40</v>
      </c>
      <c r="AM329" s="18"/>
      <c r="AN329" s="18"/>
      <c r="AO329" s="18"/>
      <c r="AP329" s="18"/>
      <c r="AQ329" s="18"/>
      <c r="AR329" s="19"/>
      <c r="AS329" s="24"/>
      <c r="AT329" s="24"/>
      <c r="AU329" s="24"/>
      <c r="AV329" s="24"/>
      <c r="AW329" s="25" t="s">
        <v>44</v>
      </c>
      <c r="AX329" s="24"/>
    </row>
    <row r="330">
      <c r="A330" s="25" t="s">
        <v>44</v>
      </c>
      <c r="B330" s="25"/>
      <c r="C330" s="262" t="s">
        <v>58</v>
      </c>
      <c r="D330" s="262" t="s">
        <v>59</v>
      </c>
      <c r="E330" s="262" t="s">
        <v>60</v>
      </c>
      <c r="F330" s="262" t="s">
        <v>61</v>
      </c>
      <c r="G330" s="25" t="s">
        <v>62</v>
      </c>
      <c r="H330" s="25" t="s">
        <v>63</v>
      </c>
      <c r="I330" s="25" t="s">
        <v>64</v>
      </c>
      <c r="J330" s="25" t="s">
        <v>65</v>
      </c>
      <c r="K330" s="25" t="s">
        <v>66</v>
      </c>
      <c r="L330" s="25" t="s">
        <v>67</v>
      </c>
      <c r="M330" s="25" t="s">
        <v>68</v>
      </c>
      <c r="N330" s="25" t="s">
        <v>69</v>
      </c>
      <c r="O330" s="25" t="s">
        <v>70</v>
      </c>
      <c r="P330" s="25" t="s">
        <v>71</v>
      </c>
      <c r="Q330" s="26" t="s">
        <v>58</v>
      </c>
      <c r="R330" s="26" t="s">
        <v>59</v>
      </c>
      <c r="S330" s="26" t="s">
        <v>60</v>
      </c>
      <c r="T330" s="26" t="s">
        <v>61</v>
      </c>
      <c r="U330" s="26" t="s">
        <v>62</v>
      </c>
      <c r="V330" s="26" t="s">
        <v>63</v>
      </c>
      <c r="W330" s="26" t="s">
        <v>64</v>
      </c>
      <c r="X330" s="26" t="s">
        <v>65</v>
      </c>
      <c r="Y330" s="26" t="s">
        <v>66</v>
      </c>
      <c r="Z330" s="26" t="s">
        <v>67</v>
      </c>
      <c r="AA330" s="26" t="s">
        <v>68</v>
      </c>
      <c r="AB330" s="26" t="s">
        <v>69</v>
      </c>
      <c r="AC330" s="26" t="s">
        <v>70</v>
      </c>
      <c r="AD330" s="26" t="s">
        <v>71</v>
      </c>
      <c r="AE330" s="25" t="s">
        <v>45</v>
      </c>
      <c r="AF330" s="25" t="s">
        <v>46</v>
      </c>
      <c r="AG330" s="25" t="s">
        <v>47</v>
      </c>
      <c r="AH330" s="25" t="s">
        <v>48</v>
      </c>
      <c r="AI330" s="25" t="s">
        <v>49</v>
      </c>
      <c r="AJ330" s="25" t="s">
        <v>50</v>
      </c>
      <c r="AK330" s="25" t="s">
        <v>51</v>
      </c>
      <c r="AL330" s="26" t="s">
        <v>45</v>
      </c>
      <c r="AM330" s="26" t="s">
        <v>46</v>
      </c>
      <c r="AN330" s="26" t="s">
        <v>47</v>
      </c>
      <c r="AO330" s="26" t="s">
        <v>48</v>
      </c>
      <c r="AP330" s="26" t="s">
        <v>49</v>
      </c>
      <c r="AQ330" s="26" t="s">
        <v>50</v>
      </c>
      <c r="AR330" s="26" t="s">
        <v>51</v>
      </c>
      <c r="AS330" s="288" t="s">
        <v>217</v>
      </c>
      <c r="AT330" s="288" t="s">
        <v>42</v>
      </c>
      <c r="AU330" s="28" t="s">
        <v>56</v>
      </c>
      <c r="AV330" s="289" t="s">
        <v>96</v>
      </c>
      <c r="AW330" s="25" t="s">
        <v>57</v>
      </c>
      <c r="AX330" s="25" t="s">
        <v>44</v>
      </c>
    </row>
    <row r="331">
      <c r="A331" s="26" t="s">
        <v>39</v>
      </c>
      <c r="B331" s="25" t="s">
        <v>58</v>
      </c>
      <c r="C331" s="129">
        <f t="array" ref="C331:AD358">MMULT(C61:AD88,MINVERSE(C125:AD152))</f>
        <v>232.2019882</v>
      </c>
      <c r="D331" s="451">
        <v>663.8330368394446</v>
      </c>
      <c r="E331" s="452">
        <v>314.4216998933115</v>
      </c>
      <c r="F331" s="34">
        <v>0.046384141822801685</v>
      </c>
      <c r="G331" s="138">
        <v>126.46569801597214</v>
      </c>
      <c r="H331" s="34">
        <v>0.003030161936476676</v>
      </c>
      <c r="I331" s="34">
        <v>0.11125781959023973</v>
      </c>
      <c r="J331" s="453">
        <v>55.3359241376958</v>
      </c>
      <c r="K331" s="34">
        <v>0.026899260202521483</v>
      </c>
      <c r="L331" s="82">
        <v>24.62618099356562</v>
      </c>
      <c r="M331" s="35">
        <v>29.53429754110901</v>
      </c>
      <c r="N331" s="34">
        <v>0.0055701301524024105</v>
      </c>
      <c r="O331" s="34">
        <v>0.008256299489279615</v>
      </c>
      <c r="P331" s="454">
        <v>75.1462088504009</v>
      </c>
      <c r="Q331" s="455">
        <v>40.31321415988102</v>
      </c>
      <c r="R331" s="456">
        <v>67.67795564149047</v>
      </c>
      <c r="S331" s="457">
        <v>211.88460029218078</v>
      </c>
      <c r="T331" s="458">
        <v>4.653574524273949</v>
      </c>
      <c r="U331" s="459">
        <v>418.46829764315277</v>
      </c>
      <c r="V331" s="39">
        <v>0.6702303153677327</v>
      </c>
      <c r="W331" s="460">
        <v>17.87204582270804</v>
      </c>
      <c r="X331" s="461">
        <v>165.13970050982368</v>
      </c>
      <c r="Y331" s="458">
        <v>4.1853845312399125</v>
      </c>
      <c r="Z331" s="456">
        <v>66.7807811657094</v>
      </c>
      <c r="AA331" s="41">
        <v>195.46512727126745</v>
      </c>
      <c r="AB331" s="39">
        <v>1.4585424104508051</v>
      </c>
      <c r="AC331" s="39">
        <v>0.043948516314404</v>
      </c>
      <c r="AD331" s="462">
        <v>65.56038917421304</v>
      </c>
      <c r="AE331" s="33">
        <f t="shared" ref="AE331:AU331" si="101">AE61</f>
        <v>462.2695437</v>
      </c>
      <c r="AF331" s="33">
        <f t="shared" si="101"/>
        <v>0.0007314438734</v>
      </c>
      <c r="AG331" s="33">
        <f t="shared" si="101"/>
        <v>0.04528004707</v>
      </c>
      <c r="AH331" s="33">
        <f t="shared" si="101"/>
        <v>31.99376784</v>
      </c>
      <c r="AI331" s="33">
        <f t="shared" si="101"/>
        <v>7.419107843</v>
      </c>
      <c r="AJ331" s="33">
        <f t="shared" si="101"/>
        <v>2.41139494</v>
      </c>
      <c r="AK331" s="33">
        <f t="shared" si="101"/>
        <v>0</v>
      </c>
      <c r="AL331" s="33">
        <f t="shared" si="101"/>
        <v>636.9865087</v>
      </c>
      <c r="AM331" s="33">
        <f t="shared" si="101"/>
        <v>0.02299175326</v>
      </c>
      <c r="AN331" s="33">
        <f t="shared" si="101"/>
        <v>3.654546039</v>
      </c>
      <c r="AO331" s="33">
        <f t="shared" si="101"/>
        <v>0.7648449913</v>
      </c>
      <c r="AP331" s="33">
        <f t="shared" si="101"/>
        <v>177.985018</v>
      </c>
      <c r="AQ331" s="33">
        <f t="shared" si="101"/>
        <v>0.04771269979</v>
      </c>
      <c r="AR331" s="33">
        <f t="shared" si="101"/>
        <v>0</v>
      </c>
      <c r="AS331" s="33">
        <f t="shared" si="101"/>
        <v>478.9328346</v>
      </c>
      <c r="AT331" s="33">
        <f t="shared" si="101"/>
        <v>819.4616222</v>
      </c>
      <c r="AU331" s="33">
        <f t="shared" si="101"/>
        <v>1298.394457</v>
      </c>
      <c r="AV331" s="292">
        <f t="array" ref="AV331:AV358">MMULT(C220:AD247,AU331:AU358)</f>
        <v>4080.334681</v>
      </c>
      <c r="AW331" s="46" t="s">
        <v>58</v>
      </c>
      <c r="AX331" s="26" t="s">
        <v>39</v>
      </c>
    </row>
    <row r="332">
      <c r="A332" s="61"/>
      <c r="B332" s="25" t="s">
        <v>59</v>
      </c>
      <c r="C332" s="34">
        <v>0.21312308377008338</v>
      </c>
      <c r="D332" s="463">
        <v>28.26391321602198</v>
      </c>
      <c r="E332" s="105">
        <v>103.03937445952783</v>
      </c>
      <c r="F332" s="147">
        <v>3.9393582965997225</v>
      </c>
      <c r="G332" s="105">
        <v>321.92336250631377</v>
      </c>
      <c r="H332" s="72">
        <v>1.3552568771657967</v>
      </c>
      <c r="I332" s="34">
        <v>0.215030022670916</v>
      </c>
      <c r="J332" s="464">
        <v>32.18687285325285</v>
      </c>
      <c r="K332" s="34">
        <v>0.02527207819218198</v>
      </c>
      <c r="L332" s="465">
        <v>39.98941023558988</v>
      </c>
      <c r="M332" s="466">
        <v>80.25116358686807</v>
      </c>
      <c r="N332" s="37">
        <v>2.6227174700413394</v>
      </c>
      <c r="O332" s="34">
        <v>0.04444303290264949</v>
      </c>
      <c r="P332" s="452">
        <v>277.1681424679572</v>
      </c>
      <c r="Q332" s="101">
        <v>4.901478261338766</v>
      </c>
      <c r="R332" s="467">
        <v>72.07435000020186</v>
      </c>
      <c r="S332" s="468">
        <v>82.94158801059982</v>
      </c>
      <c r="T332" s="469">
        <v>30.55668650216237</v>
      </c>
      <c r="U332" s="470">
        <v>224.58238012353291</v>
      </c>
      <c r="V332" s="34">
        <v>0.2765594188490636</v>
      </c>
      <c r="W332" s="471">
        <v>26.554840210892245</v>
      </c>
      <c r="X332" s="132">
        <v>121.31316665232919</v>
      </c>
      <c r="Y332" s="124">
        <v>9.308521909372834</v>
      </c>
      <c r="Z332" s="132">
        <v>148.81005021680429</v>
      </c>
      <c r="AA332" s="108">
        <v>203.16125883674957</v>
      </c>
      <c r="AB332" s="85">
        <v>5.317715863767545</v>
      </c>
      <c r="AC332" s="34">
        <v>0.359452419669931</v>
      </c>
      <c r="AD332" s="472">
        <v>463.35872794969015</v>
      </c>
      <c r="AE332" s="33">
        <f t="shared" ref="AE332:AU332" si="102">AE62</f>
        <v>921.3497518</v>
      </c>
      <c r="AF332" s="33">
        <f t="shared" si="102"/>
        <v>0.02214475945</v>
      </c>
      <c r="AG332" s="33">
        <f t="shared" si="102"/>
        <v>2.811757437</v>
      </c>
      <c r="AH332" s="33">
        <f t="shared" si="102"/>
        <v>10.0939567</v>
      </c>
      <c r="AI332" s="33">
        <f t="shared" si="102"/>
        <v>3.349593796</v>
      </c>
      <c r="AJ332" s="33">
        <f t="shared" si="102"/>
        <v>1.018711527</v>
      </c>
      <c r="AK332" s="33">
        <f t="shared" si="102"/>
        <v>0</v>
      </c>
      <c r="AL332" s="33">
        <f t="shared" si="102"/>
        <v>2553.031774</v>
      </c>
      <c r="AM332" s="33">
        <f t="shared" si="102"/>
        <v>0.4028888463</v>
      </c>
      <c r="AN332" s="33">
        <f t="shared" si="102"/>
        <v>2.032167502</v>
      </c>
      <c r="AO332" s="33">
        <f t="shared" si="102"/>
        <v>1.839307637</v>
      </c>
      <c r="AP332" s="33">
        <f t="shared" si="102"/>
        <v>19.88039018</v>
      </c>
      <c r="AQ332" s="33">
        <f t="shared" si="102"/>
        <v>0.6193169968</v>
      </c>
      <c r="AR332" s="33">
        <f t="shared" si="102"/>
        <v>0</v>
      </c>
      <c r="AS332" s="33">
        <f t="shared" si="102"/>
        <v>891.7136202</v>
      </c>
      <c r="AT332" s="33">
        <f t="shared" si="102"/>
        <v>2577.805845</v>
      </c>
      <c r="AU332" s="33">
        <f t="shared" si="102"/>
        <v>3469.519466</v>
      </c>
      <c r="AV332" s="294">
        <v>5754.2736820997825</v>
      </c>
      <c r="AW332" s="46" t="s">
        <v>59</v>
      </c>
      <c r="AX332" s="61"/>
    </row>
    <row r="333">
      <c r="A333" s="61"/>
      <c r="B333" s="25" t="s">
        <v>60</v>
      </c>
      <c r="C333" s="34">
        <v>0.17062690174409886</v>
      </c>
      <c r="D333" s="72">
        <v>1.4654034165723988</v>
      </c>
      <c r="E333" s="100">
        <v>11.23492217816322</v>
      </c>
      <c r="F333" s="52">
        <v>841.814270015163</v>
      </c>
      <c r="G333" s="452">
        <v>10.690037564119962</v>
      </c>
      <c r="H333" s="34">
        <v>0.19581356577227793</v>
      </c>
      <c r="I333" s="34">
        <v>0.25295386820361176</v>
      </c>
      <c r="J333" s="66">
        <v>29.780049283741768</v>
      </c>
      <c r="K333" s="147">
        <v>4.561292823220238</v>
      </c>
      <c r="L333" s="473">
        <v>388.24274461320687</v>
      </c>
      <c r="M333" s="35">
        <v>34.01013528925599</v>
      </c>
      <c r="N333" s="34">
        <v>0.38269933037004306</v>
      </c>
      <c r="O333" s="34">
        <v>0.15812607608993798</v>
      </c>
      <c r="P333" s="106">
        <v>59.74992951112259</v>
      </c>
      <c r="Q333" s="152">
        <v>0.49857186899089406</v>
      </c>
      <c r="R333" s="72">
        <v>2.9331580361110867</v>
      </c>
      <c r="S333" s="201">
        <v>12.002659762514995</v>
      </c>
      <c r="T333" s="474">
        <v>81.23395039861981</v>
      </c>
      <c r="U333" s="471">
        <v>25.1406200673331</v>
      </c>
      <c r="V333" s="34">
        <v>0.8422966903715465</v>
      </c>
      <c r="W333" s="34">
        <v>1.8978178028986747</v>
      </c>
      <c r="X333" s="132">
        <v>115.77007322875522</v>
      </c>
      <c r="Y333" s="124">
        <v>8.7124817886202</v>
      </c>
      <c r="Z333" s="475">
        <v>62.59960289375155</v>
      </c>
      <c r="AA333" s="134">
        <v>54.234716304283545</v>
      </c>
      <c r="AB333" s="72">
        <v>3.1133741470081184</v>
      </c>
      <c r="AC333" s="154">
        <v>0.04385931587791226</v>
      </c>
      <c r="AD333" s="476">
        <v>12.689878371884756</v>
      </c>
      <c r="AE333" s="33">
        <f t="shared" ref="AE333:AU333" si="103">AE63</f>
        <v>695.6401602</v>
      </c>
      <c r="AF333" s="33">
        <f t="shared" si="103"/>
        <v>0.09562869004</v>
      </c>
      <c r="AG333" s="33">
        <f t="shared" si="103"/>
        <v>30.24559592</v>
      </c>
      <c r="AH333" s="33">
        <f t="shared" si="103"/>
        <v>1221.937853</v>
      </c>
      <c r="AI333" s="33">
        <f t="shared" si="103"/>
        <v>9.09573759</v>
      </c>
      <c r="AJ333" s="33">
        <f t="shared" si="103"/>
        <v>2.14837108</v>
      </c>
      <c r="AK333" s="33">
        <f t="shared" si="103"/>
        <v>0</v>
      </c>
      <c r="AL333" s="33">
        <f t="shared" si="103"/>
        <v>197.853303</v>
      </c>
      <c r="AM333" s="33">
        <f t="shared" si="103"/>
        <v>3.694870302</v>
      </c>
      <c r="AN333" s="33">
        <f t="shared" si="103"/>
        <v>3.23876179</v>
      </c>
      <c r="AO333" s="33">
        <f t="shared" si="103"/>
        <v>55.72758786</v>
      </c>
      <c r="AP333" s="33">
        <f t="shared" si="103"/>
        <v>47.22766151</v>
      </c>
      <c r="AQ333" s="33">
        <f t="shared" si="103"/>
        <v>6.85733121</v>
      </c>
      <c r="AR333" s="33">
        <f t="shared" si="103"/>
        <v>0</v>
      </c>
      <c r="AS333" s="33">
        <f t="shared" si="103"/>
        <v>2057.121514</v>
      </c>
      <c r="AT333" s="33">
        <f t="shared" si="103"/>
        <v>314.5995157</v>
      </c>
      <c r="AU333" s="33">
        <f t="shared" si="103"/>
        <v>2371.72103</v>
      </c>
      <c r="AV333" s="307">
        <v>4136.143094782401</v>
      </c>
      <c r="AW333" s="79" t="s">
        <v>60</v>
      </c>
      <c r="AX333" s="61"/>
    </row>
    <row r="334">
      <c r="A334" s="61"/>
      <c r="B334" s="25" t="s">
        <v>61</v>
      </c>
      <c r="C334" s="37">
        <v>2.850094779080548</v>
      </c>
      <c r="D334" s="99">
        <v>5.346475163617318</v>
      </c>
      <c r="E334" s="477">
        <v>51.01493257289712</v>
      </c>
      <c r="F334" s="473">
        <v>426.04455467846253</v>
      </c>
      <c r="G334" s="105">
        <v>6.16004917944182</v>
      </c>
      <c r="H334" s="34">
        <v>1.0860399886509928</v>
      </c>
      <c r="I334" s="69">
        <v>1.7597599482742388</v>
      </c>
      <c r="J334" s="105">
        <v>126.5816155636878</v>
      </c>
      <c r="K334" s="34">
        <v>0.4179486342380559</v>
      </c>
      <c r="L334" s="105">
        <v>111.06235023136983</v>
      </c>
      <c r="M334" s="473">
        <v>447.29641185252376</v>
      </c>
      <c r="N334" s="69">
        <v>2.13915466608576</v>
      </c>
      <c r="O334" s="34">
        <v>0.41675222338520906</v>
      </c>
      <c r="P334" s="33">
        <v>477.82651408052226</v>
      </c>
      <c r="Q334" s="478">
        <v>20.749064187610806</v>
      </c>
      <c r="R334" s="479">
        <v>8.21793086857427</v>
      </c>
      <c r="S334" s="480">
        <v>45.19668042708036</v>
      </c>
      <c r="T334" s="481">
        <v>591.6082173193773</v>
      </c>
      <c r="U334" s="239">
        <v>270.10778499160364</v>
      </c>
      <c r="V334" s="34">
        <v>1.3018889767336856</v>
      </c>
      <c r="W334" s="469">
        <v>30.891489885854813</v>
      </c>
      <c r="X334" s="239">
        <v>267.60686207647757</v>
      </c>
      <c r="Y334" s="85">
        <v>4.767099265881356</v>
      </c>
      <c r="Z334" s="108">
        <v>169.75760106375316</v>
      </c>
      <c r="AA334" s="482">
        <v>303.64553932279176</v>
      </c>
      <c r="AB334" s="72">
        <v>2.3660736351240077</v>
      </c>
      <c r="AC334" s="154">
        <v>0.5487564176203277</v>
      </c>
      <c r="AD334" s="483">
        <v>325.11042420231746</v>
      </c>
      <c r="AE334" s="33">
        <f t="shared" ref="AE334:AU334" si="104">AE64</f>
        <v>1506.483669</v>
      </c>
      <c r="AF334" s="33">
        <f t="shared" si="104"/>
        <v>0.02325051279</v>
      </c>
      <c r="AG334" s="33">
        <f t="shared" si="104"/>
        <v>24.66919221</v>
      </c>
      <c r="AH334" s="33">
        <f t="shared" si="104"/>
        <v>61.64258728</v>
      </c>
      <c r="AI334" s="33">
        <f t="shared" si="104"/>
        <v>9.486454263</v>
      </c>
      <c r="AJ334" s="33">
        <f t="shared" si="104"/>
        <v>2.452854857</v>
      </c>
      <c r="AK334" s="33">
        <f t="shared" si="104"/>
        <v>0</v>
      </c>
      <c r="AL334" s="33">
        <f t="shared" si="104"/>
        <v>2648.915881</v>
      </c>
      <c r="AM334" s="33">
        <f t="shared" si="104"/>
        <v>3.600550527</v>
      </c>
      <c r="AN334" s="33">
        <f t="shared" si="104"/>
        <v>5.145072422</v>
      </c>
      <c r="AO334" s="33">
        <f t="shared" si="104"/>
        <v>6.807631528</v>
      </c>
      <c r="AP334" s="33">
        <f t="shared" si="104"/>
        <v>-184.6499898</v>
      </c>
      <c r="AQ334" s="33">
        <f t="shared" si="104"/>
        <v>6.867294105</v>
      </c>
      <c r="AR334" s="33">
        <f t="shared" si="104"/>
        <v>0</v>
      </c>
      <c r="AS334" s="33">
        <f t="shared" si="104"/>
        <v>1684.995908</v>
      </c>
      <c r="AT334" s="33">
        <f t="shared" si="104"/>
        <v>2486.68644</v>
      </c>
      <c r="AU334" s="33">
        <f t="shared" si="104"/>
        <v>4171.682348</v>
      </c>
      <c r="AV334" s="307">
        <v>7873.560414219729</v>
      </c>
      <c r="AW334" s="79" t="s">
        <v>61</v>
      </c>
      <c r="AX334" s="61"/>
    </row>
    <row r="335">
      <c r="A335" s="61"/>
      <c r="B335" s="25" t="s">
        <v>62</v>
      </c>
      <c r="C335" s="34">
        <v>0.4967600278789002</v>
      </c>
      <c r="D335" s="484">
        <v>55.26950329791185</v>
      </c>
      <c r="E335" s="485">
        <v>326.5033253975738</v>
      </c>
      <c r="F335" s="157">
        <v>43.69298976119889</v>
      </c>
      <c r="G335" s="486">
        <v>1217.9869828697724</v>
      </c>
      <c r="H335" s="34">
        <v>0.555802638558776</v>
      </c>
      <c r="I335" s="34">
        <v>0.5879289674593868</v>
      </c>
      <c r="J335" s="105">
        <v>107.62411081625054</v>
      </c>
      <c r="K335" s="34">
        <v>0.050660240071148714</v>
      </c>
      <c r="L335" s="487">
        <v>72.48412252533059</v>
      </c>
      <c r="M335" s="129">
        <v>264.8719839920893</v>
      </c>
      <c r="N335" s="34">
        <v>1.0944147800125303</v>
      </c>
      <c r="O335" s="34">
        <v>0.12090655868283232</v>
      </c>
      <c r="P335" s="65">
        <v>749.4880246835955</v>
      </c>
      <c r="Q335" s="488">
        <v>10.370643646594296</v>
      </c>
      <c r="R335" s="132">
        <v>145.65758584203033</v>
      </c>
      <c r="S335" s="239">
        <v>263.23043692056416</v>
      </c>
      <c r="T335" s="470">
        <v>214.13917110519756</v>
      </c>
      <c r="U335" s="118">
        <v>1040.6574507483767</v>
      </c>
      <c r="V335" s="34">
        <v>0.7504349893815008</v>
      </c>
      <c r="W335" s="489">
        <v>36.26326541941421</v>
      </c>
      <c r="X335" s="116">
        <v>473.2437233730494</v>
      </c>
      <c r="Y335" s="490">
        <v>16.357029910773537</v>
      </c>
      <c r="Z335" s="470">
        <v>232.774181781366</v>
      </c>
      <c r="AA335" s="116">
        <v>480.7387731339709</v>
      </c>
      <c r="AB335" s="85">
        <v>4.649005411259516</v>
      </c>
      <c r="AC335" s="154">
        <v>0.49825456029765763</v>
      </c>
      <c r="AD335" s="491">
        <v>577.2203790720777</v>
      </c>
      <c r="AE335" s="33">
        <f t="shared" ref="AE335:AU335" si="105">AE65</f>
        <v>6136.363448</v>
      </c>
      <c r="AF335" s="33">
        <f t="shared" si="105"/>
        <v>0.02165469243</v>
      </c>
      <c r="AG335" s="33">
        <f t="shared" si="105"/>
        <v>8.156147964</v>
      </c>
      <c r="AH335" s="33">
        <f t="shared" si="105"/>
        <v>41.12396916</v>
      </c>
      <c r="AI335" s="33">
        <f t="shared" si="105"/>
        <v>15.63416452</v>
      </c>
      <c r="AJ335" s="33">
        <f t="shared" si="105"/>
        <v>5.133643922</v>
      </c>
      <c r="AK335" s="33">
        <f t="shared" si="105"/>
        <v>0</v>
      </c>
      <c r="AL335" s="33">
        <f t="shared" si="105"/>
        <v>7105.207309</v>
      </c>
      <c r="AM335" s="33">
        <f t="shared" si="105"/>
        <v>1.285651906</v>
      </c>
      <c r="AN335" s="33">
        <f t="shared" si="105"/>
        <v>13.71362917</v>
      </c>
      <c r="AO335" s="33">
        <f t="shared" si="105"/>
        <v>6.89595576</v>
      </c>
      <c r="AP335" s="33">
        <f t="shared" si="105"/>
        <v>-32.52702527</v>
      </c>
      <c r="AQ335" s="33">
        <f t="shared" si="105"/>
        <v>1.324783744</v>
      </c>
      <c r="AR335" s="33">
        <f t="shared" si="105"/>
        <v>0</v>
      </c>
      <c r="AS335" s="33">
        <f t="shared" si="105"/>
        <v>5523.725395</v>
      </c>
      <c r="AT335" s="33">
        <f t="shared" si="105"/>
        <v>7095.900304</v>
      </c>
      <c r="AU335" s="33">
        <f t="shared" si="105"/>
        <v>12619.6257</v>
      </c>
      <c r="AV335" s="307">
        <v>18957.003552004284</v>
      </c>
      <c r="AW335" s="96" t="s">
        <v>62</v>
      </c>
      <c r="AX335" s="61"/>
    </row>
    <row r="336">
      <c r="A336" s="61"/>
      <c r="B336" s="25" t="s">
        <v>63</v>
      </c>
      <c r="C336" s="121">
        <v>33.80207905766196</v>
      </c>
      <c r="D336" s="54">
        <v>3.060693531262577</v>
      </c>
      <c r="E336" s="72">
        <v>1.4449618317129886</v>
      </c>
      <c r="F336" s="100">
        <v>11.523226957608204</v>
      </c>
      <c r="G336" s="99">
        <v>5.132853056106743</v>
      </c>
      <c r="H336" s="452">
        <v>280.6075199625684</v>
      </c>
      <c r="I336" s="54">
        <v>3.332390484173693</v>
      </c>
      <c r="J336" s="129">
        <v>257.895591786404</v>
      </c>
      <c r="K336" s="34">
        <v>0.28905557810597166</v>
      </c>
      <c r="L336" s="105">
        <v>186.3475094156452</v>
      </c>
      <c r="M336" s="52">
        <v>904.4094810291347</v>
      </c>
      <c r="N336" s="33">
        <v>551.5507460976095</v>
      </c>
      <c r="O336" s="34">
        <v>1.0742974308125748</v>
      </c>
      <c r="P336" s="492">
        <v>22.64969476450823</v>
      </c>
      <c r="Q336" s="152">
        <v>1.4226864037385112</v>
      </c>
      <c r="R336" s="34">
        <v>0.7615472266444158</v>
      </c>
      <c r="S336" s="72">
        <v>2.55571680173896</v>
      </c>
      <c r="T336" s="71">
        <v>3.947749709671026</v>
      </c>
      <c r="U336" s="34">
        <v>0.9254240453398048</v>
      </c>
      <c r="V336" s="34">
        <v>1.4111643031913432</v>
      </c>
      <c r="W336" s="34">
        <v>1.1724973892160278</v>
      </c>
      <c r="X336" s="225">
        <v>28.27936795095703</v>
      </c>
      <c r="Y336" s="34">
        <v>0.35604858072162354</v>
      </c>
      <c r="Z336" s="201">
        <v>11.060533899934883</v>
      </c>
      <c r="AA336" s="201">
        <v>11.705769706367747</v>
      </c>
      <c r="AB336" s="85">
        <v>4.230372474485081</v>
      </c>
      <c r="AC336" s="154">
        <v>0.19893862202153173</v>
      </c>
      <c r="AD336" s="306">
        <v>0.8813748119645902</v>
      </c>
      <c r="AE336" s="33">
        <f t="shared" ref="AE336:AU336" si="106">AE66</f>
        <v>42.19037332</v>
      </c>
      <c r="AF336" s="33">
        <f t="shared" si="106"/>
        <v>0.03373553244</v>
      </c>
      <c r="AG336" s="33">
        <f t="shared" si="106"/>
        <v>5.573016079</v>
      </c>
      <c r="AH336" s="33">
        <f t="shared" si="106"/>
        <v>11.55076447</v>
      </c>
      <c r="AI336" s="33">
        <f t="shared" si="106"/>
        <v>2.151344497</v>
      </c>
      <c r="AJ336" s="33">
        <f t="shared" si="106"/>
        <v>0.3394187082</v>
      </c>
      <c r="AK336" s="33">
        <f t="shared" si="106"/>
        <v>0</v>
      </c>
      <c r="AL336" s="33">
        <f t="shared" si="106"/>
        <v>5.16134164</v>
      </c>
      <c r="AM336" s="33">
        <f t="shared" si="106"/>
        <v>0.09043336287</v>
      </c>
      <c r="AN336" s="33">
        <f t="shared" si="106"/>
        <v>0.9185608211</v>
      </c>
      <c r="AO336" s="33">
        <f t="shared" si="106"/>
        <v>1.538076415</v>
      </c>
      <c r="AP336" s="33">
        <f t="shared" si="106"/>
        <v>0.4359034961</v>
      </c>
      <c r="AQ336" s="33">
        <f t="shared" si="106"/>
        <v>0.1943411404</v>
      </c>
      <c r="AR336" s="33">
        <f t="shared" si="106"/>
        <v>0</v>
      </c>
      <c r="AS336" s="33">
        <f t="shared" si="106"/>
        <v>61.83865261</v>
      </c>
      <c r="AT336" s="33">
        <f t="shared" si="106"/>
        <v>8.338656875</v>
      </c>
      <c r="AU336" s="33">
        <f t="shared" si="106"/>
        <v>70.17730948</v>
      </c>
      <c r="AV336" s="307">
        <v>2402.2066023919074</v>
      </c>
      <c r="AW336" s="96" t="s">
        <v>63</v>
      </c>
      <c r="AX336" s="61"/>
    </row>
    <row r="337">
      <c r="A337" s="61"/>
      <c r="B337" s="25" t="s">
        <v>64</v>
      </c>
      <c r="C337" s="493">
        <v>45.660092715196164</v>
      </c>
      <c r="D337" s="492">
        <v>22.957100613446823</v>
      </c>
      <c r="E337" s="494">
        <v>17.028992159991212</v>
      </c>
      <c r="F337" s="90">
        <v>16.38148563084356</v>
      </c>
      <c r="G337" s="495">
        <v>13.846536491540242</v>
      </c>
      <c r="H337" s="492">
        <v>23.133214172508747</v>
      </c>
      <c r="I337" s="496">
        <v>1030.7254048856998</v>
      </c>
      <c r="J337" s="497">
        <v>2016.7761355687312</v>
      </c>
      <c r="K337" s="498">
        <v>19.034674254945564</v>
      </c>
      <c r="L337" s="33">
        <v>516.2539906822205</v>
      </c>
      <c r="M337" s="452">
        <v>292.74915591276965</v>
      </c>
      <c r="N337" s="157">
        <v>43.10536247111214</v>
      </c>
      <c r="O337" s="72">
        <v>1.6875414637740995</v>
      </c>
      <c r="P337" s="105">
        <v>158.39121974683124</v>
      </c>
      <c r="Q337" s="499">
        <v>96.47624664308462</v>
      </c>
      <c r="R337" s="490">
        <v>16.326679523062037</v>
      </c>
      <c r="S337" s="56">
        <v>19.950798812228854</v>
      </c>
      <c r="T337" s="500">
        <v>37.78135820439685</v>
      </c>
      <c r="U337" s="469">
        <v>29.358854412947604</v>
      </c>
      <c r="V337" s="72">
        <v>2.35533188927336</v>
      </c>
      <c r="W337" s="501">
        <v>20.905591406056114</v>
      </c>
      <c r="X337" s="481">
        <v>579.1841618049674</v>
      </c>
      <c r="Y337" s="479">
        <v>7.298766751501732</v>
      </c>
      <c r="Z337" s="108">
        <v>193.8190903608806</v>
      </c>
      <c r="AA337" s="502">
        <v>83.52226742443212</v>
      </c>
      <c r="AB337" s="479">
        <v>7.487972779387239</v>
      </c>
      <c r="AC337" s="302">
        <v>2.8387042699753624</v>
      </c>
      <c r="AD337" s="503">
        <v>60.22857541029566</v>
      </c>
      <c r="AE337" s="33">
        <f t="shared" ref="AE337:AU337" si="107">AE67</f>
        <v>725.0977191</v>
      </c>
      <c r="AF337" s="33">
        <f t="shared" si="107"/>
        <v>0.01935723416</v>
      </c>
      <c r="AG337" s="33">
        <f t="shared" si="107"/>
        <v>23.70000223</v>
      </c>
      <c r="AH337" s="33">
        <f t="shared" si="107"/>
        <v>134.9862162</v>
      </c>
      <c r="AI337" s="33">
        <f t="shared" si="107"/>
        <v>57.33814369</v>
      </c>
      <c r="AJ337" s="33">
        <f t="shared" si="107"/>
        <v>-5.538835758</v>
      </c>
      <c r="AK337" s="33">
        <f t="shared" si="107"/>
        <v>0</v>
      </c>
      <c r="AL337" s="33">
        <f t="shared" si="107"/>
        <v>466.4587744</v>
      </c>
      <c r="AM337" s="33">
        <f t="shared" si="107"/>
        <v>0.2529555806</v>
      </c>
      <c r="AN337" s="33">
        <f t="shared" si="107"/>
        <v>3.963291284</v>
      </c>
      <c r="AO337" s="33">
        <f t="shared" si="107"/>
        <v>12.78098708</v>
      </c>
      <c r="AP337" s="33">
        <f t="shared" si="107"/>
        <v>170.489394</v>
      </c>
      <c r="AQ337" s="33">
        <f t="shared" si="107"/>
        <v>0.30797299</v>
      </c>
      <c r="AR337" s="33">
        <f t="shared" si="107"/>
        <v>0</v>
      </c>
      <c r="AS337" s="33">
        <f t="shared" si="107"/>
        <v>935.6026027</v>
      </c>
      <c r="AT337" s="33">
        <f t="shared" si="107"/>
        <v>654.2533753</v>
      </c>
      <c r="AU337" s="33">
        <f t="shared" si="107"/>
        <v>1589.855978</v>
      </c>
      <c r="AV337" s="307">
        <v>6965.121284469343</v>
      </c>
      <c r="AW337" s="111" t="s">
        <v>64</v>
      </c>
      <c r="AX337" s="61"/>
    </row>
    <row r="338">
      <c r="A338" s="61"/>
      <c r="B338" s="25" t="s">
        <v>65</v>
      </c>
      <c r="C338" s="473">
        <v>421.8411974332306</v>
      </c>
      <c r="D338" s="504">
        <v>454.52751795761515</v>
      </c>
      <c r="E338" s="452">
        <v>316.5970215484275</v>
      </c>
      <c r="F338" s="473">
        <v>414.47648177889516</v>
      </c>
      <c r="G338" s="452">
        <v>320.3312187995463</v>
      </c>
      <c r="H338" s="105">
        <v>147.80117862044767</v>
      </c>
      <c r="I338" s="473">
        <v>426.103339918859</v>
      </c>
      <c r="J338" s="112">
        <v>50818.884114133376</v>
      </c>
      <c r="K338" s="36">
        <v>7.536394814504811</v>
      </c>
      <c r="L338" s="505">
        <v>7582.471351610981</v>
      </c>
      <c r="M338" s="112">
        <v>20820.351959257794</v>
      </c>
      <c r="N338" s="129">
        <v>258.56043922523185</v>
      </c>
      <c r="O338" s="129">
        <v>261.90093767244036</v>
      </c>
      <c r="P338" s="67">
        <v>1219.5867523668437</v>
      </c>
      <c r="Q338" s="506">
        <v>516.5689090484899</v>
      </c>
      <c r="R338" s="507">
        <v>424.799023204169</v>
      </c>
      <c r="S338" s="508">
        <v>341.38852846669926</v>
      </c>
      <c r="T338" s="481">
        <v>631.4166702168267</v>
      </c>
      <c r="U338" s="116">
        <v>483.40349534607964</v>
      </c>
      <c r="V338" s="221">
        <v>48.81286362097126</v>
      </c>
      <c r="W338" s="509">
        <v>533.204949368629</v>
      </c>
      <c r="X338" s="117">
        <v>50558.48485049399</v>
      </c>
      <c r="Y338" s="239">
        <v>249.33558528328302</v>
      </c>
      <c r="Z338" s="510">
        <v>4284.837532391028</v>
      </c>
      <c r="AA338" s="511">
        <v>4748.710663491302</v>
      </c>
      <c r="AB338" s="132">
        <v>145.14262675555196</v>
      </c>
      <c r="AC338" s="512">
        <v>39.2319447431487</v>
      </c>
      <c r="AD338" s="513">
        <v>273.0854831967299</v>
      </c>
      <c r="AE338" s="33">
        <f t="shared" ref="AE338:AU338" si="108">AE68</f>
        <v>10196.33384</v>
      </c>
      <c r="AF338" s="33">
        <f t="shared" si="108"/>
        <v>2.531313187</v>
      </c>
      <c r="AG338" s="33">
        <f t="shared" si="108"/>
        <v>3581.506438</v>
      </c>
      <c r="AH338" s="33">
        <f t="shared" si="108"/>
        <v>52684.79887</v>
      </c>
      <c r="AI338" s="33">
        <f t="shared" si="108"/>
        <v>9.434744562</v>
      </c>
      <c r="AJ338" s="33">
        <f t="shared" si="108"/>
        <v>-57.52735507</v>
      </c>
      <c r="AK338" s="33">
        <f t="shared" si="108"/>
        <v>0</v>
      </c>
      <c r="AL338" s="33">
        <f t="shared" si="108"/>
        <v>10454.40058</v>
      </c>
      <c r="AM338" s="33">
        <f t="shared" si="108"/>
        <v>31.12618351</v>
      </c>
      <c r="AN338" s="33">
        <f t="shared" si="108"/>
        <v>480.4820566</v>
      </c>
      <c r="AO338" s="33">
        <f t="shared" si="108"/>
        <v>11678.23703</v>
      </c>
      <c r="AP338" s="33">
        <f t="shared" si="108"/>
        <v>1029.706633</v>
      </c>
      <c r="AQ338" s="33">
        <f t="shared" si="108"/>
        <v>2.221681088</v>
      </c>
      <c r="AR338" s="33">
        <f t="shared" si="108"/>
        <v>0</v>
      </c>
      <c r="AS338" s="33">
        <f t="shared" si="108"/>
        <v>66417.07785</v>
      </c>
      <c r="AT338" s="33">
        <f t="shared" si="108"/>
        <v>23676.17416</v>
      </c>
      <c r="AU338" s="33">
        <f t="shared" si="108"/>
        <v>90093.25201</v>
      </c>
      <c r="AV338" s="307">
        <v>236842.6450422715</v>
      </c>
      <c r="AW338" s="111" t="s">
        <v>65</v>
      </c>
      <c r="AX338" s="61"/>
    </row>
    <row r="339">
      <c r="A339" s="61"/>
      <c r="B339" s="25" t="s">
        <v>66</v>
      </c>
      <c r="C339" s="147">
        <v>4.4689580867774925</v>
      </c>
      <c r="D339" s="34">
        <v>0.1457927536133036</v>
      </c>
      <c r="E339" s="514">
        <v>45.23834168775524</v>
      </c>
      <c r="F339" s="34">
        <v>0.18158084951785303</v>
      </c>
      <c r="G339" s="515">
        <v>67.19486920028585</v>
      </c>
      <c r="H339" s="69">
        <v>2.040789907374015</v>
      </c>
      <c r="I339" s="34">
        <v>0.3069895064004324</v>
      </c>
      <c r="J339" s="516">
        <v>13.485036122183116</v>
      </c>
      <c r="K339" s="34">
        <v>0.005139599424787798</v>
      </c>
      <c r="L339" s="91">
        <v>4.957072563024387</v>
      </c>
      <c r="M339" s="517">
        <v>22.24716925792447</v>
      </c>
      <c r="N339" s="147">
        <v>3.9421824044252487</v>
      </c>
      <c r="O339" s="34">
        <v>0.031730727854989975</v>
      </c>
      <c r="P339" s="83">
        <v>61.42031007047633</v>
      </c>
      <c r="Q339" s="518">
        <v>24.567859884302923</v>
      </c>
      <c r="R339" s="34">
        <v>1.4516148455343265</v>
      </c>
      <c r="S339" s="93">
        <v>13.369998981139252</v>
      </c>
      <c r="T339" s="85">
        <v>4.864141048779732</v>
      </c>
      <c r="U339" s="519">
        <v>69.43282233387482</v>
      </c>
      <c r="V339" s="34">
        <v>0.07422491462237112</v>
      </c>
      <c r="W339" s="34">
        <v>0.5999999168086412</v>
      </c>
      <c r="X339" s="520">
        <v>44.02656198245601</v>
      </c>
      <c r="Y339" s="34">
        <v>0.6002362221704055</v>
      </c>
      <c r="Z339" s="75">
        <v>6.4979035963851</v>
      </c>
      <c r="AA339" s="201">
        <v>12.202191261211235</v>
      </c>
      <c r="AB339" s="34">
        <v>0.1227505262429236</v>
      </c>
      <c r="AC339" s="154">
        <v>0.012970446278742541</v>
      </c>
      <c r="AD339" s="476">
        <v>13.48362532569643</v>
      </c>
      <c r="AE339" s="33">
        <f t="shared" ref="AE339:AU339" si="109">AE69</f>
        <v>33.58464306</v>
      </c>
      <c r="AF339" s="33">
        <f t="shared" si="109"/>
        <v>0.1705190114</v>
      </c>
      <c r="AG339" s="33">
        <f t="shared" si="109"/>
        <v>2.642558085</v>
      </c>
      <c r="AH339" s="33">
        <f t="shared" si="109"/>
        <v>6.694692704</v>
      </c>
      <c r="AI339" s="33">
        <f t="shared" si="109"/>
        <v>0.1064959406</v>
      </c>
      <c r="AJ339" s="33">
        <f t="shared" si="109"/>
        <v>0.2480385269</v>
      </c>
      <c r="AK339" s="33">
        <f t="shared" si="109"/>
        <v>0</v>
      </c>
      <c r="AL339" s="33">
        <f t="shared" si="109"/>
        <v>63.59035513</v>
      </c>
      <c r="AM339" s="33">
        <f t="shared" si="109"/>
        <v>0.08048772491</v>
      </c>
      <c r="AN339" s="33">
        <f t="shared" si="109"/>
        <v>10.09345202</v>
      </c>
      <c r="AO339" s="33">
        <f t="shared" si="109"/>
        <v>0.4786148535</v>
      </c>
      <c r="AP339" s="33">
        <f t="shared" si="109"/>
        <v>-2.625444082</v>
      </c>
      <c r="AQ339" s="33">
        <f t="shared" si="109"/>
        <v>0.001951967979</v>
      </c>
      <c r="AR339" s="33">
        <f t="shared" si="109"/>
        <v>0</v>
      </c>
      <c r="AS339" s="33">
        <f t="shared" si="109"/>
        <v>43.44694733</v>
      </c>
      <c r="AT339" s="33">
        <f t="shared" si="109"/>
        <v>71.61941762</v>
      </c>
      <c r="AU339" s="33">
        <f t="shared" si="109"/>
        <v>115.0663649</v>
      </c>
      <c r="AV339" s="307">
        <v>532.039228968903</v>
      </c>
      <c r="AW339" s="96" t="s">
        <v>66</v>
      </c>
      <c r="AX339" s="61"/>
    </row>
    <row r="340">
      <c r="A340" s="61"/>
      <c r="B340" s="25" t="s">
        <v>67</v>
      </c>
      <c r="C340" s="129">
        <v>245.31847656239702</v>
      </c>
      <c r="D340" s="33">
        <v>518.7191391754533</v>
      </c>
      <c r="E340" s="105">
        <v>203.99781069908664</v>
      </c>
      <c r="F340" s="65">
        <v>759.7433613545136</v>
      </c>
      <c r="G340" s="451">
        <v>618.326632708567</v>
      </c>
      <c r="H340" s="105">
        <v>135.40199437520226</v>
      </c>
      <c r="I340" s="33">
        <v>468.2714836577144</v>
      </c>
      <c r="J340" s="112">
        <v>12366.07710516384</v>
      </c>
      <c r="K340" s="121">
        <v>33.785801340418054</v>
      </c>
      <c r="L340" s="112">
        <v>18154.361264501524</v>
      </c>
      <c r="M340" s="112">
        <v>10884.240228102955</v>
      </c>
      <c r="N340" s="129">
        <v>234.28652759572233</v>
      </c>
      <c r="O340" s="106">
        <v>57.45974621847755</v>
      </c>
      <c r="P340" s="521">
        <v>1662.061495783672</v>
      </c>
      <c r="Q340" s="522">
        <v>395.678815316522</v>
      </c>
      <c r="R340" s="523">
        <v>392.2004343926386</v>
      </c>
      <c r="S340" s="508">
        <v>328.6785625235185</v>
      </c>
      <c r="T340" s="133">
        <v>633.2896382989902</v>
      </c>
      <c r="U340" s="507">
        <v>430.0723448260414</v>
      </c>
      <c r="V340" s="132">
        <v>150.01686223921956</v>
      </c>
      <c r="W340" s="239">
        <v>282.16356078191455</v>
      </c>
      <c r="X340" s="524">
        <v>9778.99561929443</v>
      </c>
      <c r="Y340" s="132">
        <v>117.14905131916441</v>
      </c>
      <c r="Z340" s="117">
        <v>10068.642831276056</v>
      </c>
      <c r="AA340" s="525">
        <v>3865.9960383326743</v>
      </c>
      <c r="AB340" s="132">
        <v>134.6619337182514</v>
      </c>
      <c r="AC340" s="74">
        <v>47.453136711318365</v>
      </c>
      <c r="AD340" s="526">
        <v>267.72034975494194</v>
      </c>
      <c r="AE340" s="33">
        <f t="shared" ref="AE340:AU340" si="110">AE70</f>
        <v>54706.46795</v>
      </c>
      <c r="AF340" s="33">
        <f t="shared" si="110"/>
        <v>2.67917724</v>
      </c>
      <c r="AG340" s="33">
        <f t="shared" si="110"/>
        <v>6051.928925</v>
      </c>
      <c r="AH340" s="33">
        <f t="shared" si="110"/>
        <v>4487.798978</v>
      </c>
      <c r="AI340" s="33">
        <f t="shared" si="110"/>
        <v>239.5322884</v>
      </c>
      <c r="AJ340" s="33">
        <f t="shared" si="110"/>
        <v>24.5220614</v>
      </c>
      <c r="AK340" s="33">
        <f t="shared" si="110"/>
        <v>0</v>
      </c>
      <c r="AL340" s="33">
        <f t="shared" si="110"/>
        <v>6380.551067</v>
      </c>
      <c r="AM340" s="33">
        <f t="shared" si="110"/>
        <v>32.91903232</v>
      </c>
      <c r="AN340" s="33">
        <f t="shared" si="110"/>
        <v>106.9570687</v>
      </c>
      <c r="AO340" s="33">
        <f t="shared" si="110"/>
        <v>638.0899485</v>
      </c>
      <c r="AP340" s="33">
        <f t="shared" si="110"/>
        <v>142.483078</v>
      </c>
      <c r="AQ340" s="33">
        <f t="shared" si="110"/>
        <v>54.7588777</v>
      </c>
      <c r="AR340" s="33">
        <f t="shared" si="110"/>
        <v>0</v>
      </c>
      <c r="AS340" s="33">
        <f t="shared" si="110"/>
        <v>65512.92938</v>
      </c>
      <c r="AT340" s="33">
        <f t="shared" si="110"/>
        <v>7355.759073</v>
      </c>
      <c r="AU340" s="33">
        <f t="shared" si="110"/>
        <v>72868.68845</v>
      </c>
      <c r="AV340" s="294">
        <v>146103.45869749866</v>
      </c>
      <c r="AW340" s="137" t="s">
        <v>67</v>
      </c>
      <c r="AX340" s="61"/>
    </row>
    <row r="341">
      <c r="A341" s="61"/>
      <c r="B341" s="25" t="s">
        <v>68</v>
      </c>
      <c r="C341" s="452">
        <v>313.3434429555671</v>
      </c>
      <c r="D341" s="65">
        <v>752.7997258621031</v>
      </c>
      <c r="E341" s="452">
        <v>302.4445943528014</v>
      </c>
      <c r="F341" s="527">
        <v>942.7903486042242</v>
      </c>
      <c r="G341" s="528">
        <v>894.6245111458953</v>
      </c>
      <c r="H341" s="105">
        <v>186.63964186045064</v>
      </c>
      <c r="I341" s="452">
        <v>284.29978347439055</v>
      </c>
      <c r="J341" s="112">
        <v>15340.236244246908</v>
      </c>
      <c r="K341" s="122">
        <v>5.959969325327375</v>
      </c>
      <c r="L341" s="112">
        <v>19859.394953781095</v>
      </c>
      <c r="M341" s="112">
        <v>54008.86299339593</v>
      </c>
      <c r="N341" s="485">
        <v>382.4933370169448</v>
      </c>
      <c r="O341" s="529">
        <v>82.02958522406374</v>
      </c>
      <c r="P341" s="521">
        <v>1665.25189824657</v>
      </c>
      <c r="Q341" s="530">
        <v>143.5207795311371</v>
      </c>
      <c r="R341" s="132">
        <v>112.06021554577615</v>
      </c>
      <c r="S341" s="132">
        <v>100.46185165197572</v>
      </c>
      <c r="T341" s="108">
        <v>195.83157533555382</v>
      </c>
      <c r="U341" s="470">
        <v>210.36781156822045</v>
      </c>
      <c r="V341" s="531">
        <v>35.122398115781685</v>
      </c>
      <c r="W341" s="470">
        <v>207.2912263329023</v>
      </c>
      <c r="X341" s="532">
        <v>4319.744150606985</v>
      </c>
      <c r="Y341" s="533">
        <v>50.036663889813866</v>
      </c>
      <c r="Z341" s="534">
        <v>2040.188443971254</v>
      </c>
      <c r="AA341" s="535">
        <v>5289.572108041136</v>
      </c>
      <c r="AB341" s="132">
        <v>104.77576662594502</v>
      </c>
      <c r="AC341" s="536">
        <v>16.486524401550195</v>
      </c>
      <c r="AD341" s="537">
        <v>156.4923803104539</v>
      </c>
      <c r="AE341" s="33">
        <f t="shared" ref="AE341:AU341" si="111">AE71</f>
        <v>79893.26204</v>
      </c>
      <c r="AF341" s="33">
        <f t="shared" si="111"/>
        <v>10429.67354</v>
      </c>
      <c r="AG341" s="33">
        <f t="shared" si="111"/>
        <v>67269.72224</v>
      </c>
      <c r="AH341" s="33">
        <f t="shared" si="111"/>
        <v>14375.93219</v>
      </c>
      <c r="AI341" s="33">
        <f t="shared" si="111"/>
        <v>66.68060635</v>
      </c>
      <c r="AJ341" s="33">
        <f t="shared" si="111"/>
        <v>17.00116283</v>
      </c>
      <c r="AK341" s="33">
        <f t="shared" si="111"/>
        <v>0</v>
      </c>
      <c r="AL341" s="33">
        <f t="shared" si="111"/>
        <v>1580.065033</v>
      </c>
      <c r="AM341" s="33">
        <f t="shared" si="111"/>
        <v>191.5937961</v>
      </c>
      <c r="AN341" s="33">
        <f t="shared" si="111"/>
        <v>504.5343356</v>
      </c>
      <c r="AO341" s="33">
        <f t="shared" si="111"/>
        <v>2003.677782</v>
      </c>
      <c r="AP341" s="33">
        <f t="shared" si="111"/>
        <v>150.1069764</v>
      </c>
      <c r="AQ341" s="33">
        <f t="shared" si="111"/>
        <v>41.67433697</v>
      </c>
      <c r="AR341" s="33">
        <f t="shared" si="111"/>
        <v>0</v>
      </c>
      <c r="AS341" s="33">
        <f t="shared" si="111"/>
        <v>172052.2718</v>
      </c>
      <c r="AT341" s="33">
        <f t="shared" si="111"/>
        <v>4471.65226</v>
      </c>
      <c r="AU341" s="33">
        <f t="shared" si="111"/>
        <v>176523.924</v>
      </c>
      <c r="AV341" s="307">
        <v>284527.0469544843</v>
      </c>
      <c r="AW341" s="96" t="s">
        <v>68</v>
      </c>
      <c r="AX341" s="61"/>
    </row>
    <row r="342">
      <c r="A342" s="61"/>
      <c r="B342" s="25" t="s">
        <v>69</v>
      </c>
      <c r="C342" s="516">
        <v>13.836786874702941</v>
      </c>
      <c r="D342" s="99">
        <v>5.821772722187865</v>
      </c>
      <c r="E342" s="147">
        <v>3.7268756396591494</v>
      </c>
      <c r="F342" s="98">
        <v>42.362804828507905</v>
      </c>
      <c r="G342" s="151">
        <v>9.99928012655062</v>
      </c>
      <c r="H342" s="33">
        <v>542.8997089946258</v>
      </c>
      <c r="I342" s="122">
        <v>6.65047079164611</v>
      </c>
      <c r="J342" s="451">
        <v>639.2682872742781</v>
      </c>
      <c r="K342" s="34">
        <v>0.5829536535216936</v>
      </c>
      <c r="L342" s="485">
        <v>371.32359154098305</v>
      </c>
      <c r="M342" s="521">
        <v>1678.711030111086</v>
      </c>
      <c r="N342" s="538">
        <v>1072.8891876561747</v>
      </c>
      <c r="O342" s="69">
        <v>1.8133051340213155</v>
      </c>
      <c r="P342" s="98">
        <v>41.98091761509016</v>
      </c>
      <c r="Q342" s="539">
        <v>3.3862043581454344</v>
      </c>
      <c r="R342" s="72">
        <v>2.162826800482094</v>
      </c>
      <c r="S342" s="85">
        <v>5.51737639614985</v>
      </c>
      <c r="T342" s="124">
        <v>8.537725931290238</v>
      </c>
      <c r="U342" s="34">
        <v>1.880050174150168</v>
      </c>
      <c r="V342" s="71">
        <v>3.989321167244425</v>
      </c>
      <c r="W342" s="72">
        <v>2.2377161495625155</v>
      </c>
      <c r="X342" s="540">
        <v>65.50238870130958</v>
      </c>
      <c r="Y342" s="34">
        <v>1.6569656587223878</v>
      </c>
      <c r="Z342" s="56">
        <v>20.552064011713455</v>
      </c>
      <c r="AA342" s="541">
        <v>27.13088726323155</v>
      </c>
      <c r="AB342" s="542">
        <v>10.399275859504204</v>
      </c>
      <c r="AC342" s="154">
        <v>0.4682159759128034</v>
      </c>
      <c r="AD342" s="306">
        <v>1.7849805275120325</v>
      </c>
      <c r="AE342" s="33">
        <f t="shared" ref="AE342:AU342" si="112">AE72</f>
        <v>44.65593016</v>
      </c>
      <c r="AF342" s="33">
        <f t="shared" si="112"/>
        <v>0.06804619795</v>
      </c>
      <c r="AG342" s="33">
        <f t="shared" si="112"/>
        <v>8.795595679</v>
      </c>
      <c r="AH342" s="33">
        <f t="shared" si="112"/>
        <v>23.91105924</v>
      </c>
      <c r="AI342" s="33">
        <f t="shared" si="112"/>
        <v>4.257447937</v>
      </c>
      <c r="AJ342" s="33">
        <f t="shared" si="112"/>
        <v>0.7061291841</v>
      </c>
      <c r="AK342" s="33">
        <f t="shared" si="112"/>
        <v>0</v>
      </c>
      <c r="AL342" s="33">
        <f t="shared" si="112"/>
        <v>12.53720421</v>
      </c>
      <c r="AM342" s="33">
        <f t="shared" si="112"/>
        <v>0.2045086045</v>
      </c>
      <c r="AN342" s="33">
        <f t="shared" si="112"/>
        <v>1.484321332</v>
      </c>
      <c r="AO342" s="33">
        <f t="shared" si="112"/>
        <v>3.265133433</v>
      </c>
      <c r="AP342" s="33">
        <f t="shared" si="112"/>
        <v>1.022369895</v>
      </c>
      <c r="AQ342" s="33">
        <f t="shared" si="112"/>
        <v>0.3118078186</v>
      </c>
      <c r="AR342" s="33">
        <f t="shared" si="112"/>
        <v>0</v>
      </c>
      <c r="AS342" s="33">
        <f t="shared" si="112"/>
        <v>82.39420839</v>
      </c>
      <c r="AT342" s="33">
        <f t="shared" si="112"/>
        <v>18.8253453</v>
      </c>
      <c r="AU342" s="33">
        <f t="shared" si="112"/>
        <v>101.2195537</v>
      </c>
      <c r="AV342" s="307">
        <v>4688.292525624584</v>
      </c>
      <c r="AW342" s="111" t="s">
        <v>69</v>
      </c>
      <c r="AX342" s="61"/>
    </row>
    <row r="343">
      <c r="A343" s="61"/>
      <c r="B343" s="25" t="s">
        <v>70</v>
      </c>
      <c r="C343" s="147">
        <v>4.725817913251977</v>
      </c>
      <c r="D343" s="100">
        <v>10.9273146876542</v>
      </c>
      <c r="E343" s="99">
        <v>5.197657045598172</v>
      </c>
      <c r="F343" s="54">
        <v>3.1116447930165902</v>
      </c>
      <c r="G343" s="145">
        <v>8.452790060735786</v>
      </c>
      <c r="H343" s="91">
        <v>5.074176271483213</v>
      </c>
      <c r="I343" s="72">
        <v>1.545226735654884</v>
      </c>
      <c r="J343" s="105">
        <v>100.31320875425018</v>
      </c>
      <c r="K343" s="34">
        <v>0.18231025227429906</v>
      </c>
      <c r="L343" s="543">
        <v>93.57094755279252</v>
      </c>
      <c r="M343" s="544">
        <v>783.7010113281682</v>
      </c>
      <c r="N343" s="53">
        <v>10.003954058622522</v>
      </c>
      <c r="O343" s="517">
        <v>22.189481765442558</v>
      </c>
      <c r="P343" s="545">
        <v>49.198879467958804</v>
      </c>
      <c r="Q343" s="152">
        <v>0.17705515155255067</v>
      </c>
      <c r="R343" s="34">
        <v>0.050620976816639796</v>
      </c>
      <c r="S343" s="34">
        <v>0.034397776994858034</v>
      </c>
      <c r="T343" s="34">
        <v>0.0665969994846593</v>
      </c>
      <c r="U343" s="34">
        <v>0.04204757021655302</v>
      </c>
      <c r="V343" s="34">
        <v>0.014814032560314726</v>
      </c>
      <c r="W343" s="34">
        <v>0.03558930487653268</v>
      </c>
      <c r="X343" s="34">
        <v>1.523795568056574</v>
      </c>
      <c r="Y343" s="34">
        <v>0.009318757572910457</v>
      </c>
      <c r="Z343" s="34">
        <v>1.033187285581885</v>
      </c>
      <c r="AA343" s="34">
        <v>1.3232563793938341</v>
      </c>
      <c r="AB343" s="34">
        <v>0.038959330739308844</v>
      </c>
      <c r="AC343" s="154">
        <v>0.031148630341562678</v>
      </c>
      <c r="AD343" s="306">
        <v>0.03867187543893099</v>
      </c>
      <c r="AE343" s="33">
        <f t="shared" ref="AE343:AU343" si="113">AE73</f>
        <v>1.365161028</v>
      </c>
      <c r="AF343" s="33">
        <f t="shared" si="113"/>
        <v>0</v>
      </c>
      <c r="AG343" s="33">
        <f t="shared" si="113"/>
        <v>0.02320169664</v>
      </c>
      <c r="AH343" s="33">
        <f t="shared" si="113"/>
        <v>10.48310281</v>
      </c>
      <c r="AI343" s="33">
        <f t="shared" si="113"/>
        <v>0.03232814674</v>
      </c>
      <c r="AJ343" s="33">
        <f t="shared" si="113"/>
        <v>0.008043178208</v>
      </c>
      <c r="AK343" s="33">
        <f t="shared" si="113"/>
        <v>0</v>
      </c>
      <c r="AL343" s="33">
        <f t="shared" si="113"/>
        <v>0.2951126354</v>
      </c>
      <c r="AM343" s="33">
        <f t="shared" si="113"/>
        <v>0.01836701149</v>
      </c>
      <c r="AN343" s="33">
        <f t="shared" si="113"/>
        <v>0.0129388022</v>
      </c>
      <c r="AO343" s="33">
        <f t="shared" si="113"/>
        <v>0.7324733178</v>
      </c>
      <c r="AP343" s="33">
        <f t="shared" si="113"/>
        <v>0.004478120981</v>
      </c>
      <c r="AQ343" s="33">
        <f t="shared" si="113"/>
        <v>0.0009227734867</v>
      </c>
      <c r="AR343" s="33">
        <f t="shared" si="113"/>
        <v>0</v>
      </c>
      <c r="AS343" s="33">
        <f t="shared" si="113"/>
        <v>11.91183686</v>
      </c>
      <c r="AT343" s="33">
        <f t="shared" si="113"/>
        <v>1.064292661</v>
      </c>
      <c r="AU343" s="33">
        <f t="shared" si="113"/>
        <v>12.97612952</v>
      </c>
      <c r="AV343" s="307">
        <v>1115.5900098496209</v>
      </c>
      <c r="AW343" s="111" t="s">
        <v>70</v>
      </c>
      <c r="AX343" s="61"/>
    </row>
    <row r="344">
      <c r="A344" s="168"/>
      <c r="B344" s="25" t="s">
        <v>71</v>
      </c>
      <c r="C344" s="99">
        <v>5.348612216022854</v>
      </c>
      <c r="D344" s="98">
        <v>42.67353645997491</v>
      </c>
      <c r="E344" s="99">
        <v>5.3746091017287</v>
      </c>
      <c r="F344" s="546">
        <v>47.96471207867419</v>
      </c>
      <c r="G344" s="144">
        <v>42.50591726005417</v>
      </c>
      <c r="H344" s="147">
        <v>4.264458217451327</v>
      </c>
      <c r="I344" s="547">
        <v>6.905589784795896</v>
      </c>
      <c r="J344" s="33">
        <v>548.0768962855335</v>
      </c>
      <c r="K344" s="34">
        <v>0.42027583804270086</v>
      </c>
      <c r="L344" s="52">
        <v>881.5042645289561</v>
      </c>
      <c r="M344" s="538">
        <v>1073.919651687289</v>
      </c>
      <c r="N344" s="548">
        <v>8.43757319547405</v>
      </c>
      <c r="O344" s="54">
        <v>3.0612986842574665</v>
      </c>
      <c r="P344" s="452">
        <v>302.87339469609026</v>
      </c>
      <c r="Q344" s="549">
        <v>32.60934099906888</v>
      </c>
      <c r="R344" s="550">
        <v>31.468277530280172</v>
      </c>
      <c r="S344" s="551">
        <v>26.995930161208094</v>
      </c>
      <c r="T344" s="552">
        <v>22.313080523658517</v>
      </c>
      <c r="U344" s="553">
        <v>38.257713168763054</v>
      </c>
      <c r="V344" s="554">
        <v>9.586122055897405</v>
      </c>
      <c r="W344" s="555">
        <v>45.97342863690326</v>
      </c>
      <c r="X344" s="556">
        <v>2852.1704213455614</v>
      </c>
      <c r="Y344" s="557">
        <v>78.94679231121644</v>
      </c>
      <c r="Z344" s="558">
        <v>9260.056409250039</v>
      </c>
      <c r="AA344" s="559">
        <v>3505.6914703091834</v>
      </c>
      <c r="AB344" s="552">
        <v>21.250490989647858</v>
      </c>
      <c r="AC344" s="560">
        <v>4.154794337545292</v>
      </c>
      <c r="AD344" s="561">
        <v>157.04753168547353</v>
      </c>
      <c r="AE344" s="33">
        <f t="shared" ref="AE344:AU344" si="114">AE74</f>
        <v>2664.166928</v>
      </c>
      <c r="AF344" s="33">
        <f t="shared" si="114"/>
        <v>5.192853397</v>
      </c>
      <c r="AG344" s="33">
        <f t="shared" si="114"/>
        <v>77.33458846</v>
      </c>
      <c r="AH344" s="33">
        <f t="shared" si="114"/>
        <v>43.50267861</v>
      </c>
      <c r="AI344" s="33">
        <f t="shared" si="114"/>
        <v>1.342392378</v>
      </c>
      <c r="AJ344" s="33">
        <f t="shared" si="114"/>
        <v>0.2697973117</v>
      </c>
      <c r="AK344" s="33">
        <f t="shared" si="114"/>
        <v>0</v>
      </c>
      <c r="AL344" s="33">
        <f t="shared" si="114"/>
        <v>1951.764169</v>
      </c>
      <c r="AM344" s="33">
        <f t="shared" si="114"/>
        <v>554.3166259</v>
      </c>
      <c r="AN344" s="33">
        <f t="shared" si="114"/>
        <v>23.58271602</v>
      </c>
      <c r="AO344" s="33">
        <f t="shared" si="114"/>
        <v>20.34466678</v>
      </c>
      <c r="AP344" s="33">
        <f t="shared" si="114"/>
        <v>4883.764609</v>
      </c>
      <c r="AQ344" s="33">
        <f t="shared" si="114"/>
        <v>1303.914833</v>
      </c>
      <c r="AR344" s="33">
        <f t="shared" si="114"/>
        <v>0</v>
      </c>
      <c r="AS344" s="33">
        <f t="shared" si="114"/>
        <v>8737.687619</v>
      </c>
      <c r="AT344" s="33">
        <f t="shared" si="114"/>
        <v>2791.809238</v>
      </c>
      <c r="AU344" s="33">
        <f t="shared" si="114"/>
        <v>11529.49686</v>
      </c>
      <c r="AV344" s="307">
        <v>30589.34945042874</v>
      </c>
      <c r="AW344" s="96" t="s">
        <v>71</v>
      </c>
      <c r="AX344" s="168"/>
    </row>
    <row r="345">
      <c r="A345" s="26" t="s">
        <v>40</v>
      </c>
      <c r="B345" s="17" t="s">
        <v>58</v>
      </c>
      <c r="C345" s="562">
        <v>63.27935538027015</v>
      </c>
      <c r="D345" s="41">
        <v>176.83636564494125</v>
      </c>
      <c r="E345" s="563">
        <v>450.12884870608895</v>
      </c>
      <c r="F345" s="39">
        <v>0.6310344420091791</v>
      </c>
      <c r="G345" s="564">
        <v>1035.3943419163963</v>
      </c>
      <c r="H345" s="39">
        <v>0.07646371598546768</v>
      </c>
      <c r="I345" s="39">
        <v>0.46186743660389606</v>
      </c>
      <c r="J345" s="41">
        <v>169.95214624729746</v>
      </c>
      <c r="K345" s="39">
        <v>0.12121345340899832</v>
      </c>
      <c r="L345" s="565">
        <v>19.181879957832177</v>
      </c>
      <c r="M345" s="566">
        <v>43.04796230330675</v>
      </c>
      <c r="N345" s="39">
        <v>0.19156557926984302</v>
      </c>
      <c r="O345" s="39">
        <v>0.005815763841132679</v>
      </c>
      <c r="P345" s="567">
        <v>167.1597967546719</v>
      </c>
      <c r="Q345" s="568">
        <v>716158.9125819819</v>
      </c>
      <c r="R345" s="569">
        <v>163074.8114719282</v>
      </c>
      <c r="S345" s="570">
        <v>87427.14545907079</v>
      </c>
      <c r="T345" s="571">
        <v>5978.773465542462</v>
      </c>
      <c r="U345" s="572">
        <v>716707.1598247004</v>
      </c>
      <c r="V345" s="39">
        <v>199.92939143593327</v>
      </c>
      <c r="W345" s="573">
        <v>22338.468610966476</v>
      </c>
      <c r="X345" s="574">
        <v>463960.79909345915</v>
      </c>
      <c r="Y345" s="575">
        <v>29678.17475339501</v>
      </c>
      <c r="Z345" s="576">
        <v>48374.269135971546</v>
      </c>
      <c r="AA345" s="577">
        <v>150225.16925675725</v>
      </c>
      <c r="AB345" s="39">
        <v>839.055316738145</v>
      </c>
      <c r="AC345" s="369">
        <v>696.7906587641575</v>
      </c>
      <c r="AD345" s="578">
        <v>47428.85025104113</v>
      </c>
      <c r="AE345" s="33">
        <f t="shared" ref="AE345:AU345" si="115">AE75</f>
        <v>1263.915091</v>
      </c>
      <c r="AF345" s="33">
        <f t="shared" si="115"/>
        <v>0</v>
      </c>
      <c r="AG345" s="33">
        <f t="shared" si="115"/>
        <v>0.1899793921</v>
      </c>
      <c r="AH345" s="33">
        <f t="shared" si="115"/>
        <v>36.4835203</v>
      </c>
      <c r="AI345" s="33">
        <f t="shared" si="115"/>
        <v>3.06547462</v>
      </c>
      <c r="AJ345" s="33">
        <f t="shared" si="115"/>
        <v>0.04270501822</v>
      </c>
      <c r="AK345" s="33">
        <f t="shared" si="115"/>
        <v>0</v>
      </c>
      <c r="AL345" s="33">
        <f t="shared" si="115"/>
        <v>904926.9128</v>
      </c>
      <c r="AM345" s="33">
        <f t="shared" si="115"/>
        <v>552.4542965</v>
      </c>
      <c r="AN345" s="33">
        <f t="shared" si="115"/>
        <v>18964.20919</v>
      </c>
      <c r="AO345" s="33">
        <f t="shared" si="115"/>
        <v>63323.49458</v>
      </c>
      <c r="AP345" s="33">
        <f t="shared" si="115"/>
        <v>130813.4363</v>
      </c>
      <c r="AQ345" s="33">
        <f t="shared" si="115"/>
        <v>-46.80768259</v>
      </c>
      <c r="AR345" s="33">
        <f t="shared" si="115"/>
        <v>0</v>
      </c>
      <c r="AS345" s="33">
        <f t="shared" si="115"/>
        <v>1118533.7</v>
      </c>
      <c r="AT345" s="33">
        <f t="shared" si="115"/>
        <v>1238.511932</v>
      </c>
      <c r="AU345" s="33">
        <f t="shared" si="115"/>
        <v>1119772.211</v>
      </c>
      <c r="AV345" s="307">
        <v>3574986.989395662</v>
      </c>
      <c r="AW345" s="579" t="s">
        <v>58</v>
      </c>
      <c r="AX345" s="365" t="s">
        <v>40</v>
      </c>
    </row>
    <row r="346">
      <c r="A346" s="61"/>
      <c r="B346" s="17" t="s">
        <v>59</v>
      </c>
      <c r="C346" s="152">
        <v>0.8540331969255304</v>
      </c>
      <c r="D346" s="201">
        <v>10.744701845634784</v>
      </c>
      <c r="E346" s="580">
        <v>16.097152954387255</v>
      </c>
      <c r="F346" s="72">
        <v>3.001561559211275</v>
      </c>
      <c r="G346" s="470">
        <v>401.8621173785929</v>
      </c>
      <c r="H346" s="34">
        <v>0.008166857297114107</v>
      </c>
      <c r="I346" s="34">
        <v>0.20382177575845517</v>
      </c>
      <c r="J346" s="239">
        <v>251.06451203373797</v>
      </c>
      <c r="K346" s="34">
        <v>0.04692956432882972</v>
      </c>
      <c r="L346" s="479">
        <v>8.238178921879713</v>
      </c>
      <c r="M346" s="469">
        <v>28.000300459648475</v>
      </c>
      <c r="N346" s="34">
        <v>0.01618860309147968</v>
      </c>
      <c r="O346" s="34">
        <v>0.009960739864783725</v>
      </c>
      <c r="P346" s="581">
        <v>117.1273943413185</v>
      </c>
      <c r="Q346" s="582">
        <v>3681.288584027684</v>
      </c>
      <c r="R346" s="583">
        <v>39373.83419242871</v>
      </c>
      <c r="S346" s="584">
        <v>31081.82278663037</v>
      </c>
      <c r="T346" s="585">
        <v>26750.73238476548</v>
      </c>
      <c r="U346" s="586">
        <v>58850.99042712263</v>
      </c>
      <c r="V346" s="34">
        <v>205.28273853495568</v>
      </c>
      <c r="W346" s="197">
        <v>1951.8627467785236</v>
      </c>
      <c r="X346" s="587">
        <v>46145.67881526554</v>
      </c>
      <c r="Y346" s="588">
        <v>3195.7097578952494</v>
      </c>
      <c r="Z346" s="589">
        <v>47349.37636485218</v>
      </c>
      <c r="AA346" s="590">
        <v>56453.031196285636</v>
      </c>
      <c r="AB346" s="34">
        <v>868.7758723082818</v>
      </c>
      <c r="AC346" s="154">
        <v>264.01643841698933</v>
      </c>
      <c r="AD346" s="591">
        <v>125960.35491187157</v>
      </c>
      <c r="AE346" s="33">
        <f t="shared" ref="AE346:AU346" si="116">AE76</f>
        <v>866.1529169</v>
      </c>
      <c r="AF346" s="33">
        <f t="shared" si="116"/>
        <v>0</v>
      </c>
      <c r="AG346" s="33">
        <f t="shared" si="116"/>
        <v>0.08592482391</v>
      </c>
      <c r="AH346" s="33">
        <f t="shared" si="116"/>
        <v>2.284899424</v>
      </c>
      <c r="AI346" s="33">
        <f t="shared" si="116"/>
        <v>0.8516819945</v>
      </c>
      <c r="AJ346" s="33">
        <f t="shared" si="116"/>
        <v>0.002577991833</v>
      </c>
      <c r="AK346" s="33">
        <f t="shared" si="116"/>
        <v>0</v>
      </c>
      <c r="AL346" s="33">
        <f t="shared" si="116"/>
        <v>627569.9906</v>
      </c>
      <c r="AM346" s="33">
        <f t="shared" si="116"/>
        <v>120.6645649</v>
      </c>
      <c r="AN346" s="33">
        <f t="shared" si="116"/>
        <v>1658.031133</v>
      </c>
      <c r="AO346" s="33">
        <f t="shared" si="116"/>
        <v>1813.830643</v>
      </c>
      <c r="AP346" s="33">
        <f t="shared" si="116"/>
        <v>1979.271011</v>
      </c>
      <c r="AQ346" s="33">
        <f t="shared" si="116"/>
        <v>142.7192293</v>
      </c>
      <c r="AR346" s="33">
        <f t="shared" si="116"/>
        <v>0</v>
      </c>
      <c r="AS346" s="33">
        <f t="shared" si="116"/>
        <v>633284.5072</v>
      </c>
      <c r="AT346" s="33">
        <f t="shared" si="116"/>
        <v>912.8469012</v>
      </c>
      <c r="AU346" s="33">
        <f t="shared" si="116"/>
        <v>634197.3541</v>
      </c>
      <c r="AV346" s="307">
        <v>1077167.3862912403</v>
      </c>
      <c r="AW346" s="579" t="s">
        <v>59</v>
      </c>
      <c r="AX346" s="61"/>
    </row>
    <row r="347">
      <c r="A347" s="61"/>
      <c r="B347" s="17" t="s">
        <v>60</v>
      </c>
      <c r="C347" s="152">
        <v>0.10375858578278133</v>
      </c>
      <c r="D347" s="34">
        <v>0.513562906524164</v>
      </c>
      <c r="E347" s="72">
        <v>2.3742649839271692</v>
      </c>
      <c r="F347" s="132">
        <v>125.93151783852983</v>
      </c>
      <c r="G347" s="85">
        <v>0.17446152404530488</v>
      </c>
      <c r="H347" s="34">
        <v>0.030658533408410172</v>
      </c>
      <c r="I347" s="34">
        <v>0.8546474606029182</v>
      </c>
      <c r="J347" s="531">
        <v>35.07377317215186</v>
      </c>
      <c r="K347" s="34">
        <v>0.03135804057326386</v>
      </c>
      <c r="L347" s="489">
        <v>36.719347967005035</v>
      </c>
      <c r="M347" s="131">
        <v>33.8520153545647</v>
      </c>
      <c r="N347" s="34">
        <v>0.06848022565625898</v>
      </c>
      <c r="O347" s="34">
        <v>0.007224847883738228</v>
      </c>
      <c r="P347" s="592">
        <v>18.11943147934166</v>
      </c>
      <c r="Q347" s="582">
        <v>3828.3040109381004</v>
      </c>
      <c r="R347" s="197">
        <v>1044.5619592979915</v>
      </c>
      <c r="S347" s="593">
        <v>153419.72193250095</v>
      </c>
      <c r="T347" s="594">
        <v>730079.3235609259</v>
      </c>
      <c r="U347" s="595">
        <v>24710.21657944159</v>
      </c>
      <c r="V347" s="34">
        <v>463.46485022755235</v>
      </c>
      <c r="W347" s="596">
        <v>5649.1975492779375</v>
      </c>
      <c r="X347" s="597">
        <v>82247.79171665364</v>
      </c>
      <c r="Y347" s="598">
        <v>9470.490141015081</v>
      </c>
      <c r="Z347" s="599">
        <v>26223.999825975396</v>
      </c>
      <c r="AA347" s="600">
        <v>35709.867223339344</v>
      </c>
      <c r="AB347" s="34">
        <v>377.8897682356571</v>
      </c>
      <c r="AC347" s="154">
        <v>919.7779186076765</v>
      </c>
      <c r="AD347" s="601">
        <v>64998.89041832834</v>
      </c>
      <c r="AE347" s="33">
        <f t="shared" ref="AE347:AU347" si="117">AE77</f>
        <v>109.3655635</v>
      </c>
      <c r="AF347" s="33">
        <f t="shared" si="117"/>
        <v>0</v>
      </c>
      <c r="AG347" s="33">
        <f t="shared" si="117"/>
        <v>0.2713459166</v>
      </c>
      <c r="AH347" s="33">
        <f t="shared" si="117"/>
        <v>113.8379393</v>
      </c>
      <c r="AI347" s="33">
        <f t="shared" si="117"/>
        <v>-0.7522822433</v>
      </c>
      <c r="AJ347" s="33">
        <f t="shared" si="117"/>
        <v>0.07454901482</v>
      </c>
      <c r="AK347" s="33">
        <f t="shared" si="117"/>
        <v>0</v>
      </c>
      <c r="AL347" s="33">
        <f t="shared" si="117"/>
        <v>591491.8409</v>
      </c>
      <c r="AM347" s="33">
        <f t="shared" si="117"/>
        <v>2517.197307</v>
      </c>
      <c r="AN347" s="33">
        <f t="shared" si="117"/>
        <v>34496.018</v>
      </c>
      <c r="AO347" s="33">
        <f t="shared" si="117"/>
        <v>95928.07003</v>
      </c>
      <c r="AP347" s="33">
        <f t="shared" si="117"/>
        <v>261735.5799</v>
      </c>
      <c r="AQ347" s="33">
        <f t="shared" si="117"/>
        <v>266.2598855</v>
      </c>
      <c r="AR347" s="33">
        <f t="shared" si="117"/>
        <v>0</v>
      </c>
      <c r="AS347" s="33">
        <f t="shared" si="117"/>
        <v>986434.966</v>
      </c>
      <c r="AT347" s="33">
        <f t="shared" si="117"/>
        <v>233.9369712</v>
      </c>
      <c r="AU347" s="33">
        <f t="shared" si="117"/>
        <v>986668.9029</v>
      </c>
      <c r="AV347" s="307">
        <v>2126066.2548890924</v>
      </c>
      <c r="AW347" s="579" t="s">
        <v>60</v>
      </c>
      <c r="AX347" s="61"/>
    </row>
    <row r="348">
      <c r="A348" s="61"/>
      <c r="B348" s="17" t="s">
        <v>61</v>
      </c>
      <c r="C348" s="152">
        <v>0.8794441744002498</v>
      </c>
      <c r="D348" s="72">
        <v>2.671449280429997</v>
      </c>
      <c r="E348" s="602">
        <v>83.76484257980724</v>
      </c>
      <c r="F348" s="508">
        <v>349.89582975402783</v>
      </c>
      <c r="G348" s="132">
        <v>4.028104726010993</v>
      </c>
      <c r="H348" s="34">
        <v>0.06945020368165207</v>
      </c>
      <c r="I348" s="34">
        <v>0.7205964884037034</v>
      </c>
      <c r="J348" s="108">
        <v>197.73463941532674</v>
      </c>
      <c r="K348" s="34">
        <v>0.2755246751924443</v>
      </c>
      <c r="L348" s="603">
        <v>566.6652741799202</v>
      </c>
      <c r="M348" s="132">
        <v>144.86215455441013</v>
      </c>
      <c r="N348" s="34">
        <v>0.14374227526738304</v>
      </c>
      <c r="O348" s="34">
        <v>0.03166272200116095</v>
      </c>
      <c r="P348" s="526">
        <v>304.8735563559128</v>
      </c>
      <c r="Q348" s="604">
        <v>7638.682529463218</v>
      </c>
      <c r="R348" s="605">
        <v>6619.047726292391</v>
      </c>
      <c r="S348" s="606">
        <v>35152.90595738361</v>
      </c>
      <c r="T348" s="607">
        <v>179319.70073290533</v>
      </c>
      <c r="U348" s="608">
        <v>112013.85171838006</v>
      </c>
      <c r="V348" s="34">
        <v>348.3585030264461</v>
      </c>
      <c r="W348" s="588">
        <v>3477.466672610784</v>
      </c>
      <c r="X348" s="597">
        <v>84174.8775954506</v>
      </c>
      <c r="Y348" s="596">
        <v>5557.873283377879</v>
      </c>
      <c r="Z348" s="609">
        <v>43166.51166767269</v>
      </c>
      <c r="AA348" s="610">
        <v>143802.6933424247</v>
      </c>
      <c r="AB348" s="197">
        <v>1439.5416292702878</v>
      </c>
      <c r="AC348" s="154">
        <v>577.883644038977</v>
      </c>
      <c r="AD348" s="611">
        <v>182741.04658986247</v>
      </c>
      <c r="AE348" s="33">
        <f t="shared" ref="AE348:AU348" si="118">AE78</f>
        <v>1277.447093</v>
      </c>
      <c r="AF348" s="33">
        <f t="shared" si="118"/>
        <v>0</v>
      </c>
      <c r="AG348" s="33">
        <f t="shared" si="118"/>
        <v>0.3092874994</v>
      </c>
      <c r="AH348" s="33">
        <f t="shared" si="118"/>
        <v>10.99722877</v>
      </c>
      <c r="AI348" s="33">
        <f t="shared" si="118"/>
        <v>5.192252394</v>
      </c>
      <c r="AJ348" s="33">
        <f t="shared" si="118"/>
        <v>0.01572939444</v>
      </c>
      <c r="AK348" s="33">
        <f t="shared" si="118"/>
        <v>0</v>
      </c>
      <c r="AL348" s="33">
        <f t="shared" si="118"/>
        <v>1390058.344</v>
      </c>
      <c r="AM348" s="33">
        <f t="shared" si="118"/>
        <v>16936.94057</v>
      </c>
      <c r="AN348" s="33">
        <f t="shared" si="118"/>
        <v>14125.23106</v>
      </c>
      <c r="AO348" s="33">
        <f t="shared" si="118"/>
        <v>6845.796307</v>
      </c>
      <c r="AP348" s="33">
        <f t="shared" si="118"/>
        <v>49962.77169</v>
      </c>
      <c r="AQ348" s="33">
        <f t="shared" si="118"/>
        <v>348.9897047</v>
      </c>
      <c r="AR348" s="33">
        <f t="shared" si="118"/>
        <v>0</v>
      </c>
      <c r="AS348" s="33">
        <f t="shared" si="118"/>
        <v>1478278.073</v>
      </c>
      <c r="AT348" s="33">
        <f t="shared" si="118"/>
        <v>1293.961591</v>
      </c>
      <c r="AU348" s="33">
        <f t="shared" si="118"/>
        <v>1479572.035</v>
      </c>
      <c r="AV348" s="307">
        <v>2287259.092942211</v>
      </c>
      <c r="AW348" s="579" t="s">
        <v>61</v>
      </c>
      <c r="AX348" s="61"/>
    </row>
    <row r="349">
      <c r="A349" s="61"/>
      <c r="B349" s="17" t="s">
        <v>62</v>
      </c>
      <c r="C349" s="152">
        <v>0.6631247453197723</v>
      </c>
      <c r="D349" s="612">
        <v>23.330010128744476</v>
      </c>
      <c r="E349" s="613">
        <v>57.138722022025654</v>
      </c>
      <c r="F349" s="613">
        <v>58.74505191925268</v>
      </c>
      <c r="G349" s="614">
        <v>652.3629445471655</v>
      </c>
      <c r="H349" s="34">
        <v>0.021474429264495398</v>
      </c>
      <c r="I349" s="34">
        <v>0.21750790385115001</v>
      </c>
      <c r="J349" s="470">
        <v>231.2845534145088</v>
      </c>
      <c r="K349" s="34">
        <v>0.09873318837532792</v>
      </c>
      <c r="L349" s="132">
        <v>153.7291900720323</v>
      </c>
      <c r="M349" s="474">
        <v>80.53035156800645</v>
      </c>
      <c r="N349" s="34">
        <v>0.043895642283131676</v>
      </c>
      <c r="O349" s="34">
        <v>0.030412338485632226</v>
      </c>
      <c r="P349" s="526">
        <v>271.03996915383675</v>
      </c>
      <c r="Q349" s="615">
        <v>6419.820788219322</v>
      </c>
      <c r="R349" s="589">
        <v>47821.27326512665</v>
      </c>
      <c r="S349" s="616">
        <v>139002.15993241424</v>
      </c>
      <c r="T349" s="586">
        <v>62878.775156815034</v>
      </c>
      <c r="U349" s="617">
        <v>370508.556092195</v>
      </c>
      <c r="V349" s="34">
        <v>249.80525794548439</v>
      </c>
      <c r="W349" s="588">
        <v>3863.0397944126535</v>
      </c>
      <c r="X349" s="618">
        <v>71126.88732664673</v>
      </c>
      <c r="Y349" s="598">
        <v>9530.751290645263</v>
      </c>
      <c r="Z349" s="619">
        <v>37332.960535210856</v>
      </c>
      <c r="AA349" s="620">
        <v>129562.55897149736</v>
      </c>
      <c r="AB349" s="34">
        <v>607.3541931233277</v>
      </c>
      <c r="AC349" s="154">
        <v>472.7975080164721</v>
      </c>
      <c r="AD349" s="621">
        <v>190755.87255202924</v>
      </c>
      <c r="AE349" s="33">
        <f t="shared" ref="AE349:AU349" si="119">AE79</f>
        <v>4116.016683</v>
      </c>
      <c r="AF349" s="33">
        <f t="shared" si="119"/>
        <v>0</v>
      </c>
      <c r="AG349" s="33">
        <f t="shared" si="119"/>
        <v>0.132407379</v>
      </c>
      <c r="AH349" s="33">
        <f t="shared" si="119"/>
        <v>3.591426714</v>
      </c>
      <c r="AI349" s="33">
        <f t="shared" si="119"/>
        <v>1.225575448</v>
      </c>
      <c r="AJ349" s="33">
        <f t="shared" si="119"/>
        <v>0.007649044578</v>
      </c>
      <c r="AK349" s="33">
        <f t="shared" si="119"/>
        <v>0</v>
      </c>
      <c r="AL349" s="33">
        <f t="shared" si="119"/>
        <v>1604153.892</v>
      </c>
      <c r="AM349" s="33">
        <f t="shared" si="119"/>
        <v>351.7121544</v>
      </c>
      <c r="AN349" s="33">
        <f t="shared" si="119"/>
        <v>15892.8129</v>
      </c>
      <c r="AO349" s="33">
        <f t="shared" si="119"/>
        <v>4143.143663</v>
      </c>
      <c r="AP349" s="33">
        <f t="shared" si="119"/>
        <v>13780.7848</v>
      </c>
      <c r="AQ349" s="33">
        <f t="shared" si="119"/>
        <v>333.5502828</v>
      </c>
      <c r="AR349" s="33">
        <f t="shared" si="119"/>
        <v>0</v>
      </c>
      <c r="AS349" s="33">
        <f t="shared" si="119"/>
        <v>1638655.896</v>
      </c>
      <c r="AT349" s="33">
        <f t="shared" si="119"/>
        <v>4120.973741</v>
      </c>
      <c r="AU349" s="33">
        <f t="shared" si="119"/>
        <v>1642776.87</v>
      </c>
      <c r="AV349" s="307">
        <v>2714438.7184824497</v>
      </c>
      <c r="AW349" s="579" t="s">
        <v>62</v>
      </c>
      <c r="AX349" s="61"/>
    </row>
    <row r="350">
      <c r="A350" s="61"/>
      <c r="B350" s="17" t="s">
        <v>63</v>
      </c>
      <c r="C350" s="152">
        <v>0.1265618034910151</v>
      </c>
      <c r="D350" s="34">
        <v>0.4273810582094895</v>
      </c>
      <c r="E350" s="34">
        <v>0.13066041921509358</v>
      </c>
      <c r="F350" s="34">
        <v>0.5455308307618926</v>
      </c>
      <c r="G350" s="34">
        <v>0.9151942836707868</v>
      </c>
      <c r="H350" s="72">
        <v>2.556313481627386</v>
      </c>
      <c r="I350" s="34">
        <v>0.026992482801086435</v>
      </c>
      <c r="J350" s="622">
        <v>33.84717051349024</v>
      </c>
      <c r="K350" s="34">
        <v>0.020078422339419342</v>
      </c>
      <c r="L350" s="124">
        <v>8.499962267152643</v>
      </c>
      <c r="M350" s="72">
        <v>3.2427104305168832</v>
      </c>
      <c r="N350" s="85">
        <v>4.847474656212464</v>
      </c>
      <c r="O350" s="34">
        <v>0.014111037826195024</v>
      </c>
      <c r="P350" s="57">
        <v>0.24698551685582484</v>
      </c>
      <c r="Q350" s="152">
        <v>760.1462771493689</v>
      </c>
      <c r="R350" s="34">
        <v>546.656416513158</v>
      </c>
      <c r="S350" s="34">
        <v>813.7246787899777</v>
      </c>
      <c r="T350" s="197">
        <v>1430.120827334839</v>
      </c>
      <c r="U350" s="197">
        <v>1031.105039866783</v>
      </c>
      <c r="V350" s="596">
        <v>5446.957208358028</v>
      </c>
      <c r="W350" s="197">
        <v>1694.7225711574317</v>
      </c>
      <c r="X350" s="584">
        <v>30546.089681210487</v>
      </c>
      <c r="Y350" s="34">
        <v>300.0607251577971</v>
      </c>
      <c r="Z350" s="598">
        <v>9456.823048509521</v>
      </c>
      <c r="AA350" s="599">
        <v>26211.81458467723</v>
      </c>
      <c r="AB350" s="623">
        <v>10921.784964421937</v>
      </c>
      <c r="AC350" s="197">
        <v>1426.4742660053007</v>
      </c>
      <c r="AD350" s="624">
        <v>1982.4509677181775</v>
      </c>
      <c r="AE350" s="33">
        <f t="shared" ref="AE350:AU350" si="120">AE80</f>
        <v>51.96855766</v>
      </c>
      <c r="AF350" s="33">
        <f t="shared" si="120"/>
        <v>0</v>
      </c>
      <c r="AG350" s="33">
        <f t="shared" si="120"/>
        <v>0.03655074651</v>
      </c>
      <c r="AH350" s="33">
        <f t="shared" si="120"/>
        <v>1.03059617</v>
      </c>
      <c r="AI350" s="33">
        <f t="shared" si="120"/>
        <v>0.8582389555</v>
      </c>
      <c r="AJ350" s="33">
        <f t="shared" si="120"/>
        <v>0.3215192245</v>
      </c>
      <c r="AK350" s="33">
        <f t="shared" si="120"/>
        <v>0</v>
      </c>
      <c r="AL350" s="33">
        <f t="shared" si="120"/>
        <v>36987.40306</v>
      </c>
      <c r="AM350" s="33">
        <f t="shared" si="120"/>
        <v>187.4029743</v>
      </c>
      <c r="AN350" s="33">
        <f t="shared" si="120"/>
        <v>15693.76501</v>
      </c>
      <c r="AO350" s="33">
        <f t="shared" si="120"/>
        <v>2207.97107</v>
      </c>
      <c r="AP350" s="33">
        <f t="shared" si="120"/>
        <v>652.9216638</v>
      </c>
      <c r="AQ350" s="33">
        <f t="shared" si="120"/>
        <v>99.63117343</v>
      </c>
      <c r="AR350" s="33">
        <f t="shared" si="120"/>
        <v>0</v>
      </c>
      <c r="AS350" s="33">
        <f t="shared" si="120"/>
        <v>55829.09494</v>
      </c>
      <c r="AT350" s="33">
        <f t="shared" si="120"/>
        <v>54.21546275</v>
      </c>
      <c r="AU350" s="33">
        <f t="shared" si="120"/>
        <v>55883.31041</v>
      </c>
      <c r="AV350" s="294">
        <v>148507.68879074432</v>
      </c>
      <c r="AW350" s="264" t="s">
        <v>63</v>
      </c>
      <c r="AX350" s="61"/>
    </row>
    <row r="351">
      <c r="A351" s="61"/>
      <c r="B351" s="17" t="s">
        <v>64</v>
      </c>
      <c r="C351" s="625">
        <v>20.2254791755374</v>
      </c>
      <c r="D351" s="72">
        <v>3.2203414134240074</v>
      </c>
      <c r="E351" s="474">
        <v>77.61234465779499</v>
      </c>
      <c r="F351" s="75">
        <v>6.65172533368703</v>
      </c>
      <c r="G351" s="626">
        <v>37.925047719748264</v>
      </c>
      <c r="H351" s="34">
        <v>0.960975487202828</v>
      </c>
      <c r="I351" s="508">
        <v>329.26528694469727</v>
      </c>
      <c r="J351" s="627">
        <v>6539.776429820248</v>
      </c>
      <c r="K351" s="508">
        <v>341.91116518333814</v>
      </c>
      <c r="L351" s="628">
        <v>717.9582514278226</v>
      </c>
      <c r="M351" s="629">
        <v>76.73732312686039</v>
      </c>
      <c r="N351" s="72">
        <v>2.2613524954972246</v>
      </c>
      <c r="O351" s="34">
        <v>0.1380730354173093</v>
      </c>
      <c r="P351" s="630">
        <v>19.62074345085371</v>
      </c>
      <c r="Q351" s="631">
        <v>14689.222842577768</v>
      </c>
      <c r="R351" s="215">
        <v>4446.421263021925</v>
      </c>
      <c r="S351" s="632">
        <v>13024.867479013761</v>
      </c>
      <c r="T351" s="633">
        <v>15588.492157770028</v>
      </c>
      <c r="U351" s="632">
        <v>13208.302577329596</v>
      </c>
      <c r="V351" s="34">
        <v>784.4633987467503</v>
      </c>
      <c r="W351" s="594">
        <v>526713.3121053155</v>
      </c>
      <c r="X351" s="594">
        <v>2941978.790756278</v>
      </c>
      <c r="Y351" s="606">
        <v>34591.37932397074</v>
      </c>
      <c r="Z351" s="594">
        <v>553262.2651413914</v>
      </c>
      <c r="AA351" s="634">
        <v>67607.059817228</v>
      </c>
      <c r="AB351" s="588">
        <v>3235.587005668326</v>
      </c>
      <c r="AC351" s="206">
        <v>2429.4934111250345</v>
      </c>
      <c r="AD351" s="635">
        <v>6575.540941848898</v>
      </c>
      <c r="AE351" s="33">
        <f t="shared" ref="AE351:AU351" si="121">AE81</f>
        <v>52.73256201</v>
      </c>
      <c r="AF351" s="33">
        <f t="shared" si="121"/>
        <v>0</v>
      </c>
      <c r="AG351" s="33">
        <f t="shared" si="121"/>
        <v>1.475453619</v>
      </c>
      <c r="AH351" s="33">
        <f t="shared" si="121"/>
        <v>19.54084867</v>
      </c>
      <c r="AI351" s="33">
        <f t="shared" si="121"/>
        <v>124.3804577</v>
      </c>
      <c r="AJ351" s="33">
        <f t="shared" si="121"/>
        <v>0.01574938488</v>
      </c>
      <c r="AK351" s="33">
        <f t="shared" si="121"/>
        <v>0</v>
      </c>
      <c r="AL351" s="33">
        <f t="shared" si="121"/>
        <v>187013.5652</v>
      </c>
      <c r="AM351" s="33">
        <f t="shared" si="121"/>
        <v>334.5121844</v>
      </c>
      <c r="AN351" s="33">
        <f t="shared" si="121"/>
        <v>15610.20927</v>
      </c>
      <c r="AO351" s="33">
        <f t="shared" si="121"/>
        <v>27480.3157</v>
      </c>
      <c r="AP351" s="33">
        <f t="shared" si="121"/>
        <v>54336.21459</v>
      </c>
      <c r="AQ351" s="33">
        <f t="shared" si="121"/>
        <v>91.40929114</v>
      </c>
      <c r="AR351" s="33">
        <f t="shared" si="121"/>
        <v>0</v>
      </c>
      <c r="AS351" s="33">
        <f t="shared" si="121"/>
        <v>284866.2263</v>
      </c>
      <c r="AT351" s="33">
        <f t="shared" si="121"/>
        <v>198.1450714</v>
      </c>
      <c r="AU351" s="33">
        <f t="shared" si="121"/>
        <v>285064.3713</v>
      </c>
      <c r="AV351" s="294">
        <v>4491373.834094705</v>
      </c>
      <c r="AW351" s="264" t="s">
        <v>64</v>
      </c>
      <c r="AX351" s="61"/>
    </row>
    <row r="352">
      <c r="A352" s="61"/>
      <c r="B352" s="17" t="s">
        <v>65</v>
      </c>
      <c r="C352" s="636">
        <v>622.2506202084417</v>
      </c>
      <c r="D352" s="523">
        <v>417.81927646237455</v>
      </c>
      <c r="E352" s="108">
        <v>173.8844211218119</v>
      </c>
      <c r="F352" s="116">
        <v>503.99879841675767</v>
      </c>
      <c r="G352" s="508">
        <v>331.90261490438746</v>
      </c>
      <c r="H352" s="501">
        <v>22.855574385666024</v>
      </c>
      <c r="I352" s="132">
        <v>114.06359318820263</v>
      </c>
      <c r="J352" s="117">
        <v>41520.47893564774</v>
      </c>
      <c r="K352" s="542">
        <v>10.291006768611563</v>
      </c>
      <c r="L352" s="637">
        <v>2802.0712577142517</v>
      </c>
      <c r="M352" s="638">
        <v>6037.846511689647</v>
      </c>
      <c r="N352" s="131">
        <v>32.96611458569047</v>
      </c>
      <c r="O352" s="201">
        <v>10.84488004070449</v>
      </c>
      <c r="P352" s="639">
        <v>376.4378819670471</v>
      </c>
      <c r="Q352" s="640">
        <v>282861.15235195856</v>
      </c>
      <c r="R352" s="641">
        <v>148806.79801386181</v>
      </c>
      <c r="S352" s="593">
        <v>152712.5559829132</v>
      </c>
      <c r="T352" s="642">
        <v>222334.5926658192</v>
      </c>
      <c r="U352" s="607">
        <v>178745.0559264281</v>
      </c>
      <c r="V352" s="643">
        <v>18597.81095696188</v>
      </c>
      <c r="W352" s="594">
        <v>544153.7689844504</v>
      </c>
      <c r="X352" s="594">
        <v>2.0423228330095597E7</v>
      </c>
      <c r="Y352" s="644">
        <v>173636.46591209417</v>
      </c>
      <c r="Z352" s="594">
        <v>2451619.7112340746</v>
      </c>
      <c r="AA352" s="594">
        <v>3845389.2538721147</v>
      </c>
      <c r="AB352" s="645">
        <v>41352.21336723302</v>
      </c>
      <c r="AC352" s="585">
        <v>26848.47158028861</v>
      </c>
      <c r="AD352" s="646">
        <v>184857.71360472823</v>
      </c>
      <c r="AE352" s="33">
        <f t="shared" ref="AE352:AU352" si="122">AE82</f>
        <v>25473.29775</v>
      </c>
      <c r="AF352" s="33">
        <f t="shared" si="122"/>
        <v>0</v>
      </c>
      <c r="AG352" s="33">
        <f t="shared" si="122"/>
        <v>48.69364743</v>
      </c>
      <c r="AH352" s="33">
        <f t="shared" si="122"/>
        <v>25730.39088</v>
      </c>
      <c r="AI352" s="33">
        <f t="shared" si="122"/>
        <v>-3856.317503</v>
      </c>
      <c r="AJ352" s="33">
        <f t="shared" si="122"/>
        <v>2.191040729</v>
      </c>
      <c r="AK352" s="33">
        <f t="shared" si="122"/>
        <v>0</v>
      </c>
      <c r="AL352" s="33">
        <f t="shared" si="122"/>
        <v>5631171.133</v>
      </c>
      <c r="AM352" s="33">
        <f t="shared" si="122"/>
        <v>21194.94134</v>
      </c>
      <c r="AN352" s="33">
        <f t="shared" si="122"/>
        <v>345242.147</v>
      </c>
      <c r="AO352" s="33">
        <f t="shared" si="122"/>
        <v>15450899.95</v>
      </c>
      <c r="AP352" s="33">
        <f t="shared" si="122"/>
        <v>339885.8654</v>
      </c>
      <c r="AQ352" s="33">
        <f t="shared" si="122"/>
        <v>33751.13261</v>
      </c>
      <c r="AR352" s="33">
        <f t="shared" si="122"/>
        <v>0</v>
      </c>
      <c r="AS352" s="33">
        <f t="shared" si="122"/>
        <v>21822145.17</v>
      </c>
      <c r="AT352" s="33">
        <f t="shared" si="122"/>
        <v>47398.25581</v>
      </c>
      <c r="AU352" s="33">
        <f t="shared" si="122"/>
        <v>21869543.43</v>
      </c>
      <c r="AV352" s="294">
        <v>5.0617665035178885E7</v>
      </c>
      <c r="AW352" s="264" t="s">
        <v>65</v>
      </c>
      <c r="AX352" s="61"/>
    </row>
    <row r="353">
      <c r="A353" s="61"/>
      <c r="B353" s="17" t="s">
        <v>66</v>
      </c>
      <c r="C353" s="647">
        <v>12.242645463680292</v>
      </c>
      <c r="D353" s="34">
        <v>0.3949342401283556</v>
      </c>
      <c r="E353" s="34">
        <v>1.5993039925073362</v>
      </c>
      <c r="F353" s="34">
        <v>0.42643791822917054</v>
      </c>
      <c r="G353" s="34">
        <v>0.48430933250956953</v>
      </c>
      <c r="H353" s="34">
        <v>0.13263611785940665</v>
      </c>
      <c r="I353" s="34">
        <v>0.46267841806286086</v>
      </c>
      <c r="J353" s="132">
        <v>111.74047257927388</v>
      </c>
      <c r="K353" s="34">
        <v>0.18378666225197013</v>
      </c>
      <c r="L353" s="85">
        <v>4.273672847469195</v>
      </c>
      <c r="M353" s="479">
        <v>7.704549605012637</v>
      </c>
      <c r="N353" s="34">
        <v>0.266271760446242</v>
      </c>
      <c r="O353" s="34">
        <v>0.01197503553955561</v>
      </c>
      <c r="P353" s="57">
        <v>0.6698171044520617</v>
      </c>
      <c r="Q353" s="648">
        <v>229938.63779639834</v>
      </c>
      <c r="R353" s="34">
        <v>732.2225087551478</v>
      </c>
      <c r="S353" s="605">
        <v>6213.529843423503</v>
      </c>
      <c r="T353" s="206">
        <v>2496.802020971462</v>
      </c>
      <c r="U353" s="197">
        <v>1547.310372947156</v>
      </c>
      <c r="V353" s="34">
        <v>67.06838634925917</v>
      </c>
      <c r="W353" s="649">
        <v>13897.584971204216</v>
      </c>
      <c r="X353" s="618">
        <v>68620.57763520307</v>
      </c>
      <c r="Y353" s="650">
        <v>117977.34484653806</v>
      </c>
      <c r="Z353" s="623">
        <v>11692.73765984144</v>
      </c>
      <c r="AA353" s="651">
        <v>21280.020851939425</v>
      </c>
      <c r="AB353" s="34">
        <v>135.33997925695897</v>
      </c>
      <c r="AC353" s="34">
        <v>236.18866195119273</v>
      </c>
      <c r="AD353" s="652">
        <v>1280.2173903134405</v>
      </c>
      <c r="AE353" s="33">
        <f t="shared" ref="AE353:AU353" si="123">AE83</f>
        <v>27.8437773</v>
      </c>
      <c r="AF353" s="33">
        <f t="shared" si="123"/>
        <v>0</v>
      </c>
      <c r="AG353" s="33">
        <f t="shared" si="123"/>
        <v>4.24401253</v>
      </c>
      <c r="AH353" s="33">
        <f t="shared" si="123"/>
        <v>8.446303697</v>
      </c>
      <c r="AI353" s="33">
        <f t="shared" si="123"/>
        <v>2.137150797</v>
      </c>
      <c r="AJ353" s="33">
        <f t="shared" si="123"/>
        <v>0.01596142486</v>
      </c>
      <c r="AK353" s="33">
        <f t="shared" si="123"/>
        <v>0</v>
      </c>
      <c r="AL353" s="33">
        <f t="shared" si="123"/>
        <v>47836.89967</v>
      </c>
      <c r="AM353" s="33">
        <f t="shared" si="123"/>
        <v>80.06668631</v>
      </c>
      <c r="AN353" s="33">
        <f t="shared" si="123"/>
        <v>215061.4184</v>
      </c>
      <c r="AO353" s="33">
        <f t="shared" si="123"/>
        <v>3610.352968</v>
      </c>
      <c r="AP353" s="33">
        <f t="shared" si="123"/>
        <v>9292.567737</v>
      </c>
      <c r="AQ353" s="33">
        <f t="shared" si="123"/>
        <v>70.44958586</v>
      </c>
      <c r="AR353" s="33">
        <f t="shared" si="123"/>
        <v>0</v>
      </c>
      <c r="AS353" s="33">
        <f t="shared" si="123"/>
        <v>275951.755</v>
      </c>
      <c r="AT353" s="33">
        <f t="shared" si="123"/>
        <v>42.68720575</v>
      </c>
      <c r="AU353" s="33">
        <f t="shared" si="123"/>
        <v>275994.4422</v>
      </c>
      <c r="AV353" s="294">
        <v>752250.6186373252</v>
      </c>
      <c r="AW353" s="264" t="s">
        <v>66</v>
      </c>
      <c r="AX353" s="61"/>
    </row>
    <row r="354">
      <c r="A354" s="61"/>
      <c r="B354" s="17" t="s">
        <v>67</v>
      </c>
      <c r="C354" s="653">
        <v>38.021844597337655</v>
      </c>
      <c r="D354" s="239">
        <v>262.8902091057882</v>
      </c>
      <c r="E354" s="654">
        <v>89.48500836629583</v>
      </c>
      <c r="F354" s="614">
        <v>672.0501451588946</v>
      </c>
      <c r="G354" s="523">
        <v>363.0739136594739</v>
      </c>
      <c r="H354" s="471">
        <v>25.42648000884227</v>
      </c>
      <c r="I354" s="108">
        <v>178.46795175161049</v>
      </c>
      <c r="J354" s="655">
        <v>8409.425182444947</v>
      </c>
      <c r="K354" s="74">
        <v>47.111328146702455</v>
      </c>
      <c r="L354" s="656">
        <v>6078.231137492046</v>
      </c>
      <c r="M354" s="657">
        <v>1856.0452928082984</v>
      </c>
      <c r="N354" s="613">
        <v>59.85857890996295</v>
      </c>
      <c r="O354" s="490">
        <v>14.65830020000394</v>
      </c>
      <c r="P354" s="581">
        <v>167.76116686619582</v>
      </c>
      <c r="Q354" s="658">
        <v>239437.61621410653</v>
      </c>
      <c r="R354" s="642">
        <v>222305.64436169542</v>
      </c>
      <c r="S354" s="659">
        <v>245594.55107787802</v>
      </c>
      <c r="T354" s="660">
        <v>302622.3725497164</v>
      </c>
      <c r="U354" s="661">
        <v>257446.91107735617</v>
      </c>
      <c r="V354" s="649">
        <v>13907.151969006944</v>
      </c>
      <c r="W354" s="662">
        <v>386960.4312750035</v>
      </c>
      <c r="X354" s="594">
        <v>5500843.6988223335</v>
      </c>
      <c r="Y354" s="593">
        <v>153711.82553972973</v>
      </c>
      <c r="Z354" s="594">
        <v>4491679.803947772</v>
      </c>
      <c r="AA354" s="594">
        <v>3440018.5205654353</v>
      </c>
      <c r="AB354" s="584">
        <v>31283.60550387268</v>
      </c>
      <c r="AC354" s="663">
        <v>22070.595651493768</v>
      </c>
      <c r="AD354" s="664">
        <v>472686.9975589295</v>
      </c>
      <c r="AE354" s="33">
        <f t="shared" ref="AE354:AU354" si="124">AE84</f>
        <v>1156.630702</v>
      </c>
      <c r="AF354" s="33">
        <f t="shared" si="124"/>
        <v>0</v>
      </c>
      <c r="AG354" s="33">
        <f t="shared" si="124"/>
        <v>24.30801695</v>
      </c>
      <c r="AH354" s="33">
        <f t="shared" si="124"/>
        <v>4680.11415</v>
      </c>
      <c r="AI354" s="33">
        <f t="shared" si="124"/>
        <v>-25.00938698</v>
      </c>
      <c r="AJ354" s="33">
        <f t="shared" si="124"/>
        <v>8.566633974</v>
      </c>
      <c r="AK354" s="33">
        <f t="shared" si="124"/>
        <v>0</v>
      </c>
      <c r="AL354" s="33">
        <f t="shared" si="124"/>
        <v>9724786.035</v>
      </c>
      <c r="AM354" s="33">
        <f t="shared" si="124"/>
        <v>12549.97646</v>
      </c>
      <c r="AN354" s="33">
        <f t="shared" si="124"/>
        <v>541122.3672</v>
      </c>
      <c r="AO354" s="33">
        <f t="shared" si="124"/>
        <v>979977.5674</v>
      </c>
      <c r="AP354" s="33">
        <f t="shared" si="124"/>
        <v>108548.9961</v>
      </c>
      <c r="AQ354" s="33">
        <f t="shared" si="124"/>
        <v>11207.6804</v>
      </c>
      <c r="AR354" s="33">
        <f t="shared" si="124"/>
        <v>0</v>
      </c>
      <c r="AS354" s="33">
        <f t="shared" si="124"/>
        <v>11378192.62</v>
      </c>
      <c r="AT354" s="33">
        <f t="shared" si="124"/>
        <v>5844.610116</v>
      </c>
      <c r="AU354" s="33">
        <f t="shared" si="124"/>
        <v>11384037.23</v>
      </c>
      <c r="AV354" s="294">
        <v>2.7182869465565313E7</v>
      </c>
      <c r="AW354" s="264" t="s">
        <v>67</v>
      </c>
      <c r="AX354" s="61"/>
    </row>
    <row r="355">
      <c r="A355" s="61"/>
      <c r="B355" s="17" t="s">
        <v>68</v>
      </c>
      <c r="C355" s="625">
        <v>20.765241099429627</v>
      </c>
      <c r="D355" s="132">
        <v>152.43976677788518</v>
      </c>
      <c r="E355" s="232">
        <v>23.768848864506083</v>
      </c>
      <c r="F355" s="116">
        <v>485.2034029274104</v>
      </c>
      <c r="G355" s="132">
        <v>143.2549132645508</v>
      </c>
      <c r="H355" s="124">
        <v>8.821500908732997</v>
      </c>
      <c r="I355" s="131">
        <v>32.51424694387452</v>
      </c>
      <c r="J355" s="209">
        <v>4134.119130335587</v>
      </c>
      <c r="K355" s="479">
        <v>7.088367495365072</v>
      </c>
      <c r="L355" s="665">
        <v>2098.861786206019</v>
      </c>
      <c r="M355" s="666">
        <v>7507.06344476776</v>
      </c>
      <c r="N355" s="667">
        <v>17.476462988079472</v>
      </c>
      <c r="O355" s="72">
        <v>2.3602633622946674</v>
      </c>
      <c r="P355" s="581">
        <v>149.58589573391862</v>
      </c>
      <c r="Q355" s="668">
        <v>158465.78416288714</v>
      </c>
      <c r="R355" s="669">
        <v>91773.66752815477</v>
      </c>
      <c r="S355" s="670">
        <v>99538.6738841426</v>
      </c>
      <c r="T355" s="608">
        <v>113469.92683622296</v>
      </c>
      <c r="U355" s="610">
        <v>146787.9288557631</v>
      </c>
      <c r="V355" s="599">
        <v>25640.880187480743</v>
      </c>
      <c r="W355" s="671">
        <v>362122.298172703</v>
      </c>
      <c r="X355" s="594">
        <v>3779593.4914137856</v>
      </c>
      <c r="Y355" s="618">
        <v>68548.75041491204</v>
      </c>
      <c r="Z355" s="594">
        <v>2942030.9962810096</v>
      </c>
      <c r="AA355" s="594">
        <v>1.1916622275486311E7</v>
      </c>
      <c r="AB355" s="672">
        <v>50347.68516614561</v>
      </c>
      <c r="AC355" s="673">
        <v>28946.24769010605</v>
      </c>
      <c r="AD355" s="674">
        <v>479283.7172544439</v>
      </c>
      <c r="AE355" s="33">
        <f t="shared" ref="AE355:AU355" si="125">AE85</f>
        <v>1889.760856</v>
      </c>
      <c r="AF355" s="33">
        <f t="shared" si="125"/>
        <v>0</v>
      </c>
      <c r="AG355" s="33">
        <f t="shared" si="125"/>
        <v>126.6485353</v>
      </c>
      <c r="AH355" s="33">
        <f t="shared" si="125"/>
        <v>240.4135501</v>
      </c>
      <c r="AI355" s="33">
        <f t="shared" si="125"/>
        <v>-15.82838138</v>
      </c>
      <c r="AJ355" s="33">
        <f t="shared" si="125"/>
        <v>4.105898575</v>
      </c>
      <c r="AK355" s="33">
        <f t="shared" si="125"/>
        <v>0</v>
      </c>
      <c r="AL355" s="33">
        <f t="shared" si="125"/>
        <v>19214876.38</v>
      </c>
      <c r="AM355" s="33">
        <f t="shared" si="125"/>
        <v>910965.0593</v>
      </c>
      <c r="AN355" s="33">
        <f t="shared" si="125"/>
        <v>11613463.4</v>
      </c>
      <c r="AO355" s="33">
        <f t="shared" si="125"/>
        <v>3305544.367</v>
      </c>
      <c r="AP355" s="33">
        <f t="shared" si="125"/>
        <v>123639.731</v>
      </c>
      <c r="AQ355" s="33">
        <f t="shared" si="125"/>
        <v>2782.121509</v>
      </c>
      <c r="AR355" s="33">
        <f t="shared" si="125"/>
        <v>0</v>
      </c>
      <c r="AS355" s="33">
        <f t="shared" si="125"/>
        <v>35171271.07</v>
      </c>
      <c r="AT355" s="33">
        <f t="shared" si="125"/>
        <v>2245.100458</v>
      </c>
      <c r="AU355" s="33">
        <f t="shared" si="125"/>
        <v>35173516.17</v>
      </c>
      <c r="AV355" s="294">
        <v>5.5451471813918054E7</v>
      </c>
      <c r="AW355" s="264" t="s">
        <v>68</v>
      </c>
      <c r="AX355" s="61"/>
    </row>
    <row r="356">
      <c r="A356" s="61"/>
      <c r="B356" s="17" t="s">
        <v>69</v>
      </c>
      <c r="C356" s="152">
        <v>0.08377948693463924</v>
      </c>
      <c r="D356" s="34">
        <v>0.9418429088768185</v>
      </c>
      <c r="E356" s="34">
        <v>0.10960548569834398</v>
      </c>
      <c r="F356" s="34">
        <v>1.3158199728760402</v>
      </c>
      <c r="G356" s="34">
        <v>1.6148889184808872</v>
      </c>
      <c r="H356" s="85">
        <v>5.648955980668791</v>
      </c>
      <c r="I356" s="34">
        <v>0.11125848859013908</v>
      </c>
      <c r="J356" s="132">
        <v>155.86731077339746</v>
      </c>
      <c r="K356" s="34">
        <v>0.04783476266778375</v>
      </c>
      <c r="L356" s="471">
        <v>25.118662542934313</v>
      </c>
      <c r="M356" s="85">
        <v>5.354816157902162</v>
      </c>
      <c r="N356" s="490">
        <v>15.338606167479872</v>
      </c>
      <c r="O356" s="34">
        <v>0.03487714918622895</v>
      </c>
      <c r="P356" s="57">
        <v>0.5100373676630191</v>
      </c>
      <c r="Q356" s="675">
        <v>2146.3028696673973</v>
      </c>
      <c r="R356" s="197">
        <v>1670.039788971087</v>
      </c>
      <c r="S356" s="588">
        <v>3015.833442177806</v>
      </c>
      <c r="T356" s="215">
        <v>4318.126775402182</v>
      </c>
      <c r="U356" s="206">
        <v>2912.1734211528765</v>
      </c>
      <c r="V356" s="623">
        <v>11475.44941119742</v>
      </c>
      <c r="W356" s="605">
        <v>6237.782573014894</v>
      </c>
      <c r="X356" s="634">
        <v>66726.52114951852</v>
      </c>
      <c r="Y356" s="34">
        <v>732.8941041104772</v>
      </c>
      <c r="Z356" s="676">
        <v>27381.50477759477</v>
      </c>
      <c r="AA356" s="677">
        <v>77180.27721428154</v>
      </c>
      <c r="AB356" s="678">
        <v>27810.664461390683</v>
      </c>
      <c r="AC356" s="206">
        <v>2770.8328294061603</v>
      </c>
      <c r="AD356" s="679">
        <v>7536.0011555597475</v>
      </c>
      <c r="AE356" s="33">
        <f t="shared" ref="AE356:AU356" si="126">AE86</f>
        <v>3.097445822</v>
      </c>
      <c r="AF356" s="33">
        <f t="shared" si="126"/>
        <v>0</v>
      </c>
      <c r="AG356" s="33">
        <f t="shared" si="126"/>
        <v>0.06246148626</v>
      </c>
      <c r="AH356" s="33">
        <f t="shared" si="126"/>
        <v>2.437501145</v>
      </c>
      <c r="AI356" s="33">
        <f t="shared" si="126"/>
        <v>4.843644756</v>
      </c>
      <c r="AJ356" s="33">
        <f t="shared" si="126"/>
        <v>0.8953510899</v>
      </c>
      <c r="AK356" s="33">
        <f t="shared" si="126"/>
        <v>0</v>
      </c>
      <c r="AL356" s="33">
        <f t="shared" si="126"/>
        <v>59356.02737</v>
      </c>
      <c r="AM356" s="33">
        <f t="shared" si="126"/>
        <v>433.8032171</v>
      </c>
      <c r="AN356" s="33">
        <f t="shared" si="126"/>
        <v>27888.70115</v>
      </c>
      <c r="AO356" s="33">
        <f t="shared" si="126"/>
        <v>1264.82889</v>
      </c>
      <c r="AP356" s="33">
        <f t="shared" si="126"/>
        <v>1275.908064</v>
      </c>
      <c r="AQ356" s="33">
        <f t="shared" si="126"/>
        <v>216.1845456</v>
      </c>
      <c r="AR356" s="33">
        <f t="shared" si="126"/>
        <v>0</v>
      </c>
      <c r="AS356" s="33">
        <f t="shared" si="126"/>
        <v>90435.45323</v>
      </c>
      <c r="AT356" s="33">
        <f t="shared" si="126"/>
        <v>11.3364043</v>
      </c>
      <c r="AU356" s="33">
        <f t="shared" si="126"/>
        <v>90446.78963</v>
      </c>
      <c r="AV356" s="294">
        <v>332573.2919045248</v>
      </c>
      <c r="AW356" s="264" t="s">
        <v>69</v>
      </c>
      <c r="AX356" s="61"/>
    </row>
    <row r="357">
      <c r="A357" s="61"/>
      <c r="B357" s="17" t="s">
        <v>70</v>
      </c>
      <c r="C357" s="152">
        <v>0.02951483820258348</v>
      </c>
      <c r="D357" s="34">
        <v>0.37464996747385426</v>
      </c>
      <c r="E357" s="34">
        <v>0.055638182415315936</v>
      </c>
      <c r="F357" s="34">
        <v>0.624808177275516</v>
      </c>
      <c r="G357" s="34">
        <v>0.6802203446776514</v>
      </c>
      <c r="H357" s="34">
        <v>0.6176218885395476</v>
      </c>
      <c r="I357" s="34">
        <v>0.14233567186000623</v>
      </c>
      <c r="J357" s="680">
        <v>14.455538765861087</v>
      </c>
      <c r="K357" s="34">
        <v>0.02654917721937364</v>
      </c>
      <c r="L357" s="681">
        <v>20.731036178666063</v>
      </c>
      <c r="M357" s="72">
        <v>3.2646874703398754</v>
      </c>
      <c r="N357" s="34">
        <v>1.3373058977837453</v>
      </c>
      <c r="O357" s="34">
        <v>0.005106392794917402</v>
      </c>
      <c r="P357" s="57">
        <v>0.25964223539990006</v>
      </c>
      <c r="Q357" s="682">
        <v>4586.398591971795</v>
      </c>
      <c r="R357" s="197">
        <v>1399.6882154291372</v>
      </c>
      <c r="S357" s="197">
        <v>1267.5669237355917</v>
      </c>
      <c r="T357" s="197">
        <v>1513.7472043133168</v>
      </c>
      <c r="U357" s="197">
        <v>1678.0314943485603</v>
      </c>
      <c r="V357" s="197">
        <v>1289.172254283565</v>
      </c>
      <c r="W357" s="588">
        <v>3367.024662255193</v>
      </c>
      <c r="X357" s="678">
        <v>27465.24876368372</v>
      </c>
      <c r="Y357" s="197">
        <v>1112.925110978015</v>
      </c>
      <c r="Z357" s="633">
        <v>15449.53394281294</v>
      </c>
      <c r="AA357" s="683">
        <v>42739.94273089489</v>
      </c>
      <c r="AB357" s="206">
        <v>2611.022918919563</v>
      </c>
      <c r="AC357" s="623">
        <v>10850.241260361441</v>
      </c>
      <c r="AD357" s="684">
        <v>5374.082773099026</v>
      </c>
      <c r="AE357" s="33">
        <f t="shared" ref="AE357:AU357" si="127">AE87</f>
        <v>2.595800756</v>
      </c>
      <c r="AF357" s="33">
        <f t="shared" si="127"/>
        <v>0</v>
      </c>
      <c r="AG357" s="33">
        <f t="shared" si="127"/>
        <v>0.03618247643</v>
      </c>
      <c r="AH357" s="33">
        <f t="shared" si="127"/>
        <v>6.375250019</v>
      </c>
      <c r="AI357" s="33">
        <f t="shared" si="127"/>
        <v>0.06411481151</v>
      </c>
      <c r="AJ357" s="33">
        <f t="shared" si="127"/>
        <v>0.1176715102</v>
      </c>
      <c r="AK357" s="33">
        <f t="shared" si="127"/>
        <v>0</v>
      </c>
      <c r="AL357" s="33">
        <f t="shared" si="127"/>
        <v>109252.5646</v>
      </c>
      <c r="AM357" s="33">
        <f t="shared" si="127"/>
        <v>58.15450904</v>
      </c>
      <c r="AN357" s="33">
        <f t="shared" si="127"/>
        <v>7502.937585</v>
      </c>
      <c r="AO357" s="33">
        <f t="shared" si="127"/>
        <v>1778.501973</v>
      </c>
      <c r="AP357" s="33">
        <f t="shared" si="127"/>
        <v>-72.78056898</v>
      </c>
      <c r="AQ357" s="33">
        <f t="shared" si="127"/>
        <v>50.51849578</v>
      </c>
      <c r="AR357" s="33">
        <f t="shared" si="127"/>
        <v>0</v>
      </c>
      <c r="AS357" s="33">
        <f t="shared" si="127"/>
        <v>118569.8966</v>
      </c>
      <c r="AT357" s="33">
        <f t="shared" si="127"/>
        <v>9.189019573</v>
      </c>
      <c r="AU357" s="33">
        <f t="shared" si="127"/>
        <v>118579.0856</v>
      </c>
      <c r="AV357" s="294">
        <v>239326.31713143046</v>
      </c>
      <c r="AW357" s="264" t="s">
        <v>70</v>
      </c>
      <c r="AX357" s="61"/>
    </row>
    <row r="358">
      <c r="A358" s="168"/>
      <c r="B358" s="422" t="s">
        <v>71</v>
      </c>
      <c r="C358" s="152">
        <v>1.977381026153159</v>
      </c>
      <c r="D358" s="201">
        <v>12.060986391786734</v>
      </c>
      <c r="E358" s="72">
        <v>2.6008056124340495</v>
      </c>
      <c r="F358" s="680">
        <v>13.867153312128423</v>
      </c>
      <c r="G358" s="580">
        <v>16.26880476475035</v>
      </c>
      <c r="H358" s="34">
        <v>1.3995703684273217</v>
      </c>
      <c r="I358" s="72">
        <v>2.618967227913318</v>
      </c>
      <c r="J358" s="523">
        <v>371.99848822873605</v>
      </c>
      <c r="K358" s="34">
        <v>0.35667131563285237</v>
      </c>
      <c r="L358" s="200">
        <v>1303.6458969659545</v>
      </c>
      <c r="M358" s="685">
        <v>7247.0822104121235</v>
      </c>
      <c r="N358" s="72">
        <v>2.7768892341278155</v>
      </c>
      <c r="O358" s="34">
        <v>0.8302678191656596</v>
      </c>
      <c r="P358" s="686">
        <v>76.31657564913455</v>
      </c>
      <c r="Q358" s="687">
        <v>7918.125513024316</v>
      </c>
      <c r="R358" s="605">
        <v>6387.101331169338</v>
      </c>
      <c r="S358" s="596">
        <v>5460.525054953846</v>
      </c>
      <c r="T358" s="623">
        <v>11204.295943287168</v>
      </c>
      <c r="U358" s="605">
        <v>5962.136450349343</v>
      </c>
      <c r="V358" s="34">
        <v>785.4859638827185</v>
      </c>
      <c r="W358" s="688">
        <v>19200.869694721485</v>
      </c>
      <c r="X358" s="689">
        <v>266448.61889593326</v>
      </c>
      <c r="Y358" s="215">
        <v>4293.93947776379</v>
      </c>
      <c r="Z358" s="690">
        <v>275123.27311362914</v>
      </c>
      <c r="AA358" s="594">
        <v>771358.6918033672</v>
      </c>
      <c r="AB358" s="206">
        <v>2266.3823401430386</v>
      </c>
      <c r="AC358" s="197">
        <v>992.6607371416521</v>
      </c>
      <c r="AD358" s="691">
        <v>40078.00380292808</v>
      </c>
      <c r="AE358" s="33">
        <f t="shared" ref="AE358:AU358" si="128">AE88</f>
        <v>7.841953226</v>
      </c>
      <c r="AF358" s="33">
        <f t="shared" si="128"/>
        <v>0</v>
      </c>
      <c r="AG358" s="33">
        <f t="shared" si="128"/>
        <v>0.1249853775</v>
      </c>
      <c r="AH358" s="33">
        <f t="shared" si="128"/>
        <v>3.743880856</v>
      </c>
      <c r="AI358" s="33">
        <f t="shared" si="128"/>
        <v>-0.304058452</v>
      </c>
      <c r="AJ358" s="33">
        <f t="shared" si="128"/>
        <v>0.05288816147</v>
      </c>
      <c r="AK358" s="33">
        <f t="shared" si="128"/>
        <v>0</v>
      </c>
      <c r="AL358" s="33">
        <f t="shared" si="128"/>
        <v>2716276.36</v>
      </c>
      <c r="AM358" s="33">
        <f t="shared" si="128"/>
        <v>29605.39222</v>
      </c>
      <c r="AN358" s="33">
        <f t="shared" si="128"/>
        <v>76762.71917</v>
      </c>
      <c r="AO358" s="33">
        <f t="shared" si="128"/>
        <v>7526.205671</v>
      </c>
      <c r="AP358" s="33">
        <f t="shared" si="128"/>
        <v>33012.51234</v>
      </c>
      <c r="AQ358" s="33">
        <f t="shared" si="128"/>
        <v>7549.74421</v>
      </c>
      <c r="AR358" s="33">
        <f t="shared" si="128"/>
        <v>0</v>
      </c>
      <c r="AS358" s="33">
        <f t="shared" si="128"/>
        <v>2870732.934</v>
      </c>
      <c r="AT358" s="33">
        <f t="shared" si="128"/>
        <v>11.45964917</v>
      </c>
      <c r="AU358" s="33">
        <f t="shared" si="128"/>
        <v>2870744.394</v>
      </c>
      <c r="AV358" s="396">
        <v>4297278.3044112455</v>
      </c>
      <c r="AW358" s="264" t="s">
        <v>71</v>
      </c>
      <c r="AX358" s="168"/>
    </row>
    <row r="359">
      <c r="A359" s="24"/>
      <c r="B359" s="692" t="s">
        <v>218</v>
      </c>
      <c r="C359" s="693">
        <f>$AV61-C360</f>
        <v>1974.55384</v>
      </c>
      <c r="D359" s="693">
        <f>$AV62-D360</f>
        <v>2123.797278</v>
      </c>
      <c r="E359" s="693">
        <f>$AV63-E360</f>
        <v>1450.127508</v>
      </c>
      <c r="F359" s="693">
        <f>$AV64-F360</f>
        <v>2096.598393</v>
      </c>
      <c r="G359" s="693">
        <f>$AV65-G360</f>
        <v>12303.42094</v>
      </c>
      <c r="H359" s="693">
        <f>$AV66-H360</f>
        <v>1002.522134</v>
      </c>
      <c r="I359" s="693">
        <f>$AV67-I360</f>
        <v>4073.921922</v>
      </c>
      <c r="J359" s="693">
        <f>$AV68-J360</f>
        <v>92213.30557</v>
      </c>
      <c r="K359" s="693">
        <f>$AV69-K360</f>
        <v>51.55003442</v>
      </c>
      <c r="L359" s="693">
        <f>$AV70-L360</f>
        <v>83972.94341</v>
      </c>
      <c r="M359" s="693">
        <f>$AV71-M360</f>
        <v>170127.256</v>
      </c>
      <c r="N359" s="693">
        <f>$AV72-N360</f>
        <v>1979.185731</v>
      </c>
      <c r="O359" s="693">
        <f>$AV73-O360</f>
        <v>654.6106709</v>
      </c>
      <c r="P359" s="693">
        <f>$AV74-P360</f>
        <v>22096.82717</v>
      </c>
      <c r="Q359" s="693">
        <f>$AV75-Q360</f>
        <v>1895165.353</v>
      </c>
      <c r="R359" s="693">
        <f>$AV76-R360</f>
        <v>339887.776</v>
      </c>
      <c r="S359" s="693">
        <f>$AV77-S360</f>
        <v>1150886.461</v>
      </c>
      <c r="T359" s="693">
        <f>$AV78-T360</f>
        <v>604813.0705</v>
      </c>
      <c r="U359" s="693">
        <f>$AV79-U360</f>
        <v>819086.2915</v>
      </c>
      <c r="V359" s="693">
        <f>$AV80-V360</f>
        <v>68791.1838</v>
      </c>
      <c r="W359" s="693">
        <f>$AV81-W360</f>
        <v>2588538.94</v>
      </c>
      <c r="X359" s="693">
        <f>$AV82-X360</f>
        <v>16695186.65</v>
      </c>
      <c r="Y359" s="693">
        <f>$AV83-Y360</f>
        <v>139363.314</v>
      </c>
      <c r="Z359" s="693">
        <f>$AV84-Z360</f>
        <v>16176158.29</v>
      </c>
      <c r="AA359" s="693">
        <f>$AV85-AA360</f>
        <v>34708527.54</v>
      </c>
      <c r="AB359" s="693">
        <f>$AV86-AB360</f>
        <v>158031.3746</v>
      </c>
      <c r="AC359" s="693">
        <f>$AV87-AC360</f>
        <v>139711.4742</v>
      </c>
      <c r="AD359" s="694">
        <f>$AV88-AD360</f>
        <v>2483363.861</v>
      </c>
      <c r="AE359" s="695">
        <f>SUM(C359:AD359)</f>
        <v>78363632.2</v>
      </c>
      <c r="AF359" s="696" t="s">
        <v>219</v>
      </c>
      <c r="AG359" s="24"/>
      <c r="AH359" s="24"/>
      <c r="AI359" s="24"/>
      <c r="AJ359" s="24"/>
      <c r="AK359" s="24"/>
      <c r="AL359" s="24"/>
      <c r="AM359" s="24"/>
      <c r="AN359" s="24"/>
      <c r="AO359" s="24"/>
      <c r="AP359" s="24"/>
      <c r="AQ359" s="24"/>
      <c r="AR359" s="24"/>
      <c r="AS359" s="24"/>
      <c r="AT359" s="24"/>
      <c r="AU359" s="24"/>
      <c r="AV359" s="21" t="s">
        <v>220</v>
      </c>
      <c r="AW359" s="24"/>
      <c r="AX359" s="24"/>
    </row>
    <row r="360">
      <c r="A360" s="24"/>
      <c r="B360" s="697" t="s">
        <v>221</v>
      </c>
      <c r="C360" s="698">
        <f t="shared" ref="C360:AD360" si="129">SUM(C331:C358)</f>
        <v>2105.780841</v>
      </c>
      <c r="D360" s="698">
        <f t="shared" si="129"/>
        <v>3630.476404</v>
      </c>
      <c r="E360" s="698">
        <f t="shared" si="129"/>
        <v>2686.015587</v>
      </c>
      <c r="F360" s="698">
        <f t="shared" si="129"/>
        <v>5776.962021</v>
      </c>
      <c r="G360" s="698">
        <f t="shared" si="129"/>
        <v>6653.582616</v>
      </c>
      <c r="H360" s="698">
        <f t="shared" si="129"/>
        <v>1399.684468</v>
      </c>
      <c r="I360" s="698">
        <f t="shared" si="129"/>
        <v>2891.199362</v>
      </c>
      <c r="J360" s="698">
        <f t="shared" si="129"/>
        <v>144629.3395</v>
      </c>
      <c r="K360" s="698">
        <f t="shared" si="129"/>
        <v>480.4891945</v>
      </c>
      <c r="L360" s="698">
        <f t="shared" si="129"/>
        <v>62130.51529</v>
      </c>
      <c r="M360" s="698">
        <f t="shared" si="129"/>
        <v>114399.791</v>
      </c>
      <c r="N360" s="698">
        <f t="shared" si="129"/>
        <v>2709.106795</v>
      </c>
      <c r="O360" s="698">
        <f t="shared" si="129"/>
        <v>460.979339</v>
      </c>
      <c r="P360" s="698">
        <f t="shared" si="129"/>
        <v>8492.522276</v>
      </c>
      <c r="Q360" s="698">
        <f t="shared" si="129"/>
        <v>1679821.636</v>
      </c>
      <c r="R360" s="698">
        <f t="shared" si="129"/>
        <v>737279.6103</v>
      </c>
      <c r="S360" s="698">
        <f t="shared" si="129"/>
        <v>975179.7936</v>
      </c>
      <c r="T360" s="698">
        <f t="shared" si="129"/>
        <v>1682446.022</v>
      </c>
      <c r="U360" s="698">
        <f t="shared" si="129"/>
        <v>1895352.427</v>
      </c>
      <c r="V360" s="698">
        <f t="shared" si="129"/>
        <v>79716.50499</v>
      </c>
      <c r="W360" s="698">
        <f t="shared" si="129"/>
        <v>1902834.894</v>
      </c>
      <c r="X360" s="698">
        <f t="shared" si="129"/>
        <v>33922478.39</v>
      </c>
      <c r="Y360" s="698">
        <f t="shared" si="129"/>
        <v>612887.3046</v>
      </c>
      <c r="Z360" s="698">
        <f t="shared" si="129"/>
        <v>11006711.18</v>
      </c>
      <c r="AA360" s="698">
        <f t="shared" si="129"/>
        <v>20742944.28</v>
      </c>
      <c r="AB360" s="698">
        <f t="shared" si="129"/>
        <v>174541.9173</v>
      </c>
      <c r="AC360" s="698">
        <f t="shared" si="129"/>
        <v>99614.84291</v>
      </c>
      <c r="AD360" s="699">
        <f t="shared" si="129"/>
        <v>1813914.443</v>
      </c>
      <c r="AE360" s="695">
        <f>SUM(C359:P359)</f>
        <v>396120.6205</v>
      </c>
      <c r="AF360" s="24"/>
      <c r="AG360" s="24"/>
      <c r="AH360" s="24"/>
      <c r="AI360" s="24"/>
      <c r="AJ360" s="24"/>
      <c r="AK360" s="24"/>
      <c r="AL360" s="24"/>
      <c r="AM360" s="24"/>
      <c r="AN360" s="24"/>
      <c r="AO360" s="24"/>
      <c r="AP360" s="24"/>
      <c r="AQ360" s="24"/>
      <c r="AR360" s="24"/>
      <c r="AS360" s="24"/>
      <c r="AT360" s="24"/>
      <c r="AU360" s="24"/>
      <c r="AV360" s="24"/>
      <c r="AW360" s="24"/>
      <c r="AX360" s="24"/>
    </row>
    <row r="361">
      <c r="A361" s="24"/>
      <c r="B361" s="700" t="s">
        <v>222</v>
      </c>
      <c r="C361" s="701">
        <f t="shared" ref="C361:AD361" si="130">SUM(C331:C359)</f>
        <v>4080.334681</v>
      </c>
      <c r="D361" s="701">
        <f t="shared" si="130"/>
        <v>5754.273682</v>
      </c>
      <c r="E361" s="701">
        <f t="shared" si="130"/>
        <v>4136.143095</v>
      </c>
      <c r="F361" s="701">
        <f t="shared" si="130"/>
        <v>7873.560414</v>
      </c>
      <c r="G361" s="701">
        <f t="shared" si="130"/>
        <v>18957.00355</v>
      </c>
      <c r="H361" s="701">
        <f t="shared" si="130"/>
        <v>2402.206602</v>
      </c>
      <c r="I361" s="701">
        <f t="shared" si="130"/>
        <v>6965.121284</v>
      </c>
      <c r="J361" s="701">
        <f t="shared" si="130"/>
        <v>236842.645</v>
      </c>
      <c r="K361" s="701">
        <f t="shared" si="130"/>
        <v>532.039229</v>
      </c>
      <c r="L361" s="701">
        <f t="shared" si="130"/>
        <v>146103.4587</v>
      </c>
      <c r="M361" s="701">
        <f t="shared" si="130"/>
        <v>284527.047</v>
      </c>
      <c r="N361" s="701">
        <f t="shared" si="130"/>
        <v>4688.292526</v>
      </c>
      <c r="O361" s="701">
        <f t="shared" si="130"/>
        <v>1115.59001</v>
      </c>
      <c r="P361" s="701">
        <f t="shared" si="130"/>
        <v>30589.34945</v>
      </c>
      <c r="Q361" s="701">
        <f t="shared" si="130"/>
        <v>3574986.989</v>
      </c>
      <c r="R361" s="701">
        <f t="shared" si="130"/>
        <v>1077167.386</v>
      </c>
      <c r="S361" s="701">
        <f t="shared" si="130"/>
        <v>2126066.255</v>
      </c>
      <c r="T361" s="701">
        <f t="shared" si="130"/>
        <v>2287259.093</v>
      </c>
      <c r="U361" s="701">
        <f t="shared" si="130"/>
        <v>2714438.718</v>
      </c>
      <c r="V361" s="701">
        <f t="shared" si="130"/>
        <v>148507.6888</v>
      </c>
      <c r="W361" s="701">
        <f t="shared" si="130"/>
        <v>4491373.834</v>
      </c>
      <c r="X361" s="701">
        <f t="shared" si="130"/>
        <v>50617665.04</v>
      </c>
      <c r="Y361" s="701">
        <f t="shared" si="130"/>
        <v>752250.6186</v>
      </c>
      <c r="Z361" s="701">
        <f t="shared" si="130"/>
        <v>27182869.47</v>
      </c>
      <c r="AA361" s="701">
        <f t="shared" si="130"/>
        <v>55451471.81</v>
      </c>
      <c r="AB361" s="701">
        <f t="shared" si="130"/>
        <v>332573.2919</v>
      </c>
      <c r="AC361" s="701">
        <f t="shared" si="130"/>
        <v>239326.3171</v>
      </c>
      <c r="AD361" s="702">
        <f t="shared" si="130"/>
        <v>4297278.304</v>
      </c>
      <c r="AE361" s="24"/>
      <c r="AF361" s="24"/>
      <c r="AG361" s="24"/>
      <c r="AH361" s="24"/>
      <c r="AI361" s="24"/>
      <c r="AJ361" s="24"/>
      <c r="AK361" s="24"/>
      <c r="AL361" s="24"/>
      <c r="AM361" s="24"/>
      <c r="AN361" s="24"/>
      <c r="AO361" s="24"/>
      <c r="AP361" s="24"/>
      <c r="AQ361" s="24"/>
      <c r="AR361" s="24"/>
      <c r="AS361" s="24"/>
      <c r="AT361" s="24"/>
      <c r="AU361" s="24"/>
      <c r="AV361" s="24"/>
      <c r="AW361" s="24"/>
      <c r="AX361" s="24"/>
    </row>
  </sheetData>
  <mergeCells count="72">
    <mergeCell ref="AF156:AH156"/>
    <mergeCell ref="AG157:AT157"/>
    <mergeCell ref="AU157:BH157"/>
    <mergeCell ref="AG187:AT187"/>
    <mergeCell ref="AU187:BH187"/>
    <mergeCell ref="BM187:BZ187"/>
    <mergeCell ref="CA187:CN187"/>
    <mergeCell ref="AF191:AH191"/>
    <mergeCell ref="AG192:AT192"/>
    <mergeCell ref="AU192:BH192"/>
    <mergeCell ref="B217:E217"/>
    <mergeCell ref="AG222:AT222"/>
    <mergeCell ref="AU222:BH222"/>
    <mergeCell ref="AF226:AK227"/>
    <mergeCell ref="Q329:AD329"/>
    <mergeCell ref="AE329:AK329"/>
    <mergeCell ref="A331:A344"/>
    <mergeCell ref="AX331:AX344"/>
    <mergeCell ref="A345:A358"/>
    <mergeCell ref="AX345:AX358"/>
    <mergeCell ref="AG228:AT228"/>
    <mergeCell ref="AU228:BH228"/>
    <mergeCell ref="AG240:AL240"/>
    <mergeCell ref="AM240:AR240"/>
    <mergeCell ref="AG275:AT275"/>
    <mergeCell ref="B327:E327"/>
    <mergeCell ref="C329:P329"/>
    <mergeCell ref="AL329:AR329"/>
    <mergeCell ref="B1:E1"/>
    <mergeCell ref="AZ1:BC1"/>
    <mergeCell ref="AE2:AK2"/>
    <mergeCell ref="AL2:AR2"/>
    <mergeCell ref="AU2:AV2"/>
    <mergeCell ref="C3:P3"/>
    <mergeCell ref="Q3:AD3"/>
    <mergeCell ref="AZ4:BB4"/>
    <mergeCell ref="A5:A18"/>
    <mergeCell ref="A19:A32"/>
    <mergeCell ref="B58:E58"/>
    <mergeCell ref="C59:P59"/>
    <mergeCell ref="A75:A88"/>
    <mergeCell ref="B121:E121"/>
    <mergeCell ref="AS2:AT2"/>
    <mergeCell ref="AT4:AT17"/>
    <mergeCell ref="AV4:AV17"/>
    <mergeCell ref="AZ6:BB6"/>
    <mergeCell ref="AZ8:BB8"/>
    <mergeCell ref="AZ10:BB10"/>
    <mergeCell ref="AZ16:BB16"/>
    <mergeCell ref="AZ30:BB30"/>
    <mergeCell ref="AZ32:BB32"/>
    <mergeCell ref="AZ34:BB34"/>
    <mergeCell ref="AE58:AR58"/>
    <mergeCell ref="Q59:AD59"/>
    <mergeCell ref="AE59:AK59"/>
    <mergeCell ref="AL59:AR59"/>
    <mergeCell ref="AZ12:BB12"/>
    <mergeCell ref="AZ14:BB14"/>
    <mergeCell ref="AS18:AS31"/>
    <mergeCell ref="AZ18:BB18"/>
    <mergeCell ref="AZ20:BB20"/>
    <mergeCell ref="AZ22:BB22"/>
    <mergeCell ref="AZ24:BB24"/>
    <mergeCell ref="AZ26:BB26"/>
    <mergeCell ref="AZ28:BB28"/>
    <mergeCell ref="AX60:AX73"/>
    <mergeCell ref="AX74:AX87"/>
    <mergeCell ref="AF121:AI121"/>
    <mergeCell ref="BL121:BO121"/>
    <mergeCell ref="CR121:CU121"/>
    <mergeCell ref="CS187:DF187"/>
    <mergeCell ref="DG187:DT187"/>
  </mergeCells>
  <conditionalFormatting sqref="C156:E216 F156:AD309 C218:E309">
    <cfRule type="colorScale" priority="1">
      <colorScale>
        <cfvo type="formula" val="0"/>
        <cfvo type="formula" val="0.005"/>
        <cfvo type="formula" val="0.2"/>
        <color rgb="FFFFFFFF"/>
        <color rgb="FFFFF2CC"/>
        <color rgb="FFBF9000"/>
      </colorScale>
    </cfRule>
  </conditionalFormatting>
  <conditionalFormatting sqref="C37:P41 C90:AD103">
    <cfRule type="colorScale" priority="2">
      <colorScale>
        <cfvo type="formula" val="0"/>
        <cfvo type="formula" val="500"/>
        <cfvo type="formula" val="40000"/>
        <color rgb="FFFFFFFF"/>
        <color rgb="FFABDDC5"/>
        <color rgb="FF57BB8A"/>
      </colorScale>
    </cfRule>
  </conditionalFormatting>
  <conditionalFormatting sqref="AW4:AW17 AU59:AU88 AU327:AU330">
    <cfRule type="colorScale" priority="3">
      <colorScale>
        <cfvo type="formula" val="0"/>
        <cfvo type="formula" val="1000"/>
        <cfvo type="formula" val="100000"/>
        <color rgb="FFFFFFFF"/>
        <color rgb="FFFBD9B5"/>
        <color rgb="FFB45F06"/>
      </colorScale>
    </cfRule>
  </conditionalFormatting>
  <conditionalFormatting sqref="AG158:AT158 AG193:AT193 BA240:BN240 AG275:AT275 C288:P288 F327:P357 C328:E357">
    <cfRule type="colorScale" priority="4">
      <colorScale>
        <cfvo type="formula" val="0"/>
        <cfvo type="formula" val="100"/>
        <cfvo type="formula" val="20000"/>
        <color rgb="FFFFFFFF"/>
        <color rgb="FFABDDC5"/>
        <color rgb="FF57BB8A"/>
      </colorScale>
    </cfRule>
  </conditionalFormatting>
  <conditionalFormatting sqref="C61:AD88">
    <cfRule type="colorScale" priority="5">
      <colorScale>
        <cfvo type="formula" val="0"/>
        <cfvo type="formula" val="0.03"/>
        <cfvo type="formula" val="0.6"/>
        <color rgb="FFFFFFFF"/>
        <color rgb="FFE06666"/>
        <color rgb="FF990000"/>
      </colorScale>
    </cfRule>
  </conditionalFormatting>
  <conditionalFormatting sqref="Q61:AD74">
    <cfRule type="colorScale" priority="6">
      <colorScale>
        <cfvo type="formula" val="0"/>
        <cfvo type="formula" val="0.0001"/>
        <cfvo type="formula" val="0.001"/>
        <color rgb="FFFFFFFF"/>
        <color rgb="FFABDDC5"/>
        <color rgb="FF57BB8A"/>
      </colorScale>
    </cfRule>
  </conditionalFormatting>
  <conditionalFormatting sqref="C5:P18">
    <cfRule type="colorScale" priority="7">
      <colorScale>
        <cfvo type="min"/>
        <cfvo type="max"/>
        <color rgb="FFFFFFFF"/>
        <color rgb="FFE67C73"/>
      </colorScale>
    </cfRule>
  </conditionalFormatting>
  <conditionalFormatting sqref="C19:P32">
    <cfRule type="colorScale" priority="8">
      <colorScale>
        <cfvo type="min"/>
        <cfvo type="max"/>
        <color rgb="FFFFFFFF"/>
        <color rgb="FFE67C73"/>
      </colorScale>
    </cfRule>
  </conditionalFormatting>
  <conditionalFormatting sqref="Q5:AD18">
    <cfRule type="colorScale" priority="9">
      <colorScale>
        <cfvo type="min"/>
        <cfvo type="max"/>
        <color rgb="FFFFFFFF"/>
        <color rgb="FFE67C73"/>
      </colorScale>
    </cfRule>
  </conditionalFormatting>
  <conditionalFormatting sqref="Q19:AD32">
    <cfRule type="colorScale" priority="10">
      <colorScale>
        <cfvo type="min"/>
        <cfvo type="max"/>
        <color rgb="FFFFFFFF"/>
        <color rgb="FFE67C73"/>
      </colorScale>
    </cfRule>
  </conditionalFormatting>
  <conditionalFormatting sqref="AG158:BH188">
    <cfRule type="colorScale" priority="11">
      <colorScale>
        <cfvo type="formula" val="0"/>
        <cfvo type="formula" val="1000"/>
        <cfvo type="formula" val="150000000"/>
        <color rgb="FFFFFFFF"/>
        <color rgb="FFB6D7A8"/>
        <color rgb="FF38761D"/>
      </colorScale>
    </cfRule>
  </conditionalFormatting>
  <conditionalFormatting sqref="AG207:AT221">
    <cfRule type="colorScale" priority="12">
      <colorScale>
        <cfvo type="formula" val="0"/>
        <cfvo type="formula" val="1000000"/>
        <cfvo type="formula" val="100000000"/>
        <color rgb="FFFFFFFF"/>
        <color rgb="FFC9DAF8"/>
        <color rgb="FF6D9EEB"/>
      </colorScale>
    </cfRule>
  </conditionalFormatting>
  <conditionalFormatting sqref="AU207:BH221">
    <cfRule type="colorScale" priority="13">
      <colorScale>
        <cfvo type="formula" val="0"/>
        <cfvo type="formula" val="1000000"/>
        <cfvo type="formula" val="100000000"/>
        <color rgb="FFFFFFFF"/>
        <color rgb="FFF3BEB9"/>
        <color rgb="FF85200C"/>
      </colorScale>
    </cfRule>
  </conditionalFormatting>
  <conditionalFormatting sqref="AU193:BH221">
    <cfRule type="colorScale" priority="14">
      <colorScale>
        <cfvo type="formula" val="0"/>
        <cfvo type="formula" val="100000"/>
        <cfvo type="formula" val="1000000"/>
        <color rgb="FFFFFFFF"/>
        <color rgb="FFABDDC5"/>
        <color rgb="FF57BB8A"/>
      </colorScale>
    </cfRule>
  </conditionalFormatting>
  <drawing r:id="rId1"/>
</worksheet>
</file>