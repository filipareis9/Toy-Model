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PbeyAorzWswZOqEWccTMwVRKi7AwfeBk3SYogVk4lU="/>
    </ext>
  </extLst>
</workbook>
</file>

<file path=xl/sharedStrings.xml><?xml version="1.0" encoding="utf-8"?>
<sst xmlns="http://schemas.openxmlformats.org/spreadsheetml/2006/main" count="104" uniqueCount="57">
  <si>
    <t>SuperRegion</t>
  </si>
  <si>
    <t>AT</t>
  </si>
  <si>
    <t>World_but_AT</t>
  </si>
  <si>
    <t>Aggregated_Sector</t>
  </si>
  <si>
    <t>Plant cultivation</t>
  </si>
  <si>
    <t>Plant processing</t>
  </si>
  <si>
    <t>Animal cultivation</t>
  </si>
  <si>
    <t>Animal processing</t>
  </si>
  <si>
    <t>Food waste and reuse</t>
  </si>
  <si>
    <t>Mining and forestry</t>
  </si>
  <si>
    <t>Manufacturing and construction</t>
  </si>
  <si>
    <t>Manufacturing fertilisers</t>
  </si>
  <si>
    <t>Trade, transport and utilities</t>
  </si>
  <si>
    <t>Services</t>
  </si>
  <si>
    <t>Waste</t>
  </si>
  <si>
    <t>Water</t>
  </si>
  <si>
    <t>Hotels and Resteraunts</t>
  </si>
  <si>
    <t>stressor</t>
  </si>
  <si>
    <t>CH4 - combustion - air</t>
  </si>
  <si>
    <t>CO2 - combustion - air</t>
  </si>
  <si>
    <t>CO2_bio - combustion - air</t>
  </si>
  <si>
    <t>N2O - combustion - air</t>
  </si>
  <si>
    <t>NOx - combustion - air</t>
  </si>
  <si>
    <t>SF6 - air</t>
  </si>
  <si>
    <t>HFC - air</t>
  </si>
  <si>
    <t>PFC - air</t>
  </si>
  <si>
    <t>CH4 - agriculture - air</t>
  </si>
  <si>
    <t>CO2 - agriculture - peat decay - air</t>
  </si>
  <si>
    <t>N2O - agriculture - air</t>
  </si>
  <si>
    <t>NOX - agriculture - air</t>
  </si>
  <si>
    <t>CH4 - waste - air</t>
  </si>
  <si>
    <t>CO2 - waste - biogenic - air</t>
  </si>
  <si>
    <t>CO2 - waste - fossil - air</t>
  </si>
  <si>
    <t>NOX - waste - air</t>
  </si>
  <si>
    <t>CO2</t>
  </si>
  <si>
    <t>CH4 Fossil</t>
  </si>
  <si>
    <t>CH4 non-fossil</t>
  </si>
  <si>
    <t>NO2</t>
  </si>
  <si>
    <t>SF6</t>
  </si>
  <si>
    <t>HFC</t>
  </si>
  <si>
    <t>PFC</t>
  </si>
  <si>
    <t>Note: NOx assumed to be 90% NO2 and 10% NO</t>
  </si>
  <si>
    <t>Major Greenhouse Gases</t>
  </si>
  <si>
    <t>GWP-100 (AR6)</t>
  </si>
  <si>
    <t>Note: HFC GWP assumed to be 1500 based on typical sectoral mix of refrigerants (primarily HFC-134a, HFC-125)</t>
  </si>
  <si>
    <t>Carbon dioxide (CO2)</t>
  </si>
  <si>
    <t>Note: A default GWP of 10000 was assumed for PFCs due to lack of compound-specific data.</t>
  </si>
  <si>
    <t>Methane – non-fossil (CH4)</t>
  </si>
  <si>
    <t>Methane – fossil (CH4)</t>
  </si>
  <si>
    <t>Nitrous oxide (N2O)</t>
  </si>
  <si>
    <t>CH4 Fossil (CO2 eq)</t>
  </si>
  <si>
    <t>CH4 non-fossil (CO2 eq)</t>
  </si>
  <si>
    <t>NO2 (CO2 eq)</t>
  </si>
  <si>
    <t>SF6 (CO2 eq)</t>
  </si>
  <si>
    <t>HFC (CO2 eq)</t>
  </si>
  <si>
    <t>PFC (CO2 eq)</t>
  </si>
  <si>
    <t>Total (CO2 eq)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</si>
</sst>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/>
    <font>
      <color theme="1"/>
      <name val="Calibri"/>
      <scheme val="minor"/>
    </font>
    <font>
      <b/>
      <color theme="1"/>
      <name val="Arial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3" fillId="0" fontId="2" numFmtId="0" xfId="0" applyBorder="1" applyFont="1"/>
    <xf borderId="4" fillId="0" fontId="2" numFmtId="0" xfId="0" applyBorder="1" applyFont="1"/>
    <xf borderId="1" fillId="2" fontId="1" numFmtId="0" xfId="0" applyAlignment="1" applyBorder="1" applyFill="1" applyFont="1">
      <alignment horizontal="center" vertical="top"/>
    </xf>
    <xf borderId="0" fillId="2" fontId="3" numFmtId="0" xfId="0" applyFont="1"/>
    <xf borderId="1" fillId="3" fontId="1" numFmtId="0" xfId="0" applyAlignment="1" applyBorder="1" applyFill="1" applyFont="1">
      <alignment horizontal="center" vertical="top"/>
    </xf>
    <xf borderId="0" fillId="3" fontId="3" numFmtId="0" xfId="0" applyFont="1"/>
    <xf borderId="1" fillId="4" fontId="1" numFmtId="0" xfId="0" applyAlignment="1" applyBorder="1" applyFill="1" applyFont="1">
      <alignment horizontal="center" vertical="top"/>
    </xf>
    <xf borderId="0" fillId="4" fontId="3" numFmtId="0" xfId="0" applyFont="1"/>
    <xf borderId="1" fillId="5" fontId="1" numFmtId="0" xfId="0" applyAlignment="1" applyBorder="1" applyFill="1" applyFont="1">
      <alignment horizontal="center" vertical="top"/>
    </xf>
    <xf borderId="0" fillId="5" fontId="3" numFmtId="0" xfId="0" applyFont="1"/>
    <xf borderId="1" fillId="6" fontId="1" numFmtId="0" xfId="0" applyAlignment="1" applyBorder="1" applyFill="1" applyFont="1">
      <alignment horizontal="center" vertical="top"/>
    </xf>
    <xf borderId="0" fillId="6" fontId="3" numFmtId="0" xfId="0" applyFont="1"/>
    <xf borderId="1" fillId="7" fontId="1" numFmtId="0" xfId="0" applyAlignment="1" applyBorder="1" applyFill="1" applyFont="1">
      <alignment horizontal="center" vertical="top"/>
    </xf>
    <xf borderId="0" fillId="7" fontId="3" numFmtId="0" xfId="0" applyFont="1"/>
    <xf borderId="1" fillId="8" fontId="1" numFmtId="0" xfId="0" applyAlignment="1" applyBorder="1" applyFill="1" applyFont="1">
      <alignment horizontal="center" vertical="top"/>
    </xf>
    <xf borderId="0" fillId="8" fontId="3" numFmtId="0" xfId="0" applyFont="1"/>
    <xf borderId="0" fillId="9" fontId="3" numFmtId="0" xfId="0" applyAlignment="1" applyFill="1" applyFont="1">
      <alignment readingOrder="0"/>
    </xf>
    <xf borderId="0" fillId="9" fontId="3" numFmtId="0" xfId="0" applyFont="1"/>
    <xf borderId="0" fillId="2" fontId="3" numFmtId="0" xfId="0" applyAlignment="1" applyFont="1">
      <alignment readingOrder="0"/>
    </xf>
    <xf borderId="0" fillId="8" fontId="3" numFmtId="0" xfId="0" applyAlignment="1" applyFont="1">
      <alignment readingOrder="0"/>
    </xf>
    <xf borderId="0" fillId="4" fontId="3" numFmtId="0" xfId="0" applyAlignment="1" applyFont="1">
      <alignment readingOrder="0"/>
    </xf>
    <xf borderId="0" fillId="5" fontId="3" numFmtId="0" xfId="0" applyAlignment="1" applyFont="1">
      <alignment readingOrder="0"/>
    </xf>
    <xf borderId="0" fillId="6" fontId="3" numFmtId="0" xfId="0" applyAlignment="1" applyFont="1">
      <alignment readingOrder="0"/>
    </xf>
    <xf borderId="0" fillId="7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8.29"/>
    <col customWidth="1" min="2" max="2" width="11.14"/>
    <col customWidth="1" min="3" max="3" width="12.43"/>
    <col customWidth="1" min="4" max="4" width="9.14"/>
    <col customWidth="1" min="5" max="5" width="8.71"/>
    <col customWidth="1" min="6" max="6" width="12.71"/>
    <col customWidth="1" min="7" max="27" width="8.71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2" t="s">
        <v>2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4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12</v>
      </c>
      <c r="X2" s="1" t="s">
        <v>13</v>
      </c>
      <c r="Y2" s="1" t="s">
        <v>14</v>
      </c>
      <c r="Z2" s="1" t="s">
        <v>15</v>
      </c>
      <c r="AA2" s="1" t="s">
        <v>16</v>
      </c>
    </row>
    <row r="3">
      <c r="A3" s="1" t="s">
        <v>17</v>
      </c>
    </row>
    <row r="4">
      <c r="A4" s="5" t="s">
        <v>18</v>
      </c>
      <c r="B4" s="6">
        <v>488735.132900156</v>
      </c>
      <c r="C4" s="6">
        <v>109526.2656325573</v>
      </c>
      <c r="D4" s="6">
        <v>918120.5035007475</v>
      </c>
      <c r="E4" s="6">
        <v>60640.7463680076</v>
      </c>
      <c r="F4" s="6">
        <v>44902.657907038</v>
      </c>
      <c r="G4" s="6">
        <v>851812.0825292711</v>
      </c>
      <c r="H4" s="6">
        <v>2563632.244784423</v>
      </c>
      <c r="I4" s="6">
        <v>4122.642422697</v>
      </c>
      <c r="J4" s="6">
        <v>2954324.728326246</v>
      </c>
      <c r="K4" s="6">
        <v>665991.0277637191</v>
      </c>
      <c r="L4" s="6">
        <v>86683.12754912111</v>
      </c>
      <c r="M4" s="6">
        <v>578.19784169</v>
      </c>
      <c r="N4" s="6">
        <v>436342.190313</v>
      </c>
      <c r="O4" s="6">
        <v>2.740201722068295E8</v>
      </c>
      <c r="P4" s="6">
        <v>7.216161855333403E7</v>
      </c>
      <c r="Q4" s="6">
        <v>1.58440925726561E8</v>
      </c>
      <c r="R4" s="6">
        <v>1.079114405221509E8</v>
      </c>
      <c r="S4" s="6">
        <v>4966489.341160235</v>
      </c>
      <c r="T4" s="6">
        <v>1.14943483328316E8</v>
      </c>
      <c r="U4" s="6">
        <v>8.985793718383747E8</v>
      </c>
      <c r="V4" s="6">
        <v>3.30069299678695E7</v>
      </c>
      <c r="W4" s="6">
        <v>5.988341399269949E8</v>
      </c>
      <c r="X4" s="6">
        <v>4.831145890584651E8</v>
      </c>
      <c r="Y4" s="6">
        <v>1.708614382916822E7</v>
      </c>
      <c r="Z4" s="6">
        <v>5222855.171308282</v>
      </c>
      <c r="AA4" s="6">
        <v>7.323490252602026E7</v>
      </c>
    </row>
    <row r="5">
      <c r="A5" s="7" t="s">
        <v>19</v>
      </c>
      <c r="B5" s="8">
        <v>1.246533491656925E9</v>
      </c>
      <c r="C5" s="8">
        <v>5.52020606588508E8</v>
      </c>
      <c r="D5" s="8">
        <v>9.331546406395819E8</v>
      </c>
      <c r="E5" s="8">
        <v>2.61835653469314E8</v>
      </c>
      <c r="F5" s="8">
        <v>1.5712672510204E8</v>
      </c>
      <c r="G5" s="8">
        <v>9.094470691511447E8</v>
      </c>
      <c r="H5" s="8">
        <v>1.769977677458647E10</v>
      </c>
      <c r="I5" s="8">
        <v>1.153145074302E7</v>
      </c>
      <c r="J5" s="8">
        <v>1.894341324897789E10</v>
      </c>
      <c r="K5" s="8">
        <v>5.56918831989721E9</v>
      </c>
      <c r="L5" s="8">
        <v>2.252845538857353E8</v>
      </c>
      <c r="M5" s="8">
        <v>5763647.16264</v>
      </c>
      <c r="N5" s="8">
        <v>1.07862593709E9</v>
      </c>
      <c r="O5" s="8">
        <v>5.382194279974434E11</v>
      </c>
      <c r="P5" s="8">
        <v>2.110734876908824E11</v>
      </c>
      <c r="Q5" s="8">
        <v>2.485819796377846E11</v>
      </c>
      <c r="R5" s="8">
        <v>2.267982111507988E11</v>
      </c>
      <c r="S5" s="8">
        <v>3.326941724287702E10</v>
      </c>
      <c r="T5" s="8">
        <v>1.232543657548354E12</v>
      </c>
      <c r="U5" s="8">
        <v>9.107174165184213E12</v>
      </c>
      <c r="V5" s="8">
        <v>3.629868986919069E11</v>
      </c>
      <c r="W5" s="8">
        <v>1.606456971210224E13</v>
      </c>
      <c r="X5" s="8">
        <v>1.563826061697761E12</v>
      </c>
      <c r="Y5" s="8">
        <v>7.276657099149026E10</v>
      </c>
      <c r="Z5" s="8">
        <v>2.109165332805708E10</v>
      </c>
      <c r="AA5" s="8">
        <v>8.712846810190283E10</v>
      </c>
    </row>
    <row r="6">
      <c r="A6" s="7" t="s">
        <v>20</v>
      </c>
      <c r="B6" s="8">
        <v>2.97900526865501E8</v>
      </c>
      <c r="C6" s="8">
        <v>3.552834948790006E8</v>
      </c>
      <c r="D6" s="8">
        <v>4.228247701738626E8</v>
      </c>
      <c r="E6" s="8">
        <v>1.882763678956146E8</v>
      </c>
      <c r="F6" s="8">
        <v>4.0233006816838E7</v>
      </c>
      <c r="G6" s="8">
        <v>4.39364446506802E8</v>
      </c>
      <c r="H6" s="8">
        <v>9.233204892520044E9</v>
      </c>
      <c r="I6" s="8">
        <v>1.3879849213644E7</v>
      </c>
      <c r="J6" s="8">
        <v>6.052671002909526E9</v>
      </c>
      <c r="K6" s="8">
        <v>2.431958018055127E8</v>
      </c>
      <c r="L6" s="8">
        <v>7.922226620793974E7</v>
      </c>
      <c r="M6" s="8">
        <v>443902.202894</v>
      </c>
      <c r="N6" s="8">
        <v>1.90922237336E8</v>
      </c>
      <c r="O6" s="8">
        <v>8.221744615402489E10</v>
      </c>
      <c r="P6" s="8">
        <v>2.501453851320663E11</v>
      </c>
      <c r="Q6" s="8">
        <v>5.082925581729686E10</v>
      </c>
      <c r="R6" s="8">
        <v>3.140595124217146E11</v>
      </c>
      <c r="S6" s="8">
        <v>2.104369775615845E9</v>
      </c>
      <c r="T6" s="8">
        <v>3.561841435693073E10</v>
      </c>
      <c r="U6" s="8">
        <v>1.610045940447281E12</v>
      </c>
      <c r="V6" s="8">
        <v>9.44344395087261E9</v>
      </c>
      <c r="W6" s="8">
        <v>2.544573444146942E11</v>
      </c>
      <c r="X6" s="8">
        <v>1.364826945083432E11</v>
      </c>
      <c r="Y6" s="8">
        <v>6.10734790202726E9</v>
      </c>
      <c r="Z6" s="8">
        <v>2.681171354411667E9</v>
      </c>
      <c r="AA6" s="8">
        <v>3.286990641588186E10</v>
      </c>
    </row>
    <row r="7">
      <c r="A7" s="9" t="s">
        <v>21</v>
      </c>
      <c r="B7" s="10">
        <v>66315.15760505991</v>
      </c>
      <c r="C7" s="10">
        <v>15769.4434403508</v>
      </c>
      <c r="D7" s="10">
        <v>61609.52851011903</v>
      </c>
      <c r="E7" s="10">
        <v>8743.76033442662</v>
      </c>
      <c r="F7" s="10">
        <v>7538.078664336999</v>
      </c>
      <c r="G7" s="10">
        <v>38382.99597348581</v>
      </c>
      <c r="H7" s="10">
        <v>541248.1204982634</v>
      </c>
      <c r="I7" s="10">
        <v>548.266341774</v>
      </c>
      <c r="J7" s="10">
        <v>437071.5911859175</v>
      </c>
      <c r="K7" s="10">
        <v>160877.9360732796</v>
      </c>
      <c r="L7" s="10">
        <v>11926.85355193371</v>
      </c>
      <c r="M7" s="10">
        <v>233.02717399</v>
      </c>
      <c r="N7" s="10">
        <v>51924.1173859</v>
      </c>
      <c r="O7" s="10">
        <v>3.60789551082309E7</v>
      </c>
      <c r="P7" s="10">
        <v>1.133358325151519E7</v>
      </c>
      <c r="Q7" s="10">
        <v>1.709848739926635E7</v>
      </c>
      <c r="R7" s="10">
        <v>1.370096803586732E7</v>
      </c>
      <c r="S7" s="10">
        <v>821694.4226844342</v>
      </c>
      <c r="T7" s="10">
        <v>2.535858453870214E7</v>
      </c>
      <c r="U7" s="10">
        <v>1.936256270327616E8</v>
      </c>
      <c r="V7" s="10">
        <v>5920310.537676765</v>
      </c>
      <c r="W7" s="10">
        <v>3.905583956483278E8</v>
      </c>
      <c r="X7" s="10">
        <v>5.463992779325204E7</v>
      </c>
      <c r="Y7" s="10">
        <v>1290035.858748418</v>
      </c>
      <c r="Z7" s="10">
        <v>386528.002621251</v>
      </c>
      <c r="AA7" s="10">
        <v>5134688.678605795</v>
      </c>
    </row>
    <row r="8" ht="15.75" customHeight="1">
      <c r="A8" s="9" t="s">
        <v>22</v>
      </c>
      <c r="B8" s="10">
        <v>9644523.542776246</v>
      </c>
      <c r="C8" s="10">
        <v>1229225.72794269</v>
      </c>
      <c r="D8" s="10">
        <v>6748148.333146113</v>
      </c>
      <c r="E8" s="10">
        <v>600766.551358368</v>
      </c>
      <c r="F8" s="10">
        <v>375589.47610535</v>
      </c>
      <c r="G8" s="10">
        <v>3232877.67454809</v>
      </c>
      <c r="H8" s="10">
        <v>4.963401053574151E7</v>
      </c>
      <c r="I8" s="10">
        <v>23143.23334267</v>
      </c>
      <c r="J8" s="10">
        <v>3.212800213734931E7</v>
      </c>
      <c r="K8" s="10">
        <v>1.703509171478615E7</v>
      </c>
      <c r="L8" s="10">
        <v>411214.2789814548</v>
      </c>
      <c r="M8" s="10">
        <v>26122.9028439</v>
      </c>
      <c r="N8" s="10">
        <v>5255224.94648</v>
      </c>
      <c r="O8" s="10">
        <v>4.906154154609103E9</v>
      </c>
      <c r="P8" s="10">
        <v>6.363544706188936E8</v>
      </c>
      <c r="Q8" s="10">
        <v>2.184293521474125E9</v>
      </c>
      <c r="R8" s="10">
        <v>6.581407561632922E8</v>
      </c>
      <c r="S8" s="10">
        <v>6.168936674147624E7</v>
      </c>
      <c r="T8" s="10">
        <v>3.696055206537554E9</v>
      </c>
      <c r="U8" s="10">
        <v>1.915088194691826E10</v>
      </c>
      <c r="V8" s="10">
        <v>6.3098034489095E8</v>
      </c>
      <c r="W8" s="10">
        <v>5.077714956450762E10</v>
      </c>
      <c r="X8" s="10">
        <v>3.780373983696571E9</v>
      </c>
      <c r="Y8" s="10">
        <v>1.22839342706773E8</v>
      </c>
      <c r="Z8" s="10">
        <v>3.082699983085696E7</v>
      </c>
      <c r="AA8" s="10">
        <v>2.884370619639038E8</v>
      </c>
    </row>
    <row r="9" ht="15.75" customHeight="1">
      <c r="A9" s="11" t="s">
        <v>23</v>
      </c>
      <c r="B9" s="12">
        <v>1518.45</v>
      </c>
      <c r="C9" s="12">
        <v>799.4315</v>
      </c>
      <c r="D9" s="12">
        <v>250.2138528</v>
      </c>
      <c r="E9" s="12">
        <v>136.2907751</v>
      </c>
      <c r="F9" s="12">
        <v>3167.34689</v>
      </c>
      <c r="G9" s="12">
        <v>4998.24538</v>
      </c>
      <c r="H9" s="12">
        <v>4533.560539</v>
      </c>
      <c r="I9" s="12">
        <v>50.27930000000001</v>
      </c>
      <c r="J9" s="12">
        <v>0.0</v>
      </c>
      <c r="K9" s="12">
        <v>0.0</v>
      </c>
      <c r="L9" s="12">
        <v>3646.180156</v>
      </c>
      <c r="M9" s="12">
        <v>0.0</v>
      </c>
      <c r="N9" s="12">
        <v>0.0</v>
      </c>
      <c r="O9" s="12">
        <v>865732.058347058</v>
      </c>
      <c r="P9" s="12">
        <v>114230.7971015599</v>
      </c>
      <c r="Q9" s="12">
        <v>102773.6613812638</v>
      </c>
      <c r="R9" s="12">
        <v>20401.07048951735</v>
      </c>
      <c r="S9" s="12">
        <v>1367994.181612143</v>
      </c>
      <c r="T9" s="12">
        <v>2449207.564818962</v>
      </c>
      <c r="U9" s="12">
        <v>3311102.155995311</v>
      </c>
      <c r="V9" s="12">
        <v>28403.19912616682</v>
      </c>
      <c r="W9" s="12">
        <v>0.0</v>
      </c>
      <c r="X9" s="12">
        <v>0.0</v>
      </c>
      <c r="Y9" s="12">
        <v>550899.263208736</v>
      </c>
      <c r="Z9" s="12">
        <v>0.0</v>
      </c>
      <c r="AA9" s="12">
        <v>0.0</v>
      </c>
    </row>
    <row r="10" ht="15.75" customHeight="1">
      <c r="A10" s="13" t="s">
        <v>24</v>
      </c>
      <c r="B10" s="14">
        <v>1.6649945E8</v>
      </c>
      <c r="C10" s="14">
        <v>9.459914E7</v>
      </c>
      <c r="D10" s="14">
        <v>3.870460343E7</v>
      </c>
      <c r="E10" s="14">
        <v>1.45650451E7</v>
      </c>
      <c r="F10" s="14">
        <v>1.71846129E8</v>
      </c>
      <c r="G10" s="14">
        <v>4.4051453E8</v>
      </c>
      <c r="H10" s="14">
        <v>5.427654699E8</v>
      </c>
      <c r="I10" s="14">
        <v>3816640.0</v>
      </c>
      <c r="J10" s="14">
        <v>0.0</v>
      </c>
      <c r="K10" s="14">
        <v>0.0</v>
      </c>
      <c r="L10" s="14">
        <v>1.8668968305E8</v>
      </c>
      <c r="M10" s="14">
        <v>0.0</v>
      </c>
      <c r="N10" s="14">
        <v>0.0</v>
      </c>
      <c r="O10" s="14">
        <v>8.208466097524382E10</v>
      </c>
      <c r="P10" s="14">
        <v>1.181338452697136E10</v>
      </c>
      <c r="Q10" s="14">
        <v>1.330452699971043E10</v>
      </c>
      <c r="R10" s="14">
        <v>2.470324411029001E9</v>
      </c>
      <c r="S10" s="14">
        <v>1.399286749744236E11</v>
      </c>
      <c r="T10" s="14">
        <v>1.590117756235698E11</v>
      </c>
      <c r="U10" s="14">
        <v>4.727044324649738E11</v>
      </c>
      <c r="V10" s="14">
        <v>1.569560801509547E9</v>
      </c>
      <c r="W10" s="14">
        <v>0.0</v>
      </c>
      <c r="X10" s="14">
        <v>0.0</v>
      </c>
      <c r="Y10" s="14">
        <v>4.723701371021853E10</v>
      </c>
      <c r="Z10" s="14">
        <v>0.0</v>
      </c>
      <c r="AA10" s="14">
        <v>0.0</v>
      </c>
    </row>
    <row r="11" ht="15.75" customHeight="1">
      <c r="A11" s="15" t="s">
        <v>25</v>
      </c>
      <c r="B11" s="16">
        <v>3149623.7</v>
      </c>
      <c r="C11" s="16">
        <v>1817328.0</v>
      </c>
      <c r="D11" s="16">
        <v>731244.4113000002</v>
      </c>
      <c r="E11" s="16">
        <v>270138.081</v>
      </c>
      <c r="F11" s="16">
        <v>4711338.6</v>
      </c>
      <c r="G11" s="16">
        <v>8969032.66</v>
      </c>
      <c r="H11" s="16">
        <v>1.0619703097E7</v>
      </c>
      <c r="I11" s="16">
        <v>71085.0</v>
      </c>
      <c r="J11" s="16">
        <v>0.0</v>
      </c>
      <c r="K11" s="16">
        <v>0.0</v>
      </c>
      <c r="L11" s="16">
        <v>5460503.613</v>
      </c>
      <c r="M11" s="16">
        <v>0.0</v>
      </c>
      <c r="N11" s="16">
        <v>0.0</v>
      </c>
      <c r="O11" s="16">
        <v>8.52195144889733E8</v>
      </c>
      <c r="P11" s="16">
        <v>2.84886295966639E8</v>
      </c>
      <c r="Q11" s="16">
        <v>1.350037862793801E8</v>
      </c>
      <c r="R11" s="16">
        <v>4.416060620471673E7</v>
      </c>
      <c r="S11" s="16">
        <v>2.438466220986711E9</v>
      </c>
      <c r="T11" s="16">
        <v>5.582609650211641E9</v>
      </c>
      <c r="U11" s="16">
        <v>3.965214901219714E10</v>
      </c>
      <c r="V11" s="16">
        <v>2.506103968437814E7</v>
      </c>
      <c r="W11" s="16">
        <v>0.0</v>
      </c>
      <c r="X11" s="16">
        <v>0.0</v>
      </c>
      <c r="Y11" s="16">
        <v>1.105435330094489E9</v>
      </c>
      <c r="Z11" s="16">
        <v>0.0</v>
      </c>
      <c r="AA11" s="16">
        <v>0.0</v>
      </c>
    </row>
    <row r="12" ht="15.75" customHeight="1">
      <c r="A12" s="17" t="s">
        <v>26</v>
      </c>
      <c r="B12" s="18">
        <v>0.0</v>
      </c>
      <c r="C12" s="18">
        <v>0.0</v>
      </c>
      <c r="D12" s="18">
        <v>1.86999986629E8</v>
      </c>
      <c r="E12" s="18">
        <v>0.0</v>
      </c>
      <c r="F12" s="18">
        <v>0.0</v>
      </c>
      <c r="G12" s="18">
        <v>0.0</v>
      </c>
      <c r="H12" s="18">
        <v>0.0</v>
      </c>
      <c r="I12" s="18">
        <v>0.0</v>
      </c>
      <c r="J12" s="18">
        <v>0.0</v>
      </c>
      <c r="K12" s="18">
        <v>0.0</v>
      </c>
      <c r="L12" s="18">
        <v>0.0</v>
      </c>
      <c r="M12" s="18">
        <v>0.0</v>
      </c>
      <c r="N12" s="18">
        <v>0.0</v>
      </c>
      <c r="O12" s="18">
        <v>4.028655265E10</v>
      </c>
      <c r="P12" s="18">
        <v>0.0</v>
      </c>
      <c r="Q12" s="18">
        <v>9.941229799046027E10</v>
      </c>
      <c r="R12" s="18">
        <v>0.0</v>
      </c>
      <c r="S12" s="18">
        <v>0.0</v>
      </c>
      <c r="T12" s="18">
        <v>0.0</v>
      </c>
      <c r="U12" s="18">
        <v>0.0</v>
      </c>
      <c r="V12" s="18">
        <v>0.0</v>
      </c>
      <c r="W12" s="18">
        <v>0.0</v>
      </c>
      <c r="X12" s="18">
        <v>0.0</v>
      </c>
      <c r="Y12" s="18">
        <v>0.0</v>
      </c>
      <c r="Z12" s="18">
        <v>0.0</v>
      </c>
      <c r="AA12" s="18">
        <v>0.0</v>
      </c>
    </row>
    <row r="13" ht="15.75" customHeight="1">
      <c r="A13" s="7" t="s">
        <v>27</v>
      </c>
      <c r="B13" s="8">
        <v>5.49613862E7</v>
      </c>
      <c r="C13" s="8">
        <v>0.0</v>
      </c>
      <c r="D13" s="8">
        <v>6.603879E7</v>
      </c>
      <c r="E13" s="8">
        <v>0.0</v>
      </c>
      <c r="F13" s="8">
        <v>0.0</v>
      </c>
      <c r="G13" s="8">
        <v>0.0</v>
      </c>
      <c r="H13" s="8">
        <v>0.0</v>
      </c>
      <c r="I13" s="8">
        <v>0.0</v>
      </c>
      <c r="J13" s="8">
        <v>0.0</v>
      </c>
      <c r="K13" s="8">
        <v>0.0</v>
      </c>
      <c r="L13" s="8">
        <v>0.0</v>
      </c>
      <c r="M13" s="8">
        <v>0.0</v>
      </c>
      <c r="N13" s="8">
        <v>0.0</v>
      </c>
      <c r="O13" s="8">
        <v>5.016524142199788E10</v>
      </c>
      <c r="P13" s="8">
        <v>0.0</v>
      </c>
      <c r="Q13" s="8">
        <v>5.58730066374763E10</v>
      </c>
      <c r="R13" s="8">
        <v>0.0</v>
      </c>
      <c r="S13" s="8">
        <v>0.0</v>
      </c>
      <c r="T13" s="8">
        <v>0.0</v>
      </c>
      <c r="U13" s="8">
        <v>0.0</v>
      </c>
      <c r="V13" s="8">
        <v>0.0</v>
      </c>
      <c r="W13" s="8">
        <v>0.0</v>
      </c>
      <c r="X13" s="8">
        <v>0.0</v>
      </c>
      <c r="Y13" s="8">
        <v>0.0</v>
      </c>
      <c r="Z13" s="8">
        <v>0.0</v>
      </c>
      <c r="AA13" s="8">
        <v>0.0</v>
      </c>
    </row>
    <row r="14" ht="15.75" customHeight="1">
      <c r="A14" s="9" t="s">
        <v>28</v>
      </c>
      <c r="B14" s="10">
        <v>4111332.8</v>
      </c>
      <c r="C14" s="10">
        <v>0.0</v>
      </c>
      <c r="D14" s="10">
        <v>4218672.0</v>
      </c>
      <c r="E14" s="10">
        <v>0.0</v>
      </c>
      <c r="F14" s="10">
        <v>0.0</v>
      </c>
      <c r="G14" s="10">
        <v>0.0</v>
      </c>
      <c r="H14" s="10">
        <v>0.0</v>
      </c>
      <c r="I14" s="10">
        <v>0.0</v>
      </c>
      <c r="J14" s="10">
        <v>0.0</v>
      </c>
      <c r="K14" s="10">
        <v>0.0</v>
      </c>
      <c r="L14" s="10">
        <v>0.0</v>
      </c>
      <c r="M14" s="10">
        <v>0.0</v>
      </c>
      <c r="N14" s="10">
        <v>0.0</v>
      </c>
      <c r="O14" s="10">
        <v>3.01264554487894E9</v>
      </c>
      <c r="P14" s="10">
        <v>0.0</v>
      </c>
      <c r="Q14" s="10">
        <v>4.7105717561817E9</v>
      </c>
      <c r="R14" s="10">
        <v>0.0</v>
      </c>
      <c r="S14" s="10">
        <v>0.0</v>
      </c>
      <c r="T14" s="10">
        <v>0.0</v>
      </c>
      <c r="U14" s="10">
        <v>0.0</v>
      </c>
      <c r="V14" s="10">
        <v>0.0</v>
      </c>
      <c r="W14" s="10">
        <v>0.0</v>
      </c>
      <c r="X14" s="10">
        <v>0.0</v>
      </c>
      <c r="Y14" s="10">
        <v>0.0</v>
      </c>
      <c r="Z14" s="10">
        <v>0.0</v>
      </c>
      <c r="AA14" s="10">
        <v>0.0</v>
      </c>
    </row>
    <row r="15" ht="15.75" customHeight="1">
      <c r="A15" s="9" t="s">
        <v>29</v>
      </c>
      <c r="B15" s="10">
        <v>0.0</v>
      </c>
      <c r="C15" s="10">
        <v>0.0</v>
      </c>
      <c r="D15" s="10">
        <v>0.0</v>
      </c>
      <c r="E15" s="10">
        <v>0.0</v>
      </c>
      <c r="F15" s="10">
        <v>0.0</v>
      </c>
      <c r="G15" s="10">
        <v>0.0</v>
      </c>
      <c r="H15" s="10">
        <v>0.0</v>
      </c>
      <c r="I15" s="10">
        <v>0.0</v>
      </c>
      <c r="J15" s="10">
        <v>0.0</v>
      </c>
      <c r="K15" s="10">
        <v>0.0</v>
      </c>
      <c r="L15" s="10">
        <v>0.0</v>
      </c>
      <c r="M15" s="10">
        <v>0.0</v>
      </c>
      <c r="N15" s="10">
        <v>0.0</v>
      </c>
      <c r="O15" s="10">
        <v>0.0</v>
      </c>
      <c r="P15" s="10">
        <v>0.0</v>
      </c>
      <c r="Q15" s="10">
        <v>0.0</v>
      </c>
      <c r="R15" s="10">
        <v>0.0</v>
      </c>
      <c r="S15" s="10">
        <v>0.0</v>
      </c>
      <c r="T15" s="10">
        <v>0.0</v>
      </c>
      <c r="U15" s="10">
        <v>0.0</v>
      </c>
      <c r="V15" s="10">
        <v>0.0</v>
      </c>
      <c r="W15" s="10">
        <v>0.0</v>
      </c>
      <c r="X15" s="10">
        <v>0.0</v>
      </c>
      <c r="Y15" s="10">
        <v>0.0</v>
      </c>
      <c r="Z15" s="10">
        <v>0.0</v>
      </c>
      <c r="AA15" s="10">
        <v>0.0</v>
      </c>
    </row>
    <row r="16" ht="15.75" customHeight="1">
      <c r="A16" s="17" t="s">
        <v>30</v>
      </c>
      <c r="B16" s="18">
        <v>0.0</v>
      </c>
      <c r="C16" s="18">
        <v>0.0</v>
      </c>
      <c r="D16" s="18">
        <v>0.0</v>
      </c>
      <c r="E16" s="18">
        <v>0.0</v>
      </c>
      <c r="F16" s="18">
        <v>3.753314943E7</v>
      </c>
      <c r="G16" s="18">
        <v>0.0</v>
      </c>
      <c r="H16" s="18">
        <v>0.0</v>
      </c>
      <c r="I16" s="18">
        <v>0.0</v>
      </c>
      <c r="J16" s="18">
        <v>0.0</v>
      </c>
      <c r="K16" s="18">
        <v>0.0</v>
      </c>
      <c r="L16" s="18">
        <v>5.5166885035E7</v>
      </c>
      <c r="M16" s="18">
        <v>0.0</v>
      </c>
      <c r="N16" s="18">
        <v>0.0</v>
      </c>
      <c r="O16" s="18">
        <v>0.0</v>
      </c>
      <c r="P16" s="18">
        <v>0.0</v>
      </c>
      <c r="Q16" s="18">
        <v>0.0</v>
      </c>
      <c r="R16" s="18">
        <v>0.0</v>
      </c>
      <c r="S16" s="18">
        <v>5.019604658512921E10</v>
      </c>
      <c r="T16" s="18">
        <v>0.0</v>
      </c>
      <c r="U16" s="18">
        <v>0.0</v>
      </c>
      <c r="V16" s="18">
        <v>0.0</v>
      </c>
      <c r="W16" s="18">
        <v>0.0</v>
      </c>
      <c r="X16" s="18">
        <v>0.0</v>
      </c>
      <c r="Y16" s="18">
        <v>2.93485542964164E10</v>
      </c>
      <c r="Z16" s="18">
        <v>0.0</v>
      </c>
      <c r="AA16" s="18">
        <v>0.0</v>
      </c>
    </row>
    <row r="17" ht="15.75" customHeight="1">
      <c r="A17" s="7" t="s">
        <v>31</v>
      </c>
      <c r="B17" s="8">
        <v>0.0</v>
      </c>
      <c r="C17" s="8">
        <v>0.0</v>
      </c>
      <c r="D17" s="8">
        <v>0.0</v>
      </c>
      <c r="E17" s="8">
        <v>0.0</v>
      </c>
      <c r="F17" s="8">
        <v>189250.3971</v>
      </c>
      <c r="G17" s="8">
        <v>0.0</v>
      </c>
      <c r="H17" s="8">
        <v>0.0</v>
      </c>
      <c r="I17" s="8">
        <v>0.0</v>
      </c>
      <c r="J17" s="8">
        <v>0.0</v>
      </c>
      <c r="K17" s="8">
        <v>0.0</v>
      </c>
      <c r="L17" s="8">
        <v>3520.97</v>
      </c>
      <c r="M17" s="8">
        <v>0.0</v>
      </c>
      <c r="N17" s="8">
        <v>0.0</v>
      </c>
      <c r="O17" s="8">
        <v>0.0</v>
      </c>
      <c r="P17" s="8">
        <v>0.0</v>
      </c>
      <c r="Q17" s="8">
        <v>0.0</v>
      </c>
      <c r="R17" s="8">
        <v>0.0</v>
      </c>
      <c r="S17" s="8">
        <v>1.356696345328514E10</v>
      </c>
      <c r="T17" s="8">
        <v>0.0</v>
      </c>
      <c r="U17" s="8">
        <v>0.0</v>
      </c>
      <c r="V17" s="8">
        <v>0.0</v>
      </c>
      <c r="W17" s="8">
        <v>0.0</v>
      </c>
      <c r="X17" s="8">
        <v>0.0</v>
      </c>
      <c r="Y17" s="8">
        <v>4.108620121276143E9</v>
      </c>
      <c r="Z17" s="8">
        <v>0.0</v>
      </c>
      <c r="AA17" s="8">
        <v>0.0</v>
      </c>
    </row>
    <row r="18" ht="15.75" customHeight="1">
      <c r="A18" s="7" t="s">
        <v>32</v>
      </c>
      <c r="B18" s="8">
        <v>0.0</v>
      </c>
      <c r="C18" s="8">
        <v>0.0</v>
      </c>
      <c r="D18" s="8">
        <v>0.0</v>
      </c>
      <c r="E18" s="8">
        <v>0.0</v>
      </c>
      <c r="F18" s="8">
        <v>0.0</v>
      </c>
      <c r="G18" s="8">
        <v>0.0</v>
      </c>
      <c r="H18" s="8">
        <v>0.0</v>
      </c>
      <c r="I18" s="8">
        <v>0.0</v>
      </c>
      <c r="J18" s="8">
        <v>0.0</v>
      </c>
      <c r="K18" s="8">
        <v>0.0</v>
      </c>
      <c r="L18" s="8">
        <v>228.4869</v>
      </c>
      <c r="M18" s="8">
        <v>0.0</v>
      </c>
      <c r="N18" s="8">
        <v>0.0</v>
      </c>
      <c r="O18" s="8">
        <v>0.0</v>
      </c>
      <c r="P18" s="8">
        <v>0.0</v>
      </c>
      <c r="Q18" s="8">
        <v>0.0</v>
      </c>
      <c r="R18" s="8">
        <v>0.0</v>
      </c>
      <c r="S18" s="8">
        <v>0.0</v>
      </c>
      <c r="T18" s="8">
        <v>0.0</v>
      </c>
      <c r="U18" s="8">
        <v>0.0</v>
      </c>
      <c r="V18" s="8">
        <v>0.0</v>
      </c>
      <c r="W18" s="8">
        <v>0.0</v>
      </c>
      <c r="X18" s="8">
        <v>0.0</v>
      </c>
      <c r="Y18" s="8">
        <v>6.082456428781E8</v>
      </c>
      <c r="Z18" s="8">
        <v>0.0</v>
      </c>
      <c r="AA18" s="8">
        <v>0.0</v>
      </c>
    </row>
    <row r="19" ht="15.75" customHeight="1">
      <c r="A19" s="9" t="s">
        <v>33</v>
      </c>
      <c r="B19" s="10">
        <v>0.0</v>
      </c>
      <c r="C19" s="10">
        <v>0.0</v>
      </c>
      <c r="D19" s="10">
        <v>0.0</v>
      </c>
      <c r="E19" s="10">
        <v>0.0</v>
      </c>
      <c r="F19" s="10">
        <v>767.571</v>
      </c>
      <c r="G19" s="10">
        <v>0.0</v>
      </c>
      <c r="H19" s="10">
        <v>0.0</v>
      </c>
      <c r="I19" s="10">
        <v>0.0</v>
      </c>
      <c r="J19" s="10">
        <v>0.0</v>
      </c>
      <c r="K19" s="10">
        <v>0.0</v>
      </c>
      <c r="L19" s="10">
        <v>16796.363</v>
      </c>
      <c r="M19" s="10">
        <v>0.0</v>
      </c>
      <c r="N19" s="10">
        <v>0.0</v>
      </c>
      <c r="O19" s="10">
        <v>0.0</v>
      </c>
      <c r="P19" s="10">
        <v>0.0</v>
      </c>
      <c r="Q19" s="10">
        <v>0.0</v>
      </c>
      <c r="R19" s="10">
        <v>0.0</v>
      </c>
      <c r="S19" s="10">
        <v>3887664.070718</v>
      </c>
      <c r="T19" s="10">
        <v>0.0</v>
      </c>
      <c r="U19" s="10">
        <v>0.0</v>
      </c>
      <c r="V19" s="10">
        <v>0.0</v>
      </c>
      <c r="W19" s="10">
        <v>0.0</v>
      </c>
      <c r="X19" s="10">
        <v>0.0</v>
      </c>
      <c r="Y19" s="10">
        <v>3.5957757846403E7</v>
      </c>
      <c r="Z19" s="10">
        <v>0.0</v>
      </c>
      <c r="AA19" s="10">
        <v>0.0</v>
      </c>
    </row>
    <row r="20" ht="15.75" customHeight="1"/>
    <row r="21" ht="15.75" customHeight="1">
      <c r="A21" s="19" t="s">
        <v>34</v>
      </c>
      <c r="B21" s="20">
        <f t="shared" ref="B21:AA21" si="1">sum(B5+B6+B13+B17+B18)</f>
        <v>1599395405</v>
      </c>
      <c r="C21" s="20">
        <f t="shared" si="1"/>
        <v>907304101.5</v>
      </c>
      <c r="D21" s="20">
        <f t="shared" si="1"/>
        <v>1422018201</v>
      </c>
      <c r="E21" s="20">
        <f t="shared" si="1"/>
        <v>450112021.4</v>
      </c>
      <c r="F21" s="20">
        <f t="shared" si="1"/>
        <v>197548982.3</v>
      </c>
      <c r="G21" s="20">
        <f t="shared" si="1"/>
        <v>1348811516</v>
      </c>
      <c r="H21" s="20">
        <f t="shared" si="1"/>
        <v>26932981667</v>
      </c>
      <c r="I21" s="20">
        <f t="shared" si="1"/>
        <v>25411299.96</v>
      </c>
      <c r="J21" s="20">
        <f t="shared" si="1"/>
        <v>24996084252</v>
      </c>
      <c r="K21" s="20">
        <f t="shared" si="1"/>
        <v>5812384122</v>
      </c>
      <c r="L21" s="20">
        <f t="shared" si="1"/>
        <v>304510569.6</v>
      </c>
      <c r="M21" s="20">
        <f t="shared" si="1"/>
        <v>6207549.366</v>
      </c>
      <c r="N21" s="20">
        <f t="shared" si="1"/>
        <v>1269548174</v>
      </c>
      <c r="O21" s="20">
        <f t="shared" si="1"/>
        <v>670602115573</v>
      </c>
      <c r="P21" s="20">
        <f t="shared" si="1"/>
        <v>461218872823</v>
      </c>
      <c r="Q21" s="20">
        <f t="shared" si="1"/>
        <v>355284242093</v>
      </c>
      <c r="R21" s="20">
        <f t="shared" si="1"/>
        <v>540857723573</v>
      </c>
      <c r="S21" s="20">
        <f t="shared" si="1"/>
        <v>48940750472</v>
      </c>
      <c r="T21" s="20">
        <f t="shared" si="1"/>
        <v>1268162071905</v>
      </c>
      <c r="U21" s="20">
        <f t="shared" si="1"/>
        <v>10717220105632</v>
      </c>
      <c r="V21" s="20">
        <f t="shared" si="1"/>
        <v>372430342643</v>
      </c>
      <c r="W21" s="20">
        <f t="shared" si="1"/>
        <v>16319027056517</v>
      </c>
      <c r="X21" s="20">
        <f t="shared" si="1"/>
        <v>1700308756206</v>
      </c>
      <c r="Y21" s="20">
        <f t="shared" si="1"/>
        <v>83590784658</v>
      </c>
      <c r="Z21" s="20">
        <f t="shared" si="1"/>
        <v>23772824682</v>
      </c>
      <c r="AA21" s="20">
        <f t="shared" si="1"/>
        <v>119998374518</v>
      </c>
    </row>
    <row r="22" ht="15.75" customHeight="1">
      <c r="A22" s="21" t="s">
        <v>35</v>
      </c>
      <c r="B22" s="6">
        <f t="shared" ref="B22:AA22" si="2">B4</f>
        <v>488735.1329</v>
      </c>
      <c r="C22" s="6">
        <f t="shared" si="2"/>
        <v>109526.2656</v>
      </c>
      <c r="D22" s="6">
        <f t="shared" si="2"/>
        <v>918120.5035</v>
      </c>
      <c r="E22" s="6">
        <f t="shared" si="2"/>
        <v>60640.74637</v>
      </c>
      <c r="F22" s="6">
        <f t="shared" si="2"/>
        <v>44902.65791</v>
      </c>
      <c r="G22" s="6">
        <f t="shared" si="2"/>
        <v>851812.0825</v>
      </c>
      <c r="H22" s="6">
        <f t="shared" si="2"/>
        <v>2563632.245</v>
      </c>
      <c r="I22" s="6">
        <f t="shared" si="2"/>
        <v>4122.642423</v>
      </c>
      <c r="J22" s="6">
        <f t="shared" si="2"/>
        <v>2954324.728</v>
      </c>
      <c r="K22" s="6">
        <f t="shared" si="2"/>
        <v>665991.0278</v>
      </c>
      <c r="L22" s="6">
        <f t="shared" si="2"/>
        <v>86683.12755</v>
      </c>
      <c r="M22" s="6">
        <f t="shared" si="2"/>
        <v>578.1978417</v>
      </c>
      <c r="N22" s="6">
        <f t="shared" si="2"/>
        <v>436342.1903</v>
      </c>
      <c r="O22" s="6">
        <f t="shared" si="2"/>
        <v>274020172.2</v>
      </c>
      <c r="P22" s="6">
        <f t="shared" si="2"/>
        <v>72161618.55</v>
      </c>
      <c r="Q22" s="6">
        <f t="shared" si="2"/>
        <v>158440925.7</v>
      </c>
      <c r="R22" s="6">
        <f t="shared" si="2"/>
        <v>107911440.5</v>
      </c>
      <c r="S22" s="6">
        <f t="shared" si="2"/>
        <v>4966489.341</v>
      </c>
      <c r="T22" s="6">
        <f t="shared" si="2"/>
        <v>114943483.3</v>
      </c>
      <c r="U22" s="6">
        <f t="shared" si="2"/>
        <v>898579371.8</v>
      </c>
      <c r="V22" s="6">
        <f t="shared" si="2"/>
        <v>33006929.97</v>
      </c>
      <c r="W22" s="6">
        <f t="shared" si="2"/>
        <v>598834139.9</v>
      </c>
      <c r="X22" s="6">
        <f t="shared" si="2"/>
        <v>483114589.1</v>
      </c>
      <c r="Y22" s="6">
        <f t="shared" si="2"/>
        <v>17086143.83</v>
      </c>
      <c r="Z22" s="6">
        <f t="shared" si="2"/>
        <v>5222855.171</v>
      </c>
      <c r="AA22" s="6">
        <f t="shared" si="2"/>
        <v>73234902.53</v>
      </c>
    </row>
    <row r="23" ht="15.75" customHeight="1">
      <c r="A23" s="22" t="s">
        <v>36</v>
      </c>
      <c r="B23" s="18">
        <f t="shared" ref="B23:AA23" si="3">B12+B16</f>
        <v>0</v>
      </c>
      <c r="C23" s="18">
        <f t="shared" si="3"/>
        <v>0</v>
      </c>
      <c r="D23" s="18">
        <f t="shared" si="3"/>
        <v>186999986.6</v>
      </c>
      <c r="E23" s="18">
        <f t="shared" si="3"/>
        <v>0</v>
      </c>
      <c r="F23" s="18">
        <f t="shared" si="3"/>
        <v>37533149.43</v>
      </c>
      <c r="G23" s="18">
        <f t="shared" si="3"/>
        <v>0</v>
      </c>
      <c r="H23" s="18">
        <f t="shared" si="3"/>
        <v>0</v>
      </c>
      <c r="I23" s="18">
        <f t="shared" si="3"/>
        <v>0</v>
      </c>
      <c r="J23" s="18">
        <f t="shared" si="3"/>
        <v>0</v>
      </c>
      <c r="K23" s="18">
        <f t="shared" si="3"/>
        <v>0</v>
      </c>
      <c r="L23" s="18">
        <f t="shared" si="3"/>
        <v>55166885.04</v>
      </c>
      <c r="M23" s="18">
        <f t="shared" si="3"/>
        <v>0</v>
      </c>
      <c r="N23" s="18">
        <f t="shared" si="3"/>
        <v>0</v>
      </c>
      <c r="O23" s="18">
        <f t="shared" si="3"/>
        <v>40286552650</v>
      </c>
      <c r="P23" s="18">
        <f t="shared" si="3"/>
        <v>0</v>
      </c>
      <c r="Q23" s="18">
        <f t="shared" si="3"/>
        <v>99412297990</v>
      </c>
      <c r="R23" s="18">
        <f t="shared" si="3"/>
        <v>0</v>
      </c>
      <c r="S23" s="18">
        <f t="shared" si="3"/>
        <v>50196046585</v>
      </c>
      <c r="T23" s="18">
        <f t="shared" si="3"/>
        <v>0</v>
      </c>
      <c r="U23" s="18">
        <f t="shared" si="3"/>
        <v>0</v>
      </c>
      <c r="V23" s="18">
        <f t="shared" si="3"/>
        <v>0</v>
      </c>
      <c r="W23" s="18">
        <f t="shared" si="3"/>
        <v>0</v>
      </c>
      <c r="X23" s="18">
        <f t="shared" si="3"/>
        <v>0</v>
      </c>
      <c r="Y23" s="18">
        <f t="shared" si="3"/>
        <v>29348554296</v>
      </c>
      <c r="Z23" s="18">
        <f t="shared" si="3"/>
        <v>0</v>
      </c>
      <c r="AA23" s="18">
        <f t="shared" si="3"/>
        <v>0</v>
      </c>
    </row>
    <row r="24" ht="15.75" customHeight="1">
      <c r="A24" s="23" t="s">
        <v>37</v>
      </c>
      <c r="B24" s="10">
        <f t="shared" ref="B24:AA24" si="4">B7+(0.9*B8)+B14+(0.9*B15)+(0.9*B19)</f>
        <v>12857719.15</v>
      </c>
      <c r="C24" s="10">
        <f t="shared" si="4"/>
        <v>1122072.599</v>
      </c>
      <c r="D24" s="10">
        <f t="shared" si="4"/>
        <v>10353615.03</v>
      </c>
      <c r="E24" s="10">
        <f t="shared" si="4"/>
        <v>549433.6566</v>
      </c>
      <c r="F24" s="10">
        <f t="shared" si="4"/>
        <v>346259.4211</v>
      </c>
      <c r="G24" s="10">
        <f t="shared" si="4"/>
        <v>2947972.903</v>
      </c>
      <c r="H24" s="10">
        <f t="shared" si="4"/>
        <v>45211857.6</v>
      </c>
      <c r="I24" s="10">
        <f t="shared" si="4"/>
        <v>21377.17635</v>
      </c>
      <c r="J24" s="10">
        <f t="shared" si="4"/>
        <v>29352273.51</v>
      </c>
      <c r="K24" s="10">
        <f t="shared" si="4"/>
        <v>15492460.48</v>
      </c>
      <c r="L24" s="10">
        <f t="shared" si="4"/>
        <v>397136.4313</v>
      </c>
      <c r="M24" s="10">
        <f t="shared" si="4"/>
        <v>23743.63973</v>
      </c>
      <c r="N24" s="10">
        <f t="shared" si="4"/>
        <v>4781626.569</v>
      </c>
      <c r="O24" s="10">
        <f t="shared" si="4"/>
        <v>7464263239</v>
      </c>
      <c r="P24" s="10">
        <f t="shared" si="4"/>
        <v>584052606.8</v>
      </c>
      <c r="Q24" s="10">
        <f t="shared" si="4"/>
        <v>6693534413</v>
      </c>
      <c r="R24" s="10">
        <f t="shared" si="4"/>
        <v>606027648.6</v>
      </c>
      <c r="S24" s="10">
        <f t="shared" si="4"/>
        <v>59841022.15</v>
      </c>
      <c r="T24" s="10">
        <f t="shared" si="4"/>
        <v>3351808270</v>
      </c>
      <c r="U24" s="10">
        <f t="shared" si="4"/>
        <v>17429419379</v>
      </c>
      <c r="V24" s="10">
        <f t="shared" si="4"/>
        <v>573802620.9</v>
      </c>
      <c r="W24" s="10">
        <f t="shared" si="4"/>
        <v>46089993004</v>
      </c>
      <c r="X24" s="10">
        <f t="shared" si="4"/>
        <v>3456976513</v>
      </c>
      <c r="Y24" s="10">
        <f t="shared" si="4"/>
        <v>144207426.4</v>
      </c>
      <c r="Z24" s="10">
        <f t="shared" si="4"/>
        <v>28130827.85</v>
      </c>
      <c r="AA24" s="10">
        <f t="shared" si="4"/>
        <v>264728044.4</v>
      </c>
    </row>
    <row r="25" ht="15.75" customHeight="1">
      <c r="A25" s="24" t="s">
        <v>38</v>
      </c>
      <c r="B25" s="12">
        <f t="shared" ref="B25:AA25" si="5">B9</f>
        <v>1518.45</v>
      </c>
      <c r="C25" s="12">
        <f t="shared" si="5"/>
        <v>799.4315</v>
      </c>
      <c r="D25" s="12">
        <f t="shared" si="5"/>
        <v>250.2138528</v>
      </c>
      <c r="E25" s="12">
        <f t="shared" si="5"/>
        <v>136.2907751</v>
      </c>
      <c r="F25" s="12">
        <f t="shared" si="5"/>
        <v>3167.34689</v>
      </c>
      <c r="G25" s="12">
        <f t="shared" si="5"/>
        <v>4998.24538</v>
      </c>
      <c r="H25" s="12">
        <f t="shared" si="5"/>
        <v>4533.560539</v>
      </c>
      <c r="I25" s="12">
        <f t="shared" si="5"/>
        <v>50.2793</v>
      </c>
      <c r="J25" s="12">
        <f t="shared" si="5"/>
        <v>0</v>
      </c>
      <c r="K25" s="12">
        <f t="shared" si="5"/>
        <v>0</v>
      </c>
      <c r="L25" s="12">
        <f t="shared" si="5"/>
        <v>3646.180156</v>
      </c>
      <c r="M25" s="12">
        <f t="shared" si="5"/>
        <v>0</v>
      </c>
      <c r="N25" s="12">
        <f t="shared" si="5"/>
        <v>0</v>
      </c>
      <c r="O25" s="12">
        <f t="shared" si="5"/>
        <v>865732.0583</v>
      </c>
      <c r="P25" s="12">
        <f t="shared" si="5"/>
        <v>114230.7971</v>
      </c>
      <c r="Q25" s="12">
        <f t="shared" si="5"/>
        <v>102773.6614</v>
      </c>
      <c r="R25" s="12">
        <f t="shared" si="5"/>
        <v>20401.07049</v>
      </c>
      <c r="S25" s="12">
        <f t="shared" si="5"/>
        <v>1367994.182</v>
      </c>
      <c r="T25" s="12">
        <f t="shared" si="5"/>
        <v>2449207.565</v>
      </c>
      <c r="U25" s="12">
        <f t="shared" si="5"/>
        <v>3311102.156</v>
      </c>
      <c r="V25" s="12">
        <f t="shared" si="5"/>
        <v>28403.19913</v>
      </c>
      <c r="W25" s="12">
        <f t="shared" si="5"/>
        <v>0</v>
      </c>
      <c r="X25" s="12">
        <f t="shared" si="5"/>
        <v>0</v>
      </c>
      <c r="Y25" s="12">
        <f t="shared" si="5"/>
        <v>550899.2632</v>
      </c>
      <c r="Z25" s="12">
        <f t="shared" si="5"/>
        <v>0</v>
      </c>
      <c r="AA25" s="12">
        <f t="shared" si="5"/>
        <v>0</v>
      </c>
    </row>
    <row r="26" ht="15.75" customHeight="1">
      <c r="A26" s="25" t="s">
        <v>39</v>
      </c>
      <c r="B26" s="14">
        <f t="shared" ref="B26:AA26" si="6">B10</f>
        <v>166499450</v>
      </c>
      <c r="C26" s="14">
        <f t="shared" si="6"/>
        <v>94599140</v>
      </c>
      <c r="D26" s="14">
        <f t="shared" si="6"/>
        <v>38704603.43</v>
      </c>
      <c r="E26" s="14">
        <f t="shared" si="6"/>
        <v>14565045.1</v>
      </c>
      <c r="F26" s="14">
        <f t="shared" si="6"/>
        <v>171846129</v>
      </c>
      <c r="G26" s="14">
        <f t="shared" si="6"/>
        <v>440514530</v>
      </c>
      <c r="H26" s="14">
        <f t="shared" si="6"/>
        <v>542765469.9</v>
      </c>
      <c r="I26" s="14">
        <f t="shared" si="6"/>
        <v>3816640</v>
      </c>
      <c r="J26" s="14">
        <f t="shared" si="6"/>
        <v>0</v>
      </c>
      <c r="K26" s="14">
        <f t="shared" si="6"/>
        <v>0</v>
      </c>
      <c r="L26" s="14">
        <f t="shared" si="6"/>
        <v>186689683.1</v>
      </c>
      <c r="M26" s="14">
        <f t="shared" si="6"/>
        <v>0</v>
      </c>
      <c r="N26" s="14">
        <f t="shared" si="6"/>
        <v>0</v>
      </c>
      <c r="O26" s="14">
        <f t="shared" si="6"/>
        <v>82084660975</v>
      </c>
      <c r="P26" s="14">
        <f t="shared" si="6"/>
        <v>11813384527</v>
      </c>
      <c r="Q26" s="14">
        <f t="shared" si="6"/>
        <v>13304527000</v>
      </c>
      <c r="R26" s="14">
        <f t="shared" si="6"/>
        <v>2470324411</v>
      </c>
      <c r="S26" s="14">
        <f t="shared" si="6"/>
        <v>139928674974</v>
      </c>
      <c r="T26" s="14">
        <f t="shared" si="6"/>
        <v>159011775624</v>
      </c>
      <c r="U26" s="14">
        <f t="shared" si="6"/>
        <v>472704432465</v>
      </c>
      <c r="V26" s="14">
        <f t="shared" si="6"/>
        <v>1569560802</v>
      </c>
      <c r="W26" s="14">
        <f t="shared" si="6"/>
        <v>0</v>
      </c>
      <c r="X26" s="14">
        <f t="shared" si="6"/>
        <v>0</v>
      </c>
      <c r="Y26" s="14">
        <f t="shared" si="6"/>
        <v>47237013710</v>
      </c>
      <c r="Z26" s="14">
        <f t="shared" si="6"/>
        <v>0</v>
      </c>
      <c r="AA26" s="14">
        <f t="shared" si="6"/>
        <v>0</v>
      </c>
    </row>
    <row r="27" ht="15.75" customHeight="1">
      <c r="A27" s="26" t="s">
        <v>40</v>
      </c>
      <c r="B27" s="16">
        <f t="shared" ref="B27:AA27" si="7">B11</f>
        <v>3149623.7</v>
      </c>
      <c r="C27" s="16">
        <f t="shared" si="7"/>
        <v>1817328</v>
      </c>
      <c r="D27" s="16">
        <f t="shared" si="7"/>
        <v>731244.4113</v>
      </c>
      <c r="E27" s="16">
        <f t="shared" si="7"/>
        <v>270138.081</v>
      </c>
      <c r="F27" s="16">
        <f t="shared" si="7"/>
        <v>4711338.6</v>
      </c>
      <c r="G27" s="16">
        <f t="shared" si="7"/>
        <v>8969032.66</v>
      </c>
      <c r="H27" s="16">
        <f t="shared" si="7"/>
        <v>10619703.1</v>
      </c>
      <c r="I27" s="16">
        <f t="shared" si="7"/>
        <v>71085</v>
      </c>
      <c r="J27" s="16">
        <f t="shared" si="7"/>
        <v>0</v>
      </c>
      <c r="K27" s="16">
        <f t="shared" si="7"/>
        <v>0</v>
      </c>
      <c r="L27" s="16">
        <f t="shared" si="7"/>
        <v>5460503.613</v>
      </c>
      <c r="M27" s="16">
        <f t="shared" si="7"/>
        <v>0</v>
      </c>
      <c r="N27" s="16">
        <f t="shared" si="7"/>
        <v>0</v>
      </c>
      <c r="O27" s="16">
        <f t="shared" si="7"/>
        <v>852195144.9</v>
      </c>
      <c r="P27" s="16">
        <f t="shared" si="7"/>
        <v>284886296</v>
      </c>
      <c r="Q27" s="16">
        <f t="shared" si="7"/>
        <v>135003786.3</v>
      </c>
      <c r="R27" s="16">
        <f t="shared" si="7"/>
        <v>44160606.2</v>
      </c>
      <c r="S27" s="16">
        <f t="shared" si="7"/>
        <v>2438466221</v>
      </c>
      <c r="T27" s="16">
        <f t="shared" si="7"/>
        <v>5582609650</v>
      </c>
      <c r="U27" s="16">
        <f t="shared" si="7"/>
        <v>39652149012</v>
      </c>
      <c r="V27" s="16">
        <f t="shared" si="7"/>
        <v>25061039.68</v>
      </c>
      <c r="W27" s="16">
        <f t="shared" si="7"/>
        <v>0</v>
      </c>
      <c r="X27" s="16">
        <f t="shared" si="7"/>
        <v>0</v>
      </c>
      <c r="Y27" s="16">
        <f t="shared" si="7"/>
        <v>1105435330</v>
      </c>
      <c r="Z27" s="16">
        <f t="shared" si="7"/>
        <v>0</v>
      </c>
      <c r="AA27" s="16">
        <f t="shared" si="7"/>
        <v>0</v>
      </c>
    </row>
    <row r="28" ht="15.75" customHeight="1"/>
    <row r="29" ht="15.75" customHeight="1">
      <c r="A29" s="27" t="s">
        <v>41</v>
      </c>
      <c r="C29" s="28" t="s">
        <v>42</v>
      </c>
      <c r="D29" s="28" t="s">
        <v>43</v>
      </c>
    </row>
    <row r="30" ht="15.75" customHeight="1">
      <c r="A30" s="27" t="s">
        <v>44</v>
      </c>
      <c r="C30" s="29" t="s">
        <v>45</v>
      </c>
      <c r="D30" s="30">
        <v>1.0</v>
      </c>
    </row>
    <row r="31" ht="15.75" customHeight="1">
      <c r="A31" s="27" t="s">
        <v>46</v>
      </c>
      <c r="C31" s="29" t="s">
        <v>47</v>
      </c>
      <c r="D31" s="30">
        <v>27.0</v>
      </c>
    </row>
    <row r="32" ht="15.75" customHeight="1">
      <c r="C32" s="29" t="s">
        <v>48</v>
      </c>
      <c r="D32" s="30">
        <v>29.8</v>
      </c>
    </row>
    <row r="33" ht="15.75" customHeight="1">
      <c r="C33" s="29" t="s">
        <v>49</v>
      </c>
      <c r="D33" s="30">
        <v>273.0</v>
      </c>
    </row>
    <row r="34" ht="15.75" customHeight="1">
      <c r="C34" s="27" t="s">
        <v>38</v>
      </c>
      <c r="D34" s="27">
        <v>24300.0</v>
      </c>
    </row>
    <row r="35" ht="15.75" customHeight="1">
      <c r="C35" s="27" t="s">
        <v>39</v>
      </c>
      <c r="D35" s="27">
        <v>1500.0</v>
      </c>
    </row>
    <row r="36" ht="15.75" customHeight="1">
      <c r="C36" s="27" t="s">
        <v>40</v>
      </c>
      <c r="D36" s="27">
        <v>10000.0</v>
      </c>
    </row>
    <row r="37">
      <c r="A37" s="1" t="s">
        <v>0</v>
      </c>
      <c r="B37" s="2" t="s">
        <v>1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4"/>
      <c r="O37" s="2" t="s">
        <v>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4"/>
    </row>
    <row r="38">
      <c r="A38" s="1" t="s">
        <v>3</v>
      </c>
      <c r="B38" s="1" t="s">
        <v>4</v>
      </c>
      <c r="C38" s="1" t="s">
        <v>5</v>
      </c>
      <c r="D38" s="1" t="s">
        <v>6</v>
      </c>
      <c r="E38" s="1" t="s">
        <v>7</v>
      </c>
      <c r="F38" s="1" t="s">
        <v>8</v>
      </c>
      <c r="G38" s="1" t="s">
        <v>9</v>
      </c>
      <c r="H38" s="1" t="s">
        <v>10</v>
      </c>
      <c r="I38" s="1" t="s">
        <v>11</v>
      </c>
      <c r="J38" s="1" t="s">
        <v>12</v>
      </c>
      <c r="K38" s="1" t="s">
        <v>13</v>
      </c>
      <c r="L38" s="1" t="s">
        <v>14</v>
      </c>
      <c r="M38" s="1" t="s">
        <v>15</v>
      </c>
      <c r="N38" s="1" t="s">
        <v>16</v>
      </c>
      <c r="O38" s="1" t="s">
        <v>4</v>
      </c>
      <c r="P38" s="1" t="s">
        <v>5</v>
      </c>
      <c r="Q38" s="1" t="s">
        <v>6</v>
      </c>
      <c r="R38" s="1" t="s">
        <v>7</v>
      </c>
      <c r="S38" s="1" t="s">
        <v>8</v>
      </c>
      <c r="T38" s="1" t="s">
        <v>9</v>
      </c>
      <c r="U38" s="1" t="s">
        <v>10</v>
      </c>
      <c r="V38" s="1" t="s">
        <v>11</v>
      </c>
      <c r="W38" s="1" t="s">
        <v>12</v>
      </c>
      <c r="X38" s="1" t="s">
        <v>13</v>
      </c>
      <c r="Y38" s="1" t="s">
        <v>14</v>
      </c>
      <c r="Z38" s="1" t="s">
        <v>15</v>
      </c>
      <c r="AA38" s="1" t="s">
        <v>16</v>
      </c>
    </row>
    <row r="39" ht="15.75" customHeight="1">
      <c r="A39" s="19" t="s">
        <v>34</v>
      </c>
      <c r="B39" s="31">
        <f t="shared" ref="B39:AA39" si="8">B21</f>
        <v>1599395405</v>
      </c>
      <c r="C39" s="31">
        <f t="shared" si="8"/>
        <v>907304101.5</v>
      </c>
      <c r="D39" s="31">
        <f t="shared" si="8"/>
        <v>1422018201</v>
      </c>
      <c r="E39" s="31">
        <f t="shared" si="8"/>
        <v>450112021.4</v>
      </c>
      <c r="F39" s="31">
        <f t="shared" si="8"/>
        <v>197548982.3</v>
      </c>
      <c r="G39" s="31">
        <f t="shared" si="8"/>
        <v>1348811516</v>
      </c>
      <c r="H39" s="31">
        <f t="shared" si="8"/>
        <v>26932981667</v>
      </c>
      <c r="I39" s="31">
        <f t="shared" si="8"/>
        <v>25411299.96</v>
      </c>
      <c r="J39" s="31">
        <f t="shared" si="8"/>
        <v>24996084252</v>
      </c>
      <c r="K39" s="31">
        <f t="shared" si="8"/>
        <v>5812384122</v>
      </c>
      <c r="L39" s="31">
        <f t="shared" si="8"/>
        <v>304510569.6</v>
      </c>
      <c r="M39" s="31">
        <f t="shared" si="8"/>
        <v>6207549.366</v>
      </c>
      <c r="N39" s="31">
        <f t="shared" si="8"/>
        <v>1269548174</v>
      </c>
      <c r="O39" s="31">
        <f t="shared" si="8"/>
        <v>670602115573</v>
      </c>
      <c r="P39" s="31">
        <f t="shared" si="8"/>
        <v>461218872823</v>
      </c>
      <c r="Q39" s="31">
        <f t="shared" si="8"/>
        <v>355284242093</v>
      </c>
      <c r="R39" s="31">
        <f t="shared" si="8"/>
        <v>540857723573</v>
      </c>
      <c r="S39" s="31">
        <f t="shared" si="8"/>
        <v>48940750472</v>
      </c>
      <c r="T39" s="31">
        <f t="shared" si="8"/>
        <v>1268162071905</v>
      </c>
      <c r="U39" s="31">
        <f t="shared" si="8"/>
        <v>10717220105632</v>
      </c>
      <c r="V39" s="31">
        <f t="shared" si="8"/>
        <v>372430342643</v>
      </c>
      <c r="W39" s="31">
        <f t="shared" si="8"/>
        <v>16319027056517</v>
      </c>
      <c r="X39" s="31">
        <f t="shared" si="8"/>
        <v>1700308756206</v>
      </c>
      <c r="Y39" s="31">
        <f t="shared" si="8"/>
        <v>83590784658</v>
      </c>
      <c r="Z39" s="31">
        <f t="shared" si="8"/>
        <v>23772824682</v>
      </c>
      <c r="AA39" s="31">
        <f t="shared" si="8"/>
        <v>119998374518</v>
      </c>
    </row>
    <row r="40" ht="15.75" customHeight="1">
      <c r="A40" s="21" t="s">
        <v>50</v>
      </c>
      <c r="B40" s="31">
        <f t="shared" ref="B40:AA40" si="9">B22*$D32</f>
        <v>14564306.96</v>
      </c>
      <c r="C40" s="31">
        <f t="shared" si="9"/>
        <v>3263882.716</v>
      </c>
      <c r="D40" s="31">
        <f t="shared" si="9"/>
        <v>27359991</v>
      </c>
      <c r="E40" s="31">
        <f t="shared" si="9"/>
        <v>1807094.242</v>
      </c>
      <c r="F40" s="31">
        <f t="shared" si="9"/>
        <v>1338099.206</v>
      </c>
      <c r="G40" s="31">
        <f t="shared" si="9"/>
        <v>25384000.06</v>
      </c>
      <c r="H40" s="31">
        <f t="shared" si="9"/>
        <v>76396240.89</v>
      </c>
      <c r="I40" s="31">
        <f t="shared" si="9"/>
        <v>122854.7442</v>
      </c>
      <c r="J40" s="31">
        <f t="shared" si="9"/>
        <v>88038876.9</v>
      </c>
      <c r="K40" s="31">
        <f t="shared" si="9"/>
        <v>19846532.63</v>
      </c>
      <c r="L40" s="31">
        <f t="shared" si="9"/>
        <v>2583157.201</v>
      </c>
      <c r="M40" s="31">
        <f t="shared" si="9"/>
        <v>17230.29568</v>
      </c>
      <c r="N40" s="31">
        <f t="shared" si="9"/>
        <v>13002997.27</v>
      </c>
      <c r="O40" s="31">
        <f t="shared" si="9"/>
        <v>8165801132</v>
      </c>
      <c r="P40" s="31">
        <f t="shared" si="9"/>
        <v>2150416233</v>
      </c>
      <c r="Q40" s="31">
        <f t="shared" si="9"/>
        <v>4721539587</v>
      </c>
      <c r="R40" s="31">
        <f t="shared" si="9"/>
        <v>3215760928</v>
      </c>
      <c r="S40" s="31">
        <f t="shared" si="9"/>
        <v>148001382.4</v>
      </c>
      <c r="T40" s="31">
        <f t="shared" si="9"/>
        <v>3425315803</v>
      </c>
      <c r="U40" s="31">
        <f t="shared" si="9"/>
        <v>26777665281</v>
      </c>
      <c r="V40" s="31">
        <f t="shared" si="9"/>
        <v>983606513</v>
      </c>
      <c r="W40" s="31">
        <f t="shared" si="9"/>
        <v>17845257370</v>
      </c>
      <c r="X40" s="31">
        <f t="shared" si="9"/>
        <v>14396814754</v>
      </c>
      <c r="Y40" s="31">
        <f t="shared" si="9"/>
        <v>509167086.1</v>
      </c>
      <c r="Z40" s="31">
        <f t="shared" si="9"/>
        <v>155641084.1</v>
      </c>
      <c r="AA40" s="31">
        <f t="shared" si="9"/>
        <v>2182400095</v>
      </c>
    </row>
    <row r="41" ht="15.75" customHeight="1">
      <c r="A41" s="22" t="s">
        <v>51</v>
      </c>
      <c r="B41" s="31">
        <f t="shared" ref="B41:AA41" si="10">B23*$D30</f>
        <v>0</v>
      </c>
      <c r="C41" s="31">
        <f t="shared" si="10"/>
        <v>0</v>
      </c>
      <c r="D41" s="31">
        <f t="shared" si="10"/>
        <v>186999986.6</v>
      </c>
      <c r="E41" s="31">
        <f t="shared" si="10"/>
        <v>0</v>
      </c>
      <c r="F41" s="31">
        <f t="shared" si="10"/>
        <v>37533149.43</v>
      </c>
      <c r="G41" s="31">
        <f t="shared" si="10"/>
        <v>0</v>
      </c>
      <c r="H41" s="31">
        <f t="shared" si="10"/>
        <v>0</v>
      </c>
      <c r="I41" s="31">
        <f t="shared" si="10"/>
        <v>0</v>
      </c>
      <c r="J41" s="31">
        <f t="shared" si="10"/>
        <v>0</v>
      </c>
      <c r="K41" s="31">
        <f t="shared" si="10"/>
        <v>0</v>
      </c>
      <c r="L41" s="31">
        <f t="shared" si="10"/>
        <v>55166885.04</v>
      </c>
      <c r="M41" s="31">
        <f t="shared" si="10"/>
        <v>0</v>
      </c>
      <c r="N41" s="31">
        <f t="shared" si="10"/>
        <v>0</v>
      </c>
      <c r="O41" s="31">
        <f t="shared" si="10"/>
        <v>40286552650</v>
      </c>
      <c r="P41" s="31">
        <f t="shared" si="10"/>
        <v>0</v>
      </c>
      <c r="Q41" s="31">
        <f t="shared" si="10"/>
        <v>99412297990</v>
      </c>
      <c r="R41" s="31">
        <f t="shared" si="10"/>
        <v>0</v>
      </c>
      <c r="S41" s="31">
        <f t="shared" si="10"/>
        <v>50196046585</v>
      </c>
      <c r="T41" s="31">
        <f t="shared" si="10"/>
        <v>0</v>
      </c>
      <c r="U41" s="31">
        <f t="shared" si="10"/>
        <v>0</v>
      </c>
      <c r="V41" s="31">
        <f t="shared" si="10"/>
        <v>0</v>
      </c>
      <c r="W41" s="31">
        <f t="shared" si="10"/>
        <v>0</v>
      </c>
      <c r="X41" s="31">
        <f t="shared" si="10"/>
        <v>0</v>
      </c>
      <c r="Y41" s="31">
        <f t="shared" si="10"/>
        <v>29348554296</v>
      </c>
      <c r="Z41" s="31">
        <f t="shared" si="10"/>
        <v>0</v>
      </c>
      <c r="AA41" s="31">
        <f t="shared" si="10"/>
        <v>0</v>
      </c>
    </row>
    <row r="42" ht="15.75" customHeight="1">
      <c r="A42" s="23" t="s">
        <v>52</v>
      </c>
      <c r="B42" s="31">
        <f t="shared" ref="B42:AA42" si="11">B24*$D33</f>
        <v>3510157327</v>
      </c>
      <c r="C42" s="31">
        <f t="shared" si="11"/>
        <v>306325819.4</v>
      </c>
      <c r="D42" s="31">
        <f t="shared" si="11"/>
        <v>2826536903</v>
      </c>
      <c r="E42" s="31">
        <f t="shared" si="11"/>
        <v>149995388.2</v>
      </c>
      <c r="F42" s="31">
        <f t="shared" si="11"/>
        <v>94528821.95</v>
      </c>
      <c r="G42" s="31">
        <f t="shared" si="11"/>
        <v>804796602.5</v>
      </c>
      <c r="H42" s="31">
        <f t="shared" si="11"/>
        <v>12342837126</v>
      </c>
      <c r="I42" s="31">
        <f t="shared" si="11"/>
        <v>5835969.144</v>
      </c>
      <c r="J42" s="31">
        <f t="shared" si="11"/>
        <v>8013170670</v>
      </c>
      <c r="K42" s="31">
        <f t="shared" si="11"/>
        <v>4229441711</v>
      </c>
      <c r="L42" s="31">
        <f t="shared" si="11"/>
        <v>108418245.8</v>
      </c>
      <c r="M42" s="31">
        <f t="shared" si="11"/>
        <v>6482013.647</v>
      </c>
      <c r="N42" s="31">
        <f t="shared" si="11"/>
        <v>1305384053</v>
      </c>
      <c r="O42" s="31">
        <f t="shared" si="11"/>
        <v>2037743864284</v>
      </c>
      <c r="P42" s="31">
        <f t="shared" si="11"/>
        <v>159446361659</v>
      </c>
      <c r="Q42" s="31">
        <f t="shared" si="11"/>
        <v>1827334894724</v>
      </c>
      <c r="R42" s="31">
        <f t="shared" si="11"/>
        <v>165445548063</v>
      </c>
      <c r="S42" s="31">
        <f t="shared" si="11"/>
        <v>16336599048</v>
      </c>
      <c r="T42" s="31">
        <f t="shared" si="11"/>
        <v>915043657825</v>
      </c>
      <c r="U42" s="31">
        <f t="shared" si="11"/>
        <v>4758231490538</v>
      </c>
      <c r="V42" s="31">
        <f t="shared" si="11"/>
        <v>156648115516</v>
      </c>
      <c r="W42" s="31">
        <f t="shared" si="11"/>
        <v>12582568090012</v>
      </c>
      <c r="X42" s="31">
        <f t="shared" si="11"/>
        <v>943754588082</v>
      </c>
      <c r="Y42" s="31">
        <f t="shared" si="11"/>
        <v>39368627395</v>
      </c>
      <c r="Z42" s="31">
        <f t="shared" si="11"/>
        <v>7679716003</v>
      </c>
      <c r="AA42" s="31">
        <f t="shared" si="11"/>
        <v>72270756134</v>
      </c>
    </row>
    <row r="43" ht="15.75" customHeight="1">
      <c r="A43" s="24" t="s">
        <v>53</v>
      </c>
      <c r="B43" s="31">
        <f t="shared" ref="B43:AA43" si="12">B25*$D34</f>
        <v>36898335</v>
      </c>
      <c r="C43" s="31">
        <f t="shared" si="12"/>
        <v>19426185.45</v>
      </c>
      <c r="D43" s="31">
        <f t="shared" si="12"/>
        <v>6080196.623</v>
      </c>
      <c r="E43" s="31">
        <f t="shared" si="12"/>
        <v>3311865.835</v>
      </c>
      <c r="F43" s="31">
        <f t="shared" si="12"/>
        <v>76966529.43</v>
      </c>
      <c r="G43" s="31">
        <f t="shared" si="12"/>
        <v>121457362.7</v>
      </c>
      <c r="H43" s="31">
        <f t="shared" si="12"/>
        <v>110165521.1</v>
      </c>
      <c r="I43" s="31">
        <f t="shared" si="12"/>
        <v>1221786.99</v>
      </c>
      <c r="J43" s="31">
        <f t="shared" si="12"/>
        <v>0</v>
      </c>
      <c r="K43" s="31">
        <f t="shared" si="12"/>
        <v>0</v>
      </c>
      <c r="L43" s="31">
        <f t="shared" si="12"/>
        <v>88602177.79</v>
      </c>
      <c r="M43" s="31">
        <f t="shared" si="12"/>
        <v>0</v>
      </c>
      <c r="N43" s="31">
        <f t="shared" si="12"/>
        <v>0</v>
      </c>
      <c r="O43" s="31">
        <f t="shared" si="12"/>
        <v>21037289018</v>
      </c>
      <c r="P43" s="31">
        <f t="shared" si="12"/>
        <v>2775808370</v>
      </c>
      <c r="Q43" s="31">
        <f t="shared" si="12"/>
        <v>2497399972</v>
      </c>
      <c r="R43" s="31">
        <f t="shared" si="12"/>
        <v>495746012.9</v>
      </c>
      <c r="S43" s="31">
        <f t="shared" si="12"/>
        <v>33242258613</v>
      </c>
      <c r="T43" s="31">
        <f t="shared" si="12"/>
        <v>59515743825</v>
      </c>
      <c r="U43" s="31">
        <f t="shared" si="12"/>
        <v>80459782391</v>
      </c>
      <c r="V43" s="31">
        <f t="shared" si="12"/>
        <v>690197738.8</v>
      </c>
      <c r="W43" s="31">
        <f t="shared" si="12"/>
        <v>0</v>
      </c>
      <c r="X43" s="31">
        <f t="shared" si="12"/>
        <v>0</v>
      </c>
      <c r="Y43" s="31">
        <f t="shared" si="12"/>
        <v>13386852096</v>
      </c>
      <c r="Z43" s="31">
        <f t="shared" si="12"/>
        <v>0</v>
      </c>
      <c r="AA43" s="31">
        <f t="shared" si="12"/>
        <v>0</v>
      </c>
    </row>
    <row r="44" ht="15.75" customHeight="1">
      <c r="A44" s="25" t="s">
        <v>54</v>
      </c>
      <c r="B44" s="31">
        <f t="shared" ref="B44:AA44" si="13">B26*$D35</f>
        <v>249749175000</v>
      </c>
      <c r="C44" s="31">
        <f t="shared" si="13"/>
        <v>141898710000</v>
      </c>
      <c r="D44" s="31">
        <f t="shared" si="13"/>
        <v>58056905145</v>
      </c>
      <c r="E44" s="31">
        <f t="shared" si="13"/>
        <v>21847567650</v>
      </c>
      <c r="F44" s="31">
        <f t="shared" si="13"/>
        <v>257769193500</v>
      </c>
      <c r="G44" s="31">
        <f t="shared" si="13"/>
        <v>660771795000</v>
      </c>
      <c r="H44" s="31">
        <f t="shared" si="13"/>
        <v>814148204850</v>
      </c>
      <c r="I44" s="31">
        <f t="shared" si="13"/>
        <v>5724960000</v>
      </c>
      <c r="J44" s="31">
        <f t="shared" si="13"/>
        <v>0</v>
      </c>
      <c r="K44" s="31">
        <f t="shared" si="13"/>
        <v>0</v>
      </c>
      <c r="L44" s="31">
        <f t="shared" si="13"/>
        <v>280034524575</v>
      </c>
      <c r="M44" s="31">
        <f t="shared" si="13"/>
        <v>0</v>
      </c>
      <c r="N44" s="31">
        <f t="shared" si="13"/>
        <v>0</v>
      </c>
      <c r="O44" s="31">
        <f t="shared" si="13"/>
        <v>123126991462866</v>
      </c>
      <c r="P44" s="31">
        <f t="shared" si="13"/>
        <v>17720076790457</v>
      </c>
      <c r="Q44" s="31">
        <f t="shared" si="13"/>
        <v>19956790499566</v>
      </c>
      <c r="R44" s="31">
        <f t="shared" si="13"/>
        <v>3705486616544</v>
      </c>
      <c r="S44" s="31">
        <f t="shared" si="13"/>
        <v>209893012461635</v>
      </c>
      <c r="T44" s="31">
        <f t="shared" si="13"/>
        <v>238517663435355</v>
      </c>
      <c r="U44" s="31">
        <f t="shared" si="13"/>
        <v>709056648697461</v>
      </c>
      <c r="V44" s="31">
        <f t="shared" si="13"/>
        <v>2354341202264</v>
      </c>
      <c r="W44" s="31">
        <f t="shared" si="13"/>
        <v>0</v>
      </c>
      <c r="X44" s="31">
        <f t="shared" si="13"/>
        <v>0</v>
      </c>
      <c r="Y44" s="31">
        <f t="shared" si="13"/>
        <v>70855520565328</v>
      </c>
      <c r="Z44" s="31">
        <f t="shared" si="13"/>
        <v>0</v>
      </c>
      <c r="AA44" s="31">
        <f t="shared" si="13"/>
        <v>0</v>
      </c>
    </row>
    <row r="45" ht="15.75" customHeight="1">
      <c r="A45" s="26" t="s">
        <v>55</v>
      </c>
      <c r="B45" s="31">
        <f t="shared" ref="B45:AA45" si="14">B27*$D36</f>
        <v>31496237000</v>
      </c>
      <c r="C45" s="31">
        <f t="shared" si="14"/>
        <v>18173280000</v>
      </c>
      <c r="D45" s="31">
        <f t="shared" si="14"/>
        <v>7312444113</v>
      </c>
      <c r="E45" s="31">
        <f t="shared" si="14"/>
        <v>2701380810</v>
      </c>
      <c r="F45" s="31">
        <f t="shared" si="14"/>
        <v>47113386000</v>
      </c>
      <c r="G45" s="31">
        <f t="shared" si="14"/>
        <v>89690326600</v>
      </c>
      <c r="H45" s="31">
        <f t="shared" si="14"/>
        <v>106197030970</v>
      </c>
      <c r="I45" s="31">
        <f t="shared" si="14"/>
        <v>710850000</v>
      </c>
      <c r="J45" s="31">
        <f t="shared" si="14"/>
        <v>0</v>
      </c>
      <c r="K45" s="31">
        <f t="shared" si="14"/>
        <v>0</v>
      </c>
      <c r="L45" s="31">
        <f t="shared" si="14"/>
        <v>54605036130</v>
      </c>
      <c r="M45" s="31">
        <f t="shared" si="14"/>
        <v>0</v>
      </c>
      <c r="N45" s="31">
        <f t="shared" si="14"/>
        <v>0</v>
      </c>
      <c r="O45" s="31">
        <f t="shared" si="14"/>
        <v>8521951448897</v>
      </c>
      <c r="P45" s="31">
        <f t="shared" si="14"/>
        <v>2848862959666</v>
      </c>
      <c r="Q45" s="31">
        <f t="shared" si="14"/>
        <v>1350037862794</v>
      </c>
      <c r="R45" s="31">
        <f t="shared" si="14"/>
        <v>441606062047</v>
      </c>
      <c r="S45" s="31">
        <f t="shared" si="14"/>
        <v>24384662209867</v>
      </c>
      <c r="T45" s="31">
        <f t="shared" si="14"/>
        <v>55826096502116</v>
      </c>
      <c r="U45" s="31">
        <f t="shared" si="14"/>
        <v>396521490121971</v>
      </c>
      <c r="V45" s="31">
        <f t="shared" si="14"/>
        <v>250610396844</v>
      </c>
      <c r="W45" s="31">
        <f t="shared" si="14"/>
        <v>0</v>
      </c>
      <c r="X45" s="31">
        <f t="shared" si="14"/>
        <v>0</v>
      </c>
      <c r="Y45" s="31">
        <f t="shared" si="14"/>
        <v>11054353300945</v>
      </c>
      <c r="Z45" s="31">
        <f t="shared" si="14"/>
        <v>0</v>
      </c>
      <c r="AA45" s="31">
        <f t="shared" si="14"/>
        <v>0</v>
      </c>
    </row>
    <row r="46" ht="15.75" customHeight="1">
      <c r="A46" s="27" t="s">
        <v>56</v>
      </c>
      <c r="B46" s="31">
        <f t="shared" ref="B46:AA46" si="15">SUM(B39:B45)</f>
        <v>286406427374</v>
      </c>
      <c r="C46" s="31">
        <f t="shared" si="15"/>
        <v>161308309989</v>
      </c>
      <c r="D46" s="31">
        <f t="shared" si="15"/>
        <v>69838344536</v>
      </c>
      <c r="E46" s="31">
        <f t="shared" si="15"/>
        <v>25154174830</v>
      </c>
      <c r="F46" s="31">
        <f t="shared" si="15"/>
        <v>305290495082</v>
      </c>
      <c r="G46" s="31">
        <f t="shared" si="15"/>
        <v>752762571081</v>
      </c>
      <c r="H46" s="31">
        <f t="shared" si="15"/>
        <v>959807616375</v>
      </c>
      <c r="I46" s="31">
        <f t="shared" si="15"/>
        <v>6468401911</v>
      </c>
      <c r="J46" s="31">
        <f t="shared" si="15"/>
        <v>33097293798</v>
      </c>
      <c r="K46" s="31">
        <f t="shared" si="15"/>
        <v>10061672365</v>
      </c>
      <c r="L46" s="31">
        <f t="shared" si="15"/>
        <v>335198841740</v>
      </c>
      <c r="M46" s="31">
        <f t="shared" si="15"/>
        <v>12706793.31</v>
      </c>
      <c r="N46" s="31">
        <f t="shared" si="15"/>
        <v>2587935225</v>
      </c>
      <c r="O46" s="31">
        <f t="shared" si="15"/>
        <v>134426778534420</v>
      </c>
      <c r="P46" s="31">
        <f t="shared" si="15"/>
        <v>21194531209208</v>
      </c>
      <c r="Q46" s="31">
        <f t="shared" si="15"/>
        <v>23596078736725</v>
      </c>
      <c r="R46" s="31">
        <f t="shared" si="15"/>
        <v>4857107457167</v>
      </c>
      <c r="S46" s="31">
        <f t="shared" si="15"/>
        <v>234426538327603</v>
      </c>
      <c r="T46" s="31">
        <f t="shared" si="15"/>
        <v>296589906726830</v>
      </c>
      <c r="U46" s="31">
        <f t="shared" si="15"/>
        <v>1.12116E+15</v>
      </c>
      <c r="V46" s="31">
        <f t="shared" si="15"/>
        <v>3135703861519</v>
      </c>
      <c r="W46" s="31">
        <f t="shared" si="15"/>
        <v>28919440403898</v>
      </c>
      <c r="X46" s="31">
        <f t="shared" si="15"/>
        <v>2658460159042</v>
      </c>
      <c r="Y46" s="31">
        <f t="shared" si="15"/>
        <v>82076077851804</v>
      </c>
      <c r="Z46" s="31">
        <f t="shared" si="15"/>
        <v>31608181770</v>
      </c>
      <c r="AA46" s="31">
        <f t="shared" si="15"/>
        <v>194451530747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</sheetData>
  <mergeCells count="4">
    <mergeCell ref="B1:N1"/>
    <mergeCell ref="O1:AA1"/>
    <mergeCell ref="B37:N37"/>
    <mergeCell ref="O37:AA3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2025-05-29T19:38:39Z</dcterms:created>
  <dc:creator>openpyxl</dc:creator>
</cp:coreProperties>
</file>