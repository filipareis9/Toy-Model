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vS5rYwNocyw8q7DBu0Z6ufOSQ9pv5+b7wXEXvS9Ino="/>
    </ext>
  </extLst>
</workbook>
</file>

<file path=xl/sharedStrings.xml><?xml version="1.0" encoding="utf-8"?>
<sst xmlns="http://schemas.openxmlformats.org/spreadsheetml/2006/main" count="110" uniqueCount="61">
  <si>
    <t>SuperRegion</t>
  </si>
  <si>
    <t>AT</t>
  </si>
  <si>
    <t>World_but_AT</t>
  </si>
  <si>
    <t>Aggregated_Sector</t>
  </si>
  <si>
    <t>Plant cultivation</t>
  </si>
  <si>
    <t>Plant processing</t>
  </si>
  <si>
    <t>Animal cultivation</t>
  </si>
  <si>
    <t>Animal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</si>
  <si>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</si>
  <si>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</si>
  <si>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</si>
  <si>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</si>
  <si>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</si>
  <si>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</si>
  <si>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</si>
  <si>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</si>
  <si>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</si>
  <si>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stressor</t>
  </si>
  <si>
    <t>CH4 - combustion - air</t>
  </si>
  <si>
    <t>CO2 - combustion - air</t>
  </si>
  <si>
    <t>CO2_bio - combustion - air</t>
  </si>
  <si>
    <t>N2O - combustion - air</t>
  </si>
  <si>
    <t>SF6 - air</t>
  </si>
  <si>
    <t>HFC - air</t>
  </si>
  <si>
    <t>PFC - air</t>
  </si>
  <si>
    <t>CH4 - agriculture - air</t>
  </si>
  <si>
    <t>CO2 - agriculture - peat decay - air</t>
  </si>
  <si>
    <t>N2O - agriculture - air</t>
  </si>
  <si>
    <t>CH4 - waste - air</t>
  </si>
  <si>
    <t>CO2 - waste - biogenic - air</t>
  </si>
  <si>
    <t>CO2 - waste - fossil - air</t>
  </si>
  <si>
    <t xml:space="preserve">total gigatons co2 </t>
  </si>
  <si>
    <t>Austria</t>
  </si>
  <si>
    <t>World</t>
  </si>
  <si>
    <t>CO2</t>
  </si>
  <si>
    <t>CH4 Fossil</t>
  </si>
  <si>
    <t>CH4 non-fossil</t>
  </si>
  <si>
    <t>NO2</t>
  </si>
  <si>
    <t>SF6</t>
  </si>
  <si>
    <t>HFC</t>
  </si>
  <si>
    <t>PFC</t>
  </si>
  <si>
    <t>total gigatons other ghg</t>
  </si>
  <si>
    <t>Major Greenhouse Gases</t>
  </si>
  <si>
    <t>GWP-100 (IPCC AR6)</t>
  </si>
  <si>
    <t>Note: HFC GWP assumed to be 1500 based on typical sectoral mix of refrigerants (primarily HFC-134a, HFC-125)</t>
  </si>
  <si>
    <t>Carbon dioxide (CO2)</t>
  </si>
  <si>
    <t>Note: A default GWP of 10000 was assumed for PFCs due to lack of compound-specific data.</t>
  </si>
  <si>
    <t>Methane – non-fossil (CH4)</t>
  </si>
  <si>
    <t>Note: All units are kg unless otherwise specificed</t>
  </si>
  <si>
    <t>Methane – fossil (CH4)</t>
  </si>
  <si>
    <t>Note: We assume HFCs and PFCs are already in CO2 eq in exiobase</t>
  </si>
  <si>
    <t>Nitrous oxide (N2O)</t>
  </si>
  <si>
    <t>Note: we excluded NOx</t>
  </si>
  <si>
    <t>CH4 Fossil (CO2 eq)</t>
  </si>
  <si>
    <t>CH4 non-fossil (CO2 eq)</t>
  </si>
  <si>
    <t>NO2 (CO2 eq)</t>
  </si>
  <si>
    <t>SF6 (CO2 eq)</t>
  </si>
  <si>
    <t>HFC (CO2 eq)</t>
  </si>
  <si>
    <t>PFC (CO2 eq)</t>
  </si>
  <si>
    <t>Total (CO2 eq)</t>
  </si>
  <si>
    <t>Total CO2 eq (gigatons)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</si>
</sst>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/>
    <font>
      <color theme="1"/>
      <name val="Calibri"/>
      <scheme val="minor"/>
    </font>
    <font>
      <b/>
      <color theme="1"/>
      <name val="Arial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A2C4C9"/>
        <bgColor rgb="FFA2C4C9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3" fillId="0" fontId="2" numFmtId="0" xfId="0" applyBorder="1" applyFont="1"/>
    <xf borderId="4" fillId="0" fontId="2" numFmtId="0" xfId="0" applyBorder="1" applyFont="1"/>
    <xf borderId="1" fillId="2" fontId="1" numFmtId="0" xfId="0" applyAlignment="1" applyBorder="1" applyFill="1" applyFont="1">
      <alignment horizontal="center" vertical="top"/>
    </xf>
    <xf borderId="0" fillId="2" fontId="3" numFmtId="0" xfId="0" applyFont="1"/>
    <xf borderId="1" fillId="3" fontId="1" numFmtId="0" xfId="0" applyAlignment="1" applyBorder="1" applyFill="1" applyFont="1">
      <alignment horizontal="center" vertical="top"/>
    </xf>
    <xf borderId="0" fillId="3" fontId="3" numFmtId="0" xfId="0" applyFont="1"/>
    <xf borderId="1" fillId="4" fontId="1" numFmtId="0" xfId="0" applyAlignment="1" applyBorder="1" applyFill="1" applyFont="1">
      <alignment horizontal="center" vertical="top"/>
    </xf>
    <xf borderId="0" fillId="4" fontId="3" numFmtId="0" xfId="0" applyFont="1"/>
    <xf borderId="1" fillId="5" fontId="1" numFmtId="0" xfId="0" applyAlignment="1" applyBorder="1" applyFill="1" applyFont="1">
      <alignment horizontal="center" vertical="top"/>
    </xf>
    <xf borderId="0" fillId="5" fontId="3" numFmtId="0" xfId="0" applyFont="1"/>
    <xf borderId="1" fillId="6" fontId="1" numFmtId="0" xfId="0" applyAlignment="1" applyBorder="1" applyFill="1" applyFont="1">
      <alignment horizontal="center" vertical="top"/>
    </xf>
    <xf borderId="0" fillId="6" fontId="3" numFmtId="0" xfId="0" applyFont="1"/>
    <xf borderId="1" fillId="7" fontId="1" numFmtId="0" xfId="0" applyAlignment="1" applyBorder="1" applyFill="1" applyFont="1">
      <alignment horizontal="center" vertical="top"/>
    </xf>
    <xf borderId="0" fillId="7" fontId="3" numFmtId="0" xfId="0" applyFont="1"/>
    <xf borderId="1" fillId="8" fontId="1" numFmtId="0" xfId="0" applyAlignment="1" applyBorder="1" applyFill="1" applyFont="1">
      <alignment horizontal="center" vertical="top"/>
    </xf>
    <xf borderId="0" fillId="8" fontId="3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9" fontId="3" numFmtId="0" xfId="0" applyAlignment="1" applyFill="1" applyFont="1">
      <alignment readingOrder="0"/>
    </xf>
    <xf borderId="0" fillId="9" fontId="3" numFmtId="0" xfId="0" applyFont="1"/>
    <xf borderId="0" fillId="2" fontId="3" numFmtId="0" xfId="0" applyAlignment="1" applyFont="1">
      <alignment readingOrder="0"/>
    </xf>
    <xf borderId="0" fillId="8" fontId="3" numFmtId="0" xfId="0" applyAlignment="1" applyFont="1">
      <alignment readingOrder="0"/>
    </xf>
    <xf borderId="0" fillId="4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6" fontId="3" numFmtId="0" xfId="0" applyAlignment="1" applyFont="1">
      <alignment readingOrder="0"/>
    </xf>
    <xf borderId="0" fillId="7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8.29"/>
    <col customWidth="1" min="2" max="2" width="11.14"/>
    <col customWidth="1" min="3" max="3" width="20.14"/>
    <col customWidth="1" min="4" max="4" width="9.14"/>
    <col customWidth="1" min="5" max="5" width="8.71"/>
    <col customWidth="1" min="6" max="6" width="12.71"/>
    <col customWidth="1" min="7" max="13" width="8.71"/>
    <col customWidth="1" min="14" max="14" width="14.86"/>
    <col customWidth="1" min="15" max="26" width="8.71"/>
    <col customWidth="1" min="27" max="27" width="15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2" t="s">
        <v>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</row>
    <row r="3">
      <c r="A3" s="1" t="s">
        <v>17</v>
      </c>
    </row>
    <row r="4">
      <c r="A4" s="5" t="s">
        <v>18</v>
      </c>
      <c r="B4" s="6">
        <v>488735.132900156</v>
      </c>
      <c r="C4" s="6">
        <v>109526.2656325573</v>
      </c>
      <c r="D4" s="6">
        <v>918120.5035007475</v>
      </c>
      <c r="E4" s="6">
        <v>60640.7463680076</v>
      </c>
      <c r="F4" s="6">
        <v>44902.657907038</v>
      </c>
      <c r="G4" s="6">
        <v>851812.0825292711</v>
      </c>
      <c r="H4" s="6">
        <v>2563632.244784423</v>
      </c>
      <c r="I4" s="6">
        <v>4122.642422697</v>
      </c>
      <c r="J4" s="6">
        <v>2954324.728326246</v>
      </c>
      <c r="K4" s="6">
        <v>665991.0277637191</v>
      </c>
      <c r="L4" s="6">
        <v>86683.12754912111</v>
      </c>
      <c r="M4" s="6">
        <v>578.19784169</v>
      </c>
      <c r="N4" s="6">
        <v>436342.190313</v>
      </c>
      <c r="O4" s="6">
        <v>2.740201722068295E8</v>
      </c>
      <c r="P4" s="6">
        <v>7.216161855333403E7</v>
      </c>
      <c r="Q4" s="6">
        <v>1.58440925726561E8</v>
      </c>
      <c r="R4" s="6">
        <v>1.079114405221509E8</v>
      </c>
      <c r="S4" s="6">
        <v>4966489.341160235</v>
      </c>
      <c r="T4" s="6">
        <v>1.14943483328316E8</v>
      </c>
      <c r="U4" s="6">
        <v>8.985793718383747E8</v>
      </c>
      <c r="V4" s="6">
        <v>3.30069299678695E7</v>
      </c>
      <c r="W4" s="6">
        <v>5.988341399269949E8</v>
      </c>
      <c r="X4" s="6">
        <v>4.831145890584651E8</v>
      </c>
      <c r="Y4" s="6">
        <v>1.708614382916822E7</v>
      </c>
      <c r="Z4" s="6">
        <v>5222855.171308282</v>
      </c>
      <c r="AA4" s="6">
        <v>7.323490252602026E7</v>
      </c>
    </row>
    <row r="5">
      <c r="A5" s="7" t="s">
        <v>19</v>
      </c>
      <c r="B5" s="8">
        <v>1.246533491656925E9</v>
      </c>
      <c r="C5" s="8">
        <v>5.52020606588508E8</v>
      </c>
      <c r="D5" s="8">
        <v>9.331546406395819E8</v>
      </c>
      <c r="E5" s="8">
        <v>2.61835653469314E8</v>
      </c>
      <c r="F5" s="8">
        <v>1.5712672510204E8</v>
      </c>
      <c r="G5" s="8">
        <v>9.094470691511447E8</v>
      </c>
      <c r="H5" s="8">
        <v>1.769977677458647E10</v>
      </c>
      <c r="I5" s="8">
        <v>1.153145074302E7</v>
      </c>
      <c r="J5" s="8">
        <v>1.894341324897789E10</v>
      </c>
      <c r="K5" s="8">
        <v>5.56918831989721E9</v>
      </c>
      <c r="L5" s="8">
        <v>2.252845538857353E8</v>
      </c>
      <c r="M5" s="8">
        <v>5763647.16264</v>
      </c>
      <c r="N5" s="8">
        <v>1.07862593709E9</v>
      </c>
      <c r="O5" s="8">
        <v>5.382194279974434E11</v>
      </c>
      <c r="P5" s="8">
        <v>2.110734876908824E11</v>
      </c>
      <c r="Q5" s="8">
        <v>2.485819796377846E11</v>
      </c>
      <c r="R5" s="8">
        <v>2.267982111507988E11</v>
      </c>
      <c r="S5" s="8">
        <v>3.326941724287702E10</v>
      </c>
      <c r="T5" s="8">
        <v>1.232543657548354E12</v>
      </c>
      <c r="U5" s="8">
        <v>9.107174165184213E12</v>
      </c>
      <c r="V5" s="8">
        <v>3.629868986919069E11</v>
      </c>
      <c r="W5" s="8">
        <v>1.606456971210224E13</v>
      </c>
      <c r="X5" s="8">
        <v>1.563826061697761E12</v>
      </c>
      <c r="Y5" s="8">
        <v>7.276657099149026E10</v>
      </c>
      <c r="Z5" s="8">
        <v>2.109165332805708E10</v>
      </c>
      <c r="AA5" s="8">
        <v>8.712846810190283E10</v>
      </c>
    </row>
    <row r="6">
      <c r="A6" s="7" t="s">
        <v>20</v>
      </c>
      <c r="B6" s="8">
        <v>2.97900526865501E8</v>
      </c>
      <c r="C6" s="8">
        <v>3.552834948790006E8</v>
      </c>
      <c r="D6" s="8">
        <v>4.228247701738626E8</v>
      </c>
      <c r="E6" s="8">
        <v>1.882763678956146E8</v>
      </c>
      <c r="F6" s="8">
        <v>4.0233006816838E7</v>
      </c>
      <c r="G6" s="8">
        <v>4.39364446506802E8</v>
      </c>
      <c r="H6" s="8">
        <v>9.233204892520044E9</v>
      </c>
      <c r="I6" s="8">
        <v>1.3879849213644E7</v>
      </c>
      <c r="J6" s="8">
        <v>6.052671002909526E9</v>
      </c>
      <c r="K6" s="8">
        <v>2.431958018055127E8</v>
      </c>
      <c r="L6" s="8">
        <v>7.922226620793974E7</v>
      </c>
      <c r="M6" s="8">
        <v>443902.202894</v>
      </c>
      <c r="N6" s="8">
        <v>1.90922237336E8</v>
      </c>
      <c r="O6" s="8">
        <v>8.221744615402489E10</v>
      </c>
      <c r="P6" s="8">
        <v>2.501453851320663E11</v>
      </c>
      <c r="Q6" s="8">
        <v>5.082925581729686E10</v>
      </c>
      <c r="R6" s="8">
        <v>3.140595124217146E11</v>
      </c>
      <c r="S6" s="8">
        <v>2.104369775615845E9</v>
      </c>
      <c r="T6" s="8">
        <v>3.561841435693073E10</v>
      </c>
      <c r="U6" s="8">
        <v>1.610045940447281E12</v>
      </c>
      <c r="V6" s="8">
        <v>9.44344395087261E9</v>
      </c>
      <c r="W6" s="8">
        <v>2.544573444146942E11</v>
      </c>
      <c r="X6" s="8">
        <v>1.364826945083432E11</v>
      </c>
      <c r="Y6" s="8">
        <v>6.10734790202726E9</v>
      </c>
      <c r="Z6" s="8">
        <v>2.681171354411667E9</v>
      </c>
      <c r="AA6" s="8">
        <v>3.286990641588186E10</v>
      </c>
    </row>
    <row r="7">
      <c r="A7" s="9" t="s">
        <v>21</v>
      </c>
      <c r="B7" s="10">
        <v>66315.15760505991</v>
      </c>
      <c r="C7" s="10">
        <v>15769.4434403508</v>
      </c>
      <c r="D7" s="10">
        <v>61609.52851011903</v>
      </c>
      <c r="E7" s="10">
        <v>8743.76033442662</v>
      </c>
      <c r="F7" s="10">
        <v>7538.078664336999</v>
      </c>
      <c r="G7" s="10">
        <v>38382.99597348581</v>
      </c>
      <c r="H7" s="10">
        <v>541248.1204982634</v>
      </c>
      <c r="I7" s="10">
        <v>548.266341774</v>
      </c>
      <c r="J7" s="10">
        <v>437071.5911859175</v>
      </c>
      <c r="K7" s="10">
        <v>160877.9360732796</v>
      </c>
      <c r="L7" s="10">
        <v>11926.85355193371</v>
      </c>
      <c r="M7" s="10">
        <v>233.02717399</v>
      </c>
      <c r="N7" s="10">
        <v>51924.1173859</v>
      </c>
      <c r="O7" s="10">
        <v>3.60789551082309E7</v>
      </c>
      <c r="P7" s="10">
        <v>1.133358325151519E7</v>
      </c>
      <c r="Q7" s="10">
        <v>1.709848739926635E7</v>
      </c>
      <c r="R7" s="10">
        <v>1.370096803586732E7</v>
      </c>
      <c r="S7" s="10">
        <v>821694.4226844342</v>
      </c>
      <c r="T7" s="10">
        <v>2.535858453870214E7</v>
      </c>
      <c r="U7" s="10">
        <v>1.936256270327616E8</v>
      </c>
      <c r="V7" s="10">
        <v>5920310.537676765</v>
      </c>
      <c r="W7" s="10">
        <v>3.905583956483278E8</v>
      </c>
      <c r="X7" s="10">
        <v>5.463992779325204E7</v>
      </c>
      <c r="Y7" s="10">
        <v>1290035.858748418</v>
      </c>
      <c r="Z7" s="10">
        <v>386528.002621251</v>
      </c>
      <c r="AA7" s="10">
        <v>5134688.678605795</v>
      </c>
    </row>
    <row r="8" ht="15.75" customHeight="1">
      <c r="A8" s="11" t="s">
        <v>22</v>
      </c>
      <c r="B8" s="12">
        <v>1518.45</v>
      </c>
      <c r="C8" s="12">
        <v>799.4315</v>
      </c>
      <c r="D8" s="12">
        <v>250.2138528</v>
      </c>
      <c r="E8" s="12">
        <v>136.2907751</v>
      </c>
      <c r="F8" s="12">
        <v>3167.34689</v>
      </c>
      <c r="G8" s="12">
        <v>4998.24538</v>
      </c>
      <c r="H8" s="12">
        <v>4533.560539</v>
      </c>
      <c r="I8" s="12">
        <v>50.27930000000001</v>
      </c>
      <c r="J8" s="12">
        <v>0.0</v>
      </c>
      <c r="K8" s="12">
        <v>0.0</v>
      </c>
      <c r="L8" s="12">
        <v>3646.180156</v>
      </c>
      <c r="M8" s="12">
        <v>0.0</v>
      </c>
      <c r="N8" s="12">
        <v>0.0</v>
      </c>
      <c r="O8" s="12">
        <v>865732.058347058</v>
      </c>
      <c r="P8" s="12">
        <v>114230.7971015599</v>
      </c>
      <c r="Q8" s="12">
        <v>102773.6613812638</v>
      </c>
      <c r="R8" s="12">
        <v>20401.07048951735</v>
      </c>
      <c r="S8" s="12">
        <v>1367994.181612143</v>
      </c>
      <c r="T8" s="12">
        <v>2449207.564818962</v>
      </c>
      <c r="U8" s="12">
        <v>3311102.155995311</v>
      </c>
      <c r="V8" s="12">
        <v>28403.19912616682</v>
      </c>
      <c r="W8" s="12">
        <v>0.0</v>
      </c>
      <c r="X8" s="12">
        <v>0.0</v>
      </c>
      <c r="Y8" s="12">
        <v>550899.263208736</v>
      </c>
      <c r="Z8" s="12">
        <v>0.0</v>
      </c>
      <c r="AA8" s="12">
        <v>0.0</v>
      </c>
    </row>
    <row r="9" ht="15.75" customHeight="1">
      <c r="A9" s="13" t="s">
        <v>23</v>
      </c>
      <c r="B9" s="14">
        <v>1.6649945E8</v>
      </c>
      <c r="C9" s="14">
        <v>9.459914E7</v>
      </c>
      <c r="D9" s="14">
        <v>3.870460343E7</v>
      </c>
      <c r="E9" s="14">
        <v>1.45650451E7</v>
      </c>
      <c r="F9" s="14">
        <v>1.71846129E8</v>
      </c>
      <c r="G9" s="14">
        <v>4.4051453E8</v>
      </c>
      <c r="H9" s="14">
        <v>5.427654699E8</v>
      </c>
      <c r="I9" s="14">
        <v>3816640.0</v>
      </c>
      <c r="J9" s="14">
        <v>0.0</v>
      </c>
      <c r="K9" s="14">
        <v>0.0</v>
      </c>
      <c r="L9" s="14">
        <v>1.8668968305E8</v>
      </c>
      <c r="M9" s="14">
        <v>0.0</v>
      </c>
      <c r="N9" s="14">
        <v>0.0</v>
      </c>
      <c r="O9" s="14">
        <v>8.208466097524382E10</v>
      </c>
      <c r="P9" s="14">
        <v>1.181338452697136E10</v>
      </c>
      <c r="Q9" s="14">
        <v>1.330452699971043E10</v>
      </c>
      <c r="R9" s="14">
        <v>2.470324411029001E9</v>
      </c>
      <c r="S9" s="14">
        <v>1.399286749744236E11</v>
      </c>
      <c r="T9" s="14">
        <v>1.590117756235698E11</v>
      </c>
      <c r="U9" s="14">
        <v>4.727044324649738E11</v>
      </c>
      <c r="V9" s="14">
        <v>1.569560801509547E9</v>
      </c>
      <c r="W9" s="14">
        <v>0.0</v>
      </c>
      <c r="X9" s="14">
        <v>0.0</v>
      </c>
      <c r="Y9" s="14">
        <v>4.723701371021853E10</v>
      </c>
      <c r="Z9" s="14">
        <v>0.0</v>
      </c>
      <c r="AA9" s="14">
        <v>0.0</v>
      </c>
    </row>
    <row r="10" ht="15.75" customHeight="1">
      <c r="A10" s="15" t="s">
        <v>24</v>
      </c>
      <c r="B10" s="16">
        <v>3149623.7</v>
      </c>
      <c r="C10" s="16">
        <v>1817328.0</v>
      </c>
      <c r="D10" s="16">
        <v>731244.4113000002</v>
      </c>
      <c r="E10" s="16">
        <v>270138.081</v>
      </c>
      <c r="F10" s="16">
        <v>4711338.6</v>
      </c>
      <c r="G10" s="16">
        <v>8969032.66</v>
      </c>
      <c r="H10" s="16">
        <v>1.0619703097E7</v>
      </c>
      <c r="I10" s="16">
        <v>71085.0</v>
      </c>
      <c r="J10" s="16">
        <v>0.0</v>
      </c>
      <c r="K10" s="16">
        <v>0.0</v>
      </c>
      <c r="L10" s="16">
        <v>5460503.613</v>
      </c>
      <c r="M10" s="16">
        <v>0.0</v>
      </c>
      <c r="N10" s="16">
        <v>0.0</v>
      </c>
      <c r="O10" s="16">
        <v>8.52195144889733E8</v>
      </c>
      <c r="P10" s="16">
        <v>2.84886295966639E8</v>
      </c>
      <c r="Q10" s="16">
        <v>1.350037862793801E8</v>
      </c>
      <c r="R10" s="16">
        <v>4.416060620471673E7</v>
      </c>
      <c r="S10" s="16">
        <v>2.438466220986711E9</v>
      </c>
      <c r="T10" s="16">
        <v>5.582609650211641E9</v>
      </c>
      <c r="U10" s="16">
        <v>3.965214901219714E10</v>
      </c>
      <c r="V10" s="16">
        <v>2.506103968437814E7</v>
      </c>
      <c r="W10" s="16">
        <v>0.0</v>
      </c>
      <c r="X10" s="16">
        <v>0.0</v>
      </c>
      <c r="Y10" s="16">
        <v>1.105435330094489E9</v>
      </c>
      <c r="Z10" s="16">
        <v>0.0</v>
      </c>
      <c r="AA10" s="16">
        <v>0.0</v>
      </c>
    </row>
    <row r="11" ht="15.75" customHeight="1">
      <c r="A11" s="17" t="s">
        <v>25</v>
      </c>
      <c r="B11" s="18">
        <v>0.0</v>
      </c>
      <c r="C11" s="18">
        <v>0.0</v>
      </c>
      <c r="D11" s="18">
        <v>1.86999986629E8</v>
      </c>
      <c r="E11" s="18">
        <v>0.0</v>
      </c>
      <c r="F11" s="18">
        <v>0.0</v>
      </c>
      <c r="G11" s="18">
        <v>0.0</v>
      </c>
      <c r="H11" s="18">
        <v>0.0</v>
      </c>
      <c r="I11" s="18">
        <v>0.0</v>
      </c>
      <c r="J11" s="18">
        <v>0.0</v>
      </c>
      <c r="K11" s="18">
        <v>0.0</v>
      </c>
      <c r="L11" s="18">
        <v>0.0</v>
      </c>
      <c r="M11" s="18">
        <v>0.0</v>
      </c>
      <c r="N11" s="18">
        <v>0.0</v>
      </c>
      <c r="O11" s="18">
        <v>4.028655265E10</v>
      </c>
      <c r="P11" s="18">
        <v>0.0</v>
      </c>
      <c r="Q11" s="18">
        <v>9.941229799046027E10</v>
      </c>
      <c r="R11" s="18">
        <v>0.0</v>
      </c>
      <c r="S11" s="18">
        <v>0.0</v>
      </c>
      <c r="T11" s="18">
        <v>0.0</v>
      </c>
      <c r="U11" s="18">
        <v>0.0</v>
      </c>
      <c r="V11" s="18">
        <v>0.0</v>
      </c>
      <c r="W11" s="18">
        <v>0.0</v>
      </c>
      <c r="X11" s="18">
        <v>0.0</v>
      </c>
      <c r="Y11" s="18">
        <v>0.0</v>
      </c>
      <c r="Z11" s="18">
        <v>0.0</v>
      </c>
      <c r="AA11" s="18">
        <v>0.0</v>
      </c>
    </row>
    <row r="12" ht="15.75" customHeight="1">
      <c r="A12" s="7" t="s">
        <v>26</v>
      </c>
      <c r="B12" s="8">
        <v>5.49613862E7</v>
      </c>
      <c r="C12" s="8">
        <v>0.0</v>
      </c>
      <c r="D12" s="8">
        <v>6.603879E7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5.016524142199788E10</v>
      </c>
      <c r="P12" s="8">
        <v>0.0</v>
      </c>
      <c r="Q12" s="8">
        <v>5.58730066374763E10</v>
      </c>
      <c r="R12" s="8">
        <v>0.0</v>
      </c>
      <c r="S12" s="8">
        <v>0.0</v>
      </c>
      <c r="T12" s="8">
        <v>0.0</v>
      </c>
      <c r="U12" s="8">
        <v>0.0</v>
      </c>
      <c r="V12" s="8">
        <v>0.0</v>
      </c>
      <c r="W12" s="8">
        <v>0.0</v>
      </c>
      <c r="X12" s="8">
        <v>0.0</v>
      </c>
      <c r="Y12" s="8">
        <v>0.0</v>
      </c>
      <c r="Z12" s="8">
        <v>0.0</v>
      </c>
      <c r="AA12" s="8">
        <v>0.0</v>
      </c>
    </row>
    <row r="13" ht="15.75" customHeight="1">
      <c r="A13" s="9" t="s">
        <v>27</v>
      </c>
      <c r="B13" s="10">
        <v>4111332.8</v>
      </c>
      <c r="C13" s="10">
        <v>0.0</v>
      </c>
      <c r="D13" s="10">
        <v>4218672.0</v>
      </c>
      <c r="E13" s="10">
        <v>0.0</v>
      </c>
      <c r="F13" s="10">
        <v>0.0</v>
      </c>
      <c r="G13" s="10">
        <v>0.0</v>
      </c>
      <c r="H13" s="10">
        <v>0.0</v>
      </c>
      <c r="I13" s="10">
        <v>0.0</v>
      </c>
      <c r="J13" s="10">
        <v>0.0</v>
      </c>
      <c r="K13" s="10">
        <v>0.0</v>
      </c>
      <c r="L13" s="10">
        <v>0.0</v>
      </c>
      <c r="M13" s="10">
        <v>0.0</v>
      </c>
      <c r="N13" s="10">
        <v>0.0</v>
      </c>
      <c r="O13" s="10">
        <v>3.01264554487894E9</v>
      </c>
      <c r="P13" s="10">
        <v>0.0</v>
      </c>
      <c r="Q13" s="10">
        <v>4.7105717561817E9</v>
      </c>
      <c r="R13" s="10">
        <v>0.0</v>
      </c>
      <c r="S13" s="10">
        <v>0.0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10">
        <v>0.0</v>
      </c>
      <c r="AA13" s="10">
        <v>0.0</v>
      </c>
    </row>
    <row r="14" ht="15.75" customHeight="1">
      <c r="A14" s="17" t="s">
        <v>28</v>
      </c>
      <c r="B14" s="18">
        <v>0.0</v>
      </c>
      <c r="C14" s="18">
        <v>0.0</v>
      </c>
      <c r="D14" s="18">
        <v>0.0</v>
      </c>
      <c r="E14" s="18">
        <v>0.0</v>
      </c>
      <c r="F14" s="18">
        <v>3.753314943E7</v>
      </c>
      <c r="G14" s="18">
        <v>0.0</v>
      </c>
      <c r="H14" s="18">
        <v>0.0</v>
      </c>
      <c r="I14" s="18">
        <v>0.0</v>
      </c>
      <c r="J14" s="18">
        <v>0.0</v>
      </c>
      <c r="K14" s="18">
        <v>0.0</v>
      </c>
      <c r="L14" s="18">
        <v>5.5166885035E7</v>
      </c>
      <c r="M14" s="18">
        <v>0.0</v>
      </c>
      <c r="N14" s="18">
        <v>0.0</v>
      </c>
      <c r="O14" s="18">
        <v>0.0</v>
      </c>
      <c r="P14" s="18">
        <v>0.0</v>
      </c>
      <c r="Q14" s="18">
        <v>0.0</v>
      </c>
      <c r="R14" s="18">
        <v>0.0</v>
      </c>
      <c r="S14" s="18">
        <v>5.019604658512921E10</v>
      </c>
      <c r="T14" s="18">
        <v>0.0</v>
      </c>
      <c r="U14" s="18">
        <v>0.0</v>
      </c>
      <c r="V14" s="18">
        <v>0.0</v>
      </c>
      <c r="W14" s="18">
        <v>0.0</v>
      </c>
      <c r="X14" s="18">
        <v>0.0</v>
      </c>
      <c r="Y14" s="18">
        <v>2.93485542964164E10</v>
      </c>
      <c r="Z14" s="18">
        <v>0.0</v>
      </c>
      <c r="AA14" s="18">
        <v>0.0</v>
      </c>
    </row>
    <row r="15" ht="15.75" customHeight="1">
      <c r="A15" s="7" t="s">
        <v>29</v>
      </c>
      <c r="B15" s="8">
        <v>0.0</v>
      </c>
      <c r="C15" s="8">
        <v>0.0</v>
      </c>
      <c r="D15" s="8">
        <v>0.0</v>
      </c>
      <c r="E15" s="8">
        <v>0.0</v>
      </c>
      <c r="F15" s="8">
        <v>189250.3971</v>
      </c>
      <c r="G15" s="8">
        <v>0.0</v>
      </c>
      <c r="H15" s="8">
        <v>0.0</v>
      </c>
      <c r="I15" s="8">
        <v>0.0</v>
      </c>
      <c r="J15" s="8">
        <v>0.0</v>
      </c>
      <c r="K15" s="8">
        <v>0.0</v>
      </c>
      <c r="L15" s="8">
        <v>3520.97</v>
      </c>
      <c r="M15" s="8">
        <v>0.0</v>
      </c>
      <c r="N15" s="8">
        <v>0.0</v>
      </c>
      <c r="O15" s="8">
        <v>0.0</v>
      </c>
      <c r="P15" s="8">
        <v>0.0</v>
      </c>
      <c r="Q15" s="8">
        <v>0.0</v>
      </c>
      <c r="R15" s="8">
        <v>0.0</v>
      </c>
      <c r="S15" s="8">
        <v>1.356696345328514E10</v>
      </c>
      <c r="T15" s="8">
        <v>0.0</v>
      </c>
      <c r="U15" s="8">
        <v>0.0</v>
      </c>
      <c r="V15" s="8">
        <v>0.0</v>
      </c>
      <c r="W15" s="8">
        <v>0.0</v>
      </c>
      <c r="X15" s="8">
        <v>0.0</v>
      </c>
      <c r="Y15" s="8">
        <v>4.108620121276143E9</v>
      </c>
      <c r="Z15" s="8">
        <v>0.0</v>
      </c>
      <c r="AA15" s="8">
        <v>0.0</v>
      </c>
    </row>
    <row r="16" ht="15.75" customHeight="1">
      <c r="A16" s="7" t="s">
        <v>30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0.0</v>
      </c>
      <c r="L16" s="8">
        <v>228.4869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8">
        <v>0.0</v>
      </c>
      <c r="T16" s="8">
        <v>0.0</v>
      </c>
      <c r="U16" s="8">
        <v>0.0</v>
      </c>
      <c r="V16" s="8">
        <v>0.0</v>
      </c>
      <c r="W16" s="8">
        <v>0.0</v>
      </c>
      <c r="X16" s="8">
        <v>0.0</v>
      </c>
      <c r="Y16" s="8">
        <v>6.082456428781E8</v>
      </c>
      <c r="Z16" s="8">
        <v>0.0</v>
      </c>
      <c r="AA16" s="8">
        <v>0.0</v>
      </c>
    </row>
    <row r="17" ht="15.75" customHeight="1">
      <c r="A17" s="19" t="s">
        <v>31</v>
      </c>
      <c r="M17" s="19" t="s">
        <v>32</v>
      </c>
      <c r="N17" s="20">
        <f>sum(B18:N18)/1000000000000</f>
        <v>0.06527231786</v>
      </c>
      <c r="Z17" s="19" t="s">
        <v>33</v>
      </c>
      <c r="AA17" s="20">
        <f>sum(B18:AA18)/1000000000000</f>
        <v>32.74668634</v>
      </c>
    </row>
    <row r="18" ht="15.75" customHeight="1">
      <c r="A18" s="21" t="s">
        <v>34</v>
      </c>
      <c r="B18" s="22">
        <f t="shared" ref="B18:AA18" si="1">sum(B5+B6+B12+B15+B16)</f>
        <v>1599395405</v>
      </c>
      <c r="C18" s="22">
        <f t="shared" si="1"/>
        <v>907304101.5</v>
      </c>
      <c r="D18" s="22">
        <f t="shared" si="1"/>
        <v>1422018201</v>
      </c>
      <c r="E18" s="22">
        <f t="shared" si="1"/>
        <v>450112021.4</v>
      </c>
      <c r="F18" s="22">
        <f t="shared" si="1"/>
        <v>197548982.3</v>
      </c>
      <c r="G18" s="22">
        <f t="shared" si="1"/>
        <v>1348811516</v>
      </c>
      <c r="H18" s="22">
        <f t="shared" si="1"/>
        <v>26932981667</v>
      </c>
      <c r="I18" s="22">
        <f t="shared" si="1"/>
        <v>25411299.96</v>
      </c>
      <c r="J18" s="22">
        <f t="shared" si="1"/>
        <v>24996084252</v>
      </c>
      <c r="K18" s="22">
        <f t="shared" si="1"/>
        <v>5812384122</v>
      </c>
      <c r="L18" s="22">
        <f t="shared" si="1"/>
        <v>304510569.6</v>
      </c>
      <c r="M18" s="22">
        <f t="shared" si="1"/>
        <v>6207549.366</v>
      </c>
      <c r="N18" s="22">
        <f t="shared" si="1"/>
        <v>1269548174</v>
      </c>
      <c r="O18" s="22">
        <f t="shared" si="1"/>
        <v>670602115573</v>
      </c>
      <c r="P18" s="22">
        <f t="shared" si="1"/>
        <v>461218872823</v>
      </c>
      <c r="Q18" s="22">
        <f t="shared" si="1"/>
        <v>355284242093</v>
      </c>
      <c r="R18" s="22">
        <f t="shared" si="1"/>
        <v>540857723573</v>
      </c>
      <c r="S18" s="22">
        <f t="shared" si="1"/>
        <v>48940750472</v>
      </c>
      <c r="T18" s="22">
        <f t="shared" si="1"/>
        <v>1268162071905</v>
      </c>
      <c r="U18" s="22">
        <f t="shared" si="1"/>
        <v>10717220105632</v>
      </c>
      <c r="V18" s="22">
        <f t="shared" si="1"/>
        <v>372430342643</v>
      </c>
      <c r="W18" s="22">
        <f t="shared" si="1"/>
        <v>16319027056517</v>
      </c>
      <c r="X18" s="22">
        <f t="shared" si="1"/>
        <v>1700308756206</v>
      </c>
      <c r="Y18" s="22">
        <f t="shared" si="1"/>
        <v>83590784658</v>
      </c>
      <c r="Z18" s="22">
        <f t="shared" si="1"/>
        <v>23772824682</v>
      </c>
      <c r="AA18" s="22">
        <f t="shared" si="1"/>
        <v>119998374518</v>
      </c>
    </row>
    <row r="19" ht="15.75" customHeight="1">
      <c r="A19" s="23" t="s">
        <v>35</v>
      </c>
      <c r="B19" s="6">
        <f t="shared" ref="B19:AA19" si="2">B4</f>
        <v>488735.1329</v>
      </c>
      <c r="C19" s="6">
        <f t="shared" si="2"/>
        <v>109526.2656</v>
      </c>
      <c r="D19" s="6">
        <f t="shared" si="2"/>
        <v>918120.5035</v>
      </c>
      <c r="E19" s="6">
        <f t="shared" si="2"/>
        <v>60640.74637</v>
      </c>
      <c r="F19" s="6">
        <f t="shared" si="2"/>
        <v>44902.65791</v>
      </c>
      <c r="G19" s="6">
        <f t="shared" si="2"/>
        <v>851812.0825</v>
      </c>
      <c r="H19" s="6">
        <f t="shared" si="2"/>
        <v>2563632.245</v>
      </c>
      <c r="I19" s="6">
        <f t="shared" si="2"/>
        <v>4122.642423</v>
      </c>
      <c r="J19" s="6">
        <f t="shared" si="2"/>
        <v>2954324.728</v>
      </c>
      <c r="K19" s="6">
        <f t="shared" si="2"/>
        <v>665991.0278</v>
      </c>
      <c r="L19" s="6">
        <f t="shared" si="2"/>
        <v>86683.12755</v>
      </c>
      <c r="M19" s="6">
        <f t="shared" si="2"/>
        <v>578.1978417</v>
      </c>
      <c r="N19" s="6">
        <f t="shared" si="2"/>
        <v>436342.1903</v>
      </c>
      <c r="O19" s="6">
        <f t="shared" si="2"/>
        <v>274020172.2</v>
      </c>
      <c r="P19" s="6">
        <f t="shared" si="2"/>
        <v>72161618.55</v>
      </c>
      <c r="Q19" s="6">
        <f t="shared" si="2"/>
        <v>158440925.7</v>
      </c>
      <c r="R19" s="6">
        <f t="shared" si="2"/>
        <v>107911440.5</v>
      </c>
      <c r="S19" s="6">
        <f t="shared" si="2"/>
        <v>4966489.341</v>
      </c>
      <c r="T19" s="6">
        <f t="shared" si="2"/>
        <v>114943483.3</v>
      </c>
      <c r="U19" s="6">
        <f t="shared" si="2"/>
        <v>898579371.8</v>
      </c>
      <c r="V19" s="6">
        <f t="shared" si="2"/>
        <v>33006929.97</v>
      </c>
      <c r="W19" s="6">
        <f t="shared" si="2"/>
        <v>598834139.9</v>
      </c>
      <c r="X19" s="6">
        <f t="shared" si="2"/>
        <v>483114589.1</v>
      </c>
      <c r="Y19" s="6">
        <f t="shared" si="2"/>
        <v>17086143.83</v>
      </c>
      <c r="Z19" s="6">
        <f t="shared" si="2"/>
        <v>5222855.171</v>
      </c>
      <c r="AA19" s="6">
        <f t="shared" si="2"/>
        <v>73234902.53</v>
      </c>
    </row>
    <row r="20" ht="15.75" customHeight="1">
      <c r="A20" s="24" t="s">
        <v>36</v>
      </c>
      <c r="B20" s="18">
        <f t="shared" ref="B20:AA20" si="3">B11+B14</f>
        <v>0</v>
      </c>
      <c r="C20" s="18">
        <f t="shared" si="3"/>
        <v>0</v>
      </c>
      <c r="D20" s="18">
        <f t="shared" si="3"/>
        <v>186999986.6</v>
      </c>
      <c r="E20" s="18">
        <f t="shared" si="3"/>
        <v>0</v>
      </c>
      <c r="F20" s="18">
        <f t="shared" si="3"/>
        <v>37533149.43</v>
      </c>
      <c r="G20" s="18">
        <f t="shared" si="3"/>
        <v>0</v>
      </c>
      <c r="H20" s="18">
        <f t="shared" si="3"/>
        <v>0</v>
      </c>
      <c r="I20" s="18">
        <f t="shared" si="3"/>
        <v>0</v>
      </c>
      <c r="J20" s="18">
        <f t="shared" si="3"/>
        <v>0</v>
      </c>
      <c r="K20" s="18">
        <f t="shared" si="3"/>
        <v>0</v>
      </c>
      <c r="L20" s="18">
        <f t="shared" si="3"/>
        <v>55166885.04</v>
      </c>
      <c r="M20" s="18">
        <f t="shared" si="3"/>
        <v>0</v>
      </c>
      <c r="N20" s="18">
        <f t="shared" si="3"/>
        <v>0</v>
      </c>
      <c r="O20" s="18">
        <f t="shared" si="3"/>
        <v>40286552650</v>
      </c>
      <c r="P20" s="18">
        <f t="shared" si="3"/>
        <v>0</v>
      </c>
      <c r="Q20" s="18">
        <f t="shared" si="3"/>
        <v>99412297990</v>
      </c>
      <c r="R20" s="18">
        <f t="shared" si="3"/>
        <v>0</v>
      </c>
      <c r="S20" s="18">
        <f t="shared" si="3"/>
        <v>50196046585</v>
      </c>
      <c r="T20" s="18">
        <f t="shared" si="3"/>
        <v>0</v>
      </c>
      <c r="U20" s="18">
        <f t="shared" si="3"/>
        <v>0</v>
      </c>
      <c r="V20" s="18">
        <f t="shared" si="3"/>
        <v>0</v>
      </c>
      <c r="W20" s="18">
        <f t="shared" si="3"/>
        <v>0</v>
      </c>
      <c r="X20" s="18">
        <f t="shared" si="3"/>
        <v>0</v>
      </c>
      <c r="Y20" s="18">
        <f t="shared" si="3"/>
        <v>29348554296</v>
      </c>
      <c r="Z20" s="18">
        <f t="shared" si="3"/>
        <v>0</v>
      </c>
      <c r="AA20" s="18">
        <f t="shared" si="3"/>
        <v>0</v>
      </c>
    </row>
    <row r="21" ht="15.75" customHeight="1">
      <c r="A21" s="25" t="s">
        <v>37</v>
      </c>
      <c r="B21" s="10">
        <f t="shared" ref="B21:AA21" si="4">B7</f>
        <v>66315.15761</v>
      </c>
      <c r="C21" s="10">
        <f t="shared" si="4"/>
        <v>15769.44344</v>
      </c>
      <c r="D21" s="10">
        <f t="shared" si="4"/>
        <v>61609.52851</v>
      </c>
      <c r="E21" s="10">
        <f t="shared" si="4"/>
        <v>8743.760334</v>
      </c>
      <c r="F21" s="10">
        <f t="shared" si="4"/>
        <v>7538.078664</v>
      </c>
      <c r="G21" s="10">
        <f t="shared" si="4"/>
        <v>38382.99597</v>
      </c>
      <c r="H21" s="10">
        <f t="shared" si="4"/>
        <v>541248.1205</v>
      </c>
      <c r="I21" s="10">
        <f t="shared" si="4"/>
        <v>548.2663418</v>
      </c>
      <c r="J21" s="10">
        <f t="shared" si="4"/>
        <v>437071.5912</v>
      </c>
      <c r="K21" s="10">
        <f t="shared" si="4"/>
        <v>160877.9361</v>
      </c>
      <c r="L21" s="10">
        <f t="shared" si="4"/>
        <v>11926.85355</v>
      </c>
      <c r="M21" s="10">
        <f t="shared" si="4"/>
        <v>233.027174</v>
      </c>
      <c r="N21" s="10">
        <f t="shared" si="4"/>
        <v>51924.11739</v>
      </c>
      <c r="O21" s="10">
        <f t="shared" si="4"/>
        <v>36078955.11</v>
      </c>
      <c r="P21" s="10">
        <f t="shared" si="4"/>
        <v>11333583.25</v>
      </c>
      <c r="Q21" s="10">
        <f t="shared" si="4"/>
        <v>17098487.4</v>
      </c>
      <c r="R21" s="10">
        <f t="shared" si="4"/>
        <v>13700968.04</v>
      </c>
      <c r="S21" s="10">
        <f t="shared" si="4"/>
        <v>821694.4227</v>
      </c>
      <c r="T21" s="10">
        <f t="shared" si="4"/>
        <v>25358584.54</v>
      </c>
      <c r="U21" s="10">
        <f t="shared" si="4"/>
        <v>193625627</v>
      </c>
      <c r="V21" s="10">
        <f t="shared" si="4"/>
        <v>5920310.538</v>
      </c>
      <c r="W21" s="10">
        <f t="shared" si="4"/>
        <v>390558395.6</v>
      </c>
      <c r="X21" s="10">
        <f t="shared" si="4"/>
        <v>54639927.79</v>
      </c>
      <c r="Y21" s="10">
        <f t="shared" si="4"/>
        <v>1290035.859</v>
      </c>
      <c r="Z21" s="10">
        <f t="shared" si="4"/>
        <v>386528.0026</v>
      </c>
      <c r="AA21" s="10">
        <f t="shared" si="4"/>
        <v>5134688.679</v>
      </c>
    </row>
    <row r="22" ht="15.75" customHeight="1">
      <c r="A22" s="26" t="s">
        <v>38</v>
      </c>
      <c r="B22" s="12">
        <f t="shared" ref="B22:AA22" si="5">B8</f>
        <v>1518.45</v>
      </c>
      <c r="C22" s="12">
        <f t="shared" si="5"/>
        <v>799.4315</v>
      </c>
      <c r="D22" s="12">
        <f t="shared" si="5"/>
        <v>250.2138528</v>
      </c>
      <c r="E22" s="12">
        <f t="shared" si="5"/>
        <v>136.2907751</v>
      </c>
      <c r="F22" s="12">
        <f t="shared" si="5"/>
        <v>3167.34689</v>
      </c>
      <c r="G22" s="12">
        <f t="shared" si="5"/>
        <v>4998.24538</v>
      </c>
      <c r="H22" s="12">
        <f t="shared" si="5"/>
        <v>4533.560539</v>
      </c>
      <c r="I22" s="12">
        <f t="shared" si="5"/>
        <v>50.2793</v>
      </c>
      <c r="J22" s="12">
        <f t="shared" si="5"/>
        <v>0</v>
      </c>
      <c r="K22" s="12">
        <f t="shared" si="5"/>
        <v>0</v>
      </c>
      <c r="L22" s="12">
        <f t="shared" si="5"/>
        <v>3646.180156</v>
      </c>
      <c r="M22" s="12">
        <f t="shared" si="5"/>
        <v>0</v>
      </c>
      <c r="N22" s="12">
        <f t="shared" si="5"/>
        <v>0</v>
      </c>
      <c r="O22" s="12">
        <f t="shared" si="5"/>
        <v>865732.0583</v>
      </c>
      <c r="P22" s="12">
        <f t="shared" si="5"/>
        <v>114230.7971</v>
      </c>
      <c r="Q22" s="12">
        <f t="shared" si="5"/>
        <v>102773.6614</v>
      </c>
      <c r="R22" s="12">
        <f t="shared" si="5"/>
        <v>20401.07049</v>
      </c>
      <c r="S22" s="12">
        <f t="shared" si="5"/>
        <v>1367994.182</v>
      </c>
      <c r="T22" s="12">
        <f t="shared" si="5"/>
        <v>2449207.565</v>
      </c>
      <c r="U22" s="12">
        <f t="shared" si="5"/>
        <v>3311102.156</v>
      </c>
      <c r="V22" s="12">
        <f t="shared" si="5"/>
        <v>28403.19913</v>
      </c>
      <c r="W22" s="12">
        <f t="shared" si="5"/>
        <v>0</v>
      </c>
      <c r="X22" s="12">
        <f t="shared" si="5"/>
        <v>0</v>
      </c>
      <c r="Y22" s="12">
        <f t="shared" si="5"/>
        <v>550899.2632</v>
      </c>
      <c r="Z22" s="12">
        <f t="shared" si="5"/>
        <v>0</v>
      </c>
      <c r="AA22" s="12">
        <f t="shared" si="5"/>
        <v>0</v>
      </c>
    </row>
    <row r="23" ht="15.75" customHeight="1">
      <c r="A23" s="27" t="s">
        <v>39</v>
      </c>
      <c r="B23" s="14">
        <f t="shared" ref="B23:AA23" si="6">B9</f>
        <v>166499450</v>
      </c>
      <c r="C23" s="14">
        <f t="shared" si="6"/>
        <v>94599140</v>
      </c>
      <c r="D23" s="14">
        <f t="shared" si="6"/>
        <v>38704603.43</v>
      </c>
      <c r="E23" s="14">
        <f t="shared" si="6"/>
        <v>14565045.1</v>
      </c>
      <c r="F23" s="14">
        <f t="shared" si="6"/>
        <v>171846129</v>
      </c>
      <c r="G23" s="14">
        <f t="shared" si="6"/>
        <v>440514530</v>
      </c>
      <c r="H23" s="14">
        <f t="shared" si="6"/>
        <v>542765469.9</v>
      </c>
      <c r="I23" s="14">
        <f t="shared" si="6"/>
        <v>3816640</v>
      </c>
      <c r="J23" s="14">
        <f t="shared" si="6"/>
        <v>0</v>
      </c>
      <c r="K23" s="14">
        <f t="shared" si="6"/>
        <v>0</v>
      </c>
      <c r="L23" s="14">
        <f t="shared" si="6"/>
        <v>186689683.1</v>
      </c>
      <c r="M23" s="14">
        <f t="shared" si="6"/>
        <v>0</v>
      </c>
      <c r="N23" s="14">
        <f t="shared" si="6"/>
        <v>0</v>
      </c>
      <c r="O23" s="14">
        <f t="shared" si="6"/>
        <v>82084660975</v>
      </c>
      <c r="P23" s="14">
        <f t="shared" si="6"/>
        <v>11813384527</v>
      </c>
      <c r="Q23" s="14">
        <f t="shared" si="6"/>
        <v>13304527000</v>
      </c>
      <c r="R23" s="14">
        <f t="shared" si="6"/>
        <v>2470324411</v>
      </c>
      <c r="S23" s="14">
        <f t="shared" si="6"/>
        <v>139928674974</v>
      </c>
      <c r="T23" s="14">
        <f t="shared" si="6"/>
        <v>159011775624</v>
      </c>
      <c r="U23" s="14">
        <f t="shared" si="6"/>
        <v>472704432465</v>
      </c>
      <c r="V23" s="14">
        <f t="shared" si="6"/>
        <v>1569560802</v>
      </c>
      <c r="W23" s="14">
        <f t="shared" si="6"/>
        <v>0</v>
      </c>
      <c r="X23" s="14">
        <f t="shared" si="6"/>
        <v>0</v>
      </c>
      <c r="Y23" s="14">
        <f t="shared" si="6"/>
        <v>47237013710</v>
      </c>
      <c r="Z23" s="14">
        <f t="shared" si="6"/>
        <v>0</v>
      </c>
      <c r="AA23" s="14">
        <f t="shared" si="6"/>
        <v>0</v>
      </c>
    </row>
    <row r="24" ht="15.75" customHeight="1">
      <c r="A24" s="28" t="s">
        <v>40</v>
      </c>
      <c r="B24" s="16">
        <f t="shared" ref="B24:AA24" si="7">B10</f>
        <v>3149623.7</v>
      </c>
      <c r="C24" s="16">
        <f t="shared" si="7"/>
        <v>1817328</v>
      </c>
      <c r="D24" s="16">
        <f t="shared" si="7"/>
        <v>731244.4113</v>
      </c>
      <c r="E24" s="16">
        <f t="shared" si="7"/>
        <v>270138.081</v>
      </c>
      <c r="F24" s="16">
        <f t="shared" si="7"/>
        <v>4711338.6</v>
      </c>
      <c r="G24" s="16">
        <f t="shared" si="7"/>
        <v>8969032.66</v>
      </c>
      <c r="H24" s="16">
        <f t="shared" si="7"/>
        <v>10619703.1</v>
      </c>
      <c r="I24" s="16">
        <f t="shared" si="7"/>
        <v>71085</v>
      </c>
      <c r="J24" s="16">
        <f t="shared" si="7"/>
        <v>0</v>
      </c>
      <c r="K24" s="16">
        <f t="shared" si="7"/>
        <v>0</v>
      </c>
      <c r="L24" s="16">
        <f t="shared" si="7"/>
        <v>5460503.613</v>
      </c>
      <c r="M24" s="16">
        <f t="shared" si="7"/>
        <v>0</v>
      </c>
      <c r="N24" s="16">
        <f t="shared" si="7"/>
        <v>0</v>
      </c>
      <c r="O24" s="16">
        <f t="shared" si="7"/>
        <v>852195144.9</v>
      </c>
      <c r="P24" s="16">
        <f t="shared" si="7"/>
        <v>284886296</v>
      </c>
      <c r="Q24" s="16">
        <f t="shared" si="7"/>
        <v>135003786.3</v>
      </c>
      <c r="R24" s="16">
        <f t="shared" si="7"/>
        <v>44160606.2</v>
      </c>
      <c r="S24" s="16">
        <f t="shared" si="7"/>
        <v>2438466221</v>
      </c>
      <c r="T24" s="16">
        <f t="shared" si="7"/>
        <v>5582609650</v>
      </c>
      <c r="U24" s="16">
        <f t="shared" si="7"/>
        <v>39652149012</v>
      </c>
      <c r="V24" s="16">
        <f t="shared" si="7"/>
        <v>25061039.68</v>
      </c>
      <c r="W24" s="16">
        <f t="shared" si="7"/>
        <v>0</v>
      </c>
      <c r="X24" s="16">
        <f t="shared" si="7"/>
        <v>0</v>
      </c>
      <c r="Y24" s="16">
        <f t="shared" si="7"/>
        <v>1105435330</v>
      </c>
      <c r="Z24" s="16">
        <f t="shared" si="7"/>
        <v>0</v>
      </c>
      <c r="AA24" s="16">
        <f t="shared" si="7"/>
        <v>0</v>
      </c>
    </row>
    <row r="25" ht="15.75" customHeight="1">
      <c r="A25" s="19" t="s">
        <v>41</v>
      </c>
      <c r="M25" s="19" t="s">
        <v>32</v>
      </c>
      <c r="N25" s="20">
        <f>sum(B19:N22)/1000000000000</f>
        <v>0.0002903067215</v>
      </c>
      <c r="Z25" s="19" t="s">
        <v>33</v>
      </c>
      <c r="AA25" s="20">
        <f>sum(B19:AA22)/1000000000000</f>
        <v>0.2231400398</v>
      </c>
    </row>
    <row r="26" ht="15.75" customHeight="1">
      <c r="C26" s="29" t="s">
        <v>42</v>
      </c>
      <c r="D26" s="30" t="s">
        <v>43</v>
      </c>
    </row>
    <row r="27" ht="15.75" customHeight="1">
      <c r="A27" s="19" t="s">
        <v>44</v>
      </c>
      <c r="C27" s="31" t="s">
        <v>45</v>
      </c>
      <c r="D27" s="32">
        <v>1.0</v>
      </c>
    </row>
    <row r="28" ht="15.75" customHeight="1">
      <c r="A28" s="19" t="s">
        <v>46</v>
      </c>
      <c r="C28" s="31" t="s">
        <v>47</v>
      </c>
      <c r="D28" s="32">
        <v>27.0</v>
      </c>
    </row>
    <row r="29" ht="15.75" customHeight="1">
      <c r="A29" s="19" t="s">
        <v>48</v>
      </c>
      <c r="C29" s="31" t="s">
        <v>49</v>
      </c>
      <c r="D29" s="32">
        <v>29.8</v>
      </c>
    </row>
    <row r="30" ht="15.75" customHeight="1">
      <c r="A30" s="19" t="s">
        <v>50</v>
      </c>
      <c r="C30" s="31" t="s">
        <v>51</v>
      </c>
      <c r="D30" s="32">
        <v>273.0</v>
      </c>
    </row>
    <row r="31" ht="15.75" customHeight="1">
      <c r="A31" s="19" t="s">
        <v>52</v>
      </c>
      <c r="C31" s="19" t="s">
        <v>38</v>
      </c>
      <c r="D31" s="19">
        <v>24300.0</v>
      </c>
    </row>
    <row r="32" ht="15.75" customHeight="1">
      <c r="C32" s="19" t="s">
        <v>39</v>
      </c>
      <c r="D32" s="19">
        <v>1500.0</v>
      </c>
    </row>
    <row r="33" ht="15.75" customHeight="1">
      <c r="C33" s="19" t="s">
        <v>40</v>
      </c>
      <c r="D33" s="19">
        <v>10000.0</v>
      </c>
    </row>
    <row r="34">
      <c r="A34" s="1" t="s">
        <v>0</v>
      </c>
      <c r="B34" s="2" t="s">
        <v>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4"/>
      <c r="O34" s="2" t="s">
        <v>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4"/>
    </row>
    <row r="35">
      <c r="A35" s="1" t="s">
        <v>3</v>
      </c>
      <c r="B35" s="1" t="s">
        <v>4</v>
      </c>
      <c r="C35" s="1" t="s">
        <v>5</v>
      </c>
      <c r="D35" s="1" t="s">
        <v>6</v>
      </c>
      <c r="E35" s="1" t="s">
        <v>7</v>
      </c>
      <c r="F35" s="1" t="s">
        <v>8</v>
      </c>
      <c r="G35" s="1" t="s">
        <v>9</v>
      </c>
      <c r="H35" s="1" t="s">
        <v>10</v>
      </c>
      <c r="I35" s="1" t="s">
        <v>11</v>
      </c>
      <c r="J35" s="1" t="s">
        <v>12</v>
      </c>
      <c r="K35" s="1" t="s">
        <v>13</v>
      </c>
      <c r="L35" s="1" t="s">
        <v>14</v>
      </c>
      <c r="M35" s="1" t="s">
        <v>15</v>
      </c>
      <c r="N35" s="1" t="s">
        <v>16</v>
      </c>
      <c r="O35" s="1" t="s">
        <v>4</v>
      </c>
      <c r="P35" s="1" t="s">
        <v>5</v>
      </c>
      <c r="Q35" s="1" t="s">
        <v>6</v>
      </c>
      <c r="R35" s="1" t="s">
        <v>7</v>
      </c>
      <c r="S35" s="1" t="s">
        <v>8</v>
      </c>
      <c r="T35" s="1" t="s">
        <v>9</v>
      </c>
      <c r="U35" s="1" t="s">
        <v>10</v>
      </c>
      <c r="V35" s="1" t="s">
        <v>11</v>
      </c>
      <c r="W35" s="1" t="s">
        <v>12</v>
      </c>
      <c r="X35" s="1" t="s">
        <v>13</v>
      </c>
      <c r="Y35" s="1" t="s">
        <v>14</v>
      </c>
      <c r="Z35" s="1" t="s">
        <v>15</v>
      </c>
      <c r="AA35" s="1" t="s">
        <v>16</v>
      </c>
    </row>
    <row r="36" ht="15.75" customHeight="1">
      <c r="A36" s="21" t="s">
        <v>34</v>
      </c>
      <c r="B36" s="20">
        <f t="shared" ref="B36:AA36" si="8">B18</f>
        <v>1599395405</v>
      </c>
      <c r="C36" s="20">
        <f t="shared" si="8"/>
        <v>907304101.5</v>
      </c>
      <c r="D36" s="20">
        <f t="shared" si="8"/>
        <v>1422018201</v>
      </c>
      <c r="E36" s="20">
        <f t="shared" si="8"/>
        <v>450112021.4</v>
      </c>
      <c r="F36" s="20">
        <f t="shared" si="8"/>
        <v>197548982.3</v>
      </c>
      <c r="G36" s="20">
        <f t="shared" si="8"/>
        <v>1348811516</v>
      </c>
      <c r="H36" s="20">
        <f t="shared" si="8"/>
        <v>26932981667</v>
      </c>
      <c r="I36" s="20">
        <f t="shared" si="8"/>
        <v>25411299.96</v>
      </c>
      <c r="J36" s="20">
        <f t="shared" si="8"/>
        <v>24996084252</v>
      </c>
      <c r="K36" s="20">
        <f t="shared" si="8"/>
        <v>5812384122</v>
      </c>
      <c r="L36" s="20">
        <f t="shared" si="8"/>
        <v>304510569.6</v>
      </c>
      <c r="M36" s="20">
        <f t="shared" si="8"/>
        <v>6207549.366</v>
      </c>
      <c r="N36" s="20">
        <f t="shared" si="8"/>
        <v>1269548174</v>
      </c>
      <c r="O36" s="20">
        <f t="shared" si="8"/>
        <v>670602115573</v>
      </c>
      <c r="P36" s="20">
        <f t="shared" si="8"/>
        <v>461218872823</v>
      </c>
      <c r="Q36" s="20">
        <f t="shared" si="8"/>
        <v>355284242093</v>
      </c>
      <c r="R36" s="20">
        <f t="shared" si="8"/>
        <v>540857723573</v>
      </c>
      <c r="S36" s="20">
        <f t="shared" si="8"/>
        <v>48940750472</v>
      </c>
      <c r="T36" s="20">
        <f t="shared" si="8"/>
        <v>1268162071905</v>
      </c>
      <c r="U36" s="20">
        <f t="shared" si="8"/>
        <v>10717220105632</v>
      </c>
      <c r="V36" s="20">
        <f t="shared" si="8"/>
        <v>372430342643</v>
      </c>
      <c r="W36" s="20">
        <f t="shared" si="8"/>
        <v>16319027056517</v>
      </c>
      <c r="X36" s="20">
        <f t="shared" si="8"/>
        <v>1700308756206</v>
      </c>
      <c r="Y36" s="20">
        <f t="shared" si="8"/>
        <v>83590784658</v>
      </c>
      <c r="Z36" s="20">
        <f t="shared" si="8"/>
        <v>23772824682</v>
      </c>
      <c r="AA36" s="20">
        <f t="shared" si="8"/>
        <v>119998374518</v>
      </c>
    </row>
    <row r="37" ht="15.75" customHeight="1">
      <c r="A37" s="23" t="s">
        <v>53</v>
      </c>
      <c r="B37" s="20">
        <f t="shared" ref="B37:AA37" si="9">B19*$D29</f>
        <v>14564306.96</v>
      </c>
      <c r="C37" s="20">
        <f t="shared" si="9"/>
        <v>3263882.716</v>
      </c>
      <c r="D37" s="20">
        <f t="shared" si="9"/>
        <v>27359991</v>
      </c>
      <c r="E37" s="20">
        <f t="shared" si="9"/>
        <v>1807094.242</v>
      </c>
      <c r="F37" s="20">
        <f t="shared" si="9"/>
        <v>1338099.206</v>
      </c>
      <c r="G37" s="20">
        <f t="shared" si="9"/>
        <v>25384000.06</v>
      </c>
      <c r="H37" s="20">
        <f t="shared" si="9"/>
        <v>76396240.89</v>
      </c>
      <c r="I37" s="20">
        <f t="shared" si="9"/>
        <v>122854.7442</v>
      </c>
      <c r="J37" s="20">
        <f t="shared" si="9"/>
        <v>88038876.9</v>
      </c>
      <c r="K37" s="20">
        <f t="shared" si="9"/>
        <v>19846532.63</v>
      </c>
      <c r="L37" s="20">
        <f t="shared" si="9"/>
        <v>2583157.201</v>
      </c>
      <c r="M37" s="20">
        <f t="shared" si="9"/>
        <v>17230.29568</v>
      </c>
      <c r="N37" s="20">
        <f t="shared" si="9"/>
        <v>13002997.27</v>
      </c>
      <c r="O37" s="20">
        <f t="shared" si="9"/>
        <v>8165801132</v>
      </c>
      <c r="P37" s="20">
        <f t="shared" si="9"/>
        <v>2150416233</v>
      </c>
      <c r="Q37" s="20">
        <f t="shared" si="9"/>
        <v>4721539587</v>
      </c>
      <c r="R37" s="20">
        <f t="shared" si="9"/>
        <v>3215760928</v>
      </c>
      <c r="S37" s="20">
        <f t="shared" si="9"/>
        <v>148001382.4</v>
      </c>
      <c r="T37" s="20">
        <f t="shared" si="9"/>
        <v>3425315803</v>
      </c>
      <c r="U37" s="20">
        <f t="shared" si="9"/>
        <v>26777665281</v>
      </c>
      <c r="V37" s="20">
        <f t="shared" si="9"/>
        <v>983606513</v>
      </c>
      <c r="W37" s="20">
        <f t="shared" si="9"/>
        <v>17845257370</v>
      </c>
      <c r="X37" s="20">
        <f t="shared" si="9"/>
        <v>14396814754</v>
      </c>
      <c r="Y37" s="20">
        <f t="shared" si="9"/>
        <v>509167086.1</v>
      </c>
      <c r="Z37" s="20">
        <f t="shared" si="9"/>
        <v>155641084.1</v>
      </c>
      <c r="AA37" s="20">
        <f t="shared" si="9"/>
        <v>2182400095</v>
      </c>
    </row>
    <row r="38" ht="15.75" customHeight="1">
      <c r="A38" s="24" t="s">
        <v>54</v>
      </c>
      <c r="B38" s="20">
        <f t="shared" ref="B38:AA38" si="10">B20*$D29</f>
        <v>0</v>
      </c>
      <c r="C38" s="20">
        <f t="shared" si="10"/>
        <v>0</v>
      </c>
      <c r="D38" s="20">
        <f t="shared" si="10"/>
        <v>5572599602</v>
      </c>
      <c r="E38" s="20">
        <f t="shared" si="10"/>
        <v>0</v>
      </c>
      <c r="F38" s="20">
        <f t="shared" si="10"/>
        <v>1118487853</v>
      </c>
      <c r="G38" s="20">
        <f t="shared" si="10"/>
        <v>0</v>
      </c>
      <c r="H38" s="20">
        <f t="shared" si="10"/>
        <v>0</v>
      </c>
      <c r="I38" s="20">
        <f t="shared" si="10"/>
        <v>0</v>
      </c>
      <c r="J38" s="20">
        <f t="shared" si="10"/>
        <v>0</v>
      </c>
      <c r="K38" s="20">
        <f t="shared" si="10"/>
        <v>0</v>
      </c>
      <c r="L38" s="20">
        <f t="shared" si="10"/>
        <v>1643973174</v>
      </c>
      <c r="M38" s="20">
        <f t="shared" si="10"/>
        <v>0</v>
      </c>
      <c r="N38" s="20">
        <f t="shared" si="10"/>
        <v>0</v>
      </c>
      <c r="O38" s="20">
        <f t="shared" si="10"/>
        <v>1200539268970</v>
      </c>
      <c r="P38" s="20">
        <f t="shared" si="10"/>
        <v>0</v>
      </c>
      <c r="Q38" s="20">
        <f t="shared" si="10"/>
        <v>2962486480116</v>
      </c>
      <c r="R38" s="20">
        <f t="shared" si="10"/>
        <v>0</v>
      </c>
      <c r="S38" s="20">
        <f t="shared" si="10"/>
        <v>1495842188237</v>
      </c>
      <c r="T38" s="20">
        <f t="shared" si="10"/>
        <v>0</v>
      </c>
      <c r="U38" s="20">
        <f t="shared" si="10"/>
        <v>0</v>
      </c>
      <c r="V38" s="20">
        <f t="shared" si="10"/>
        <v>0</v>
      </c>
      <c r="W38" s="20">
        <f t="shared" si="10"/>
        <v>0</v>
      </c>
      <c r="X38" s="20">
        <f t="shared" si="10"/>
        <v>0</v>
      </c>
      <c r="Y38" s="20">
        <f t="shared" si="10"/>
        <v>874586918033</v>
      </c>
      <c r="Z38" s="20">
        <f t="shared" si="10"/>
        <v>0</v>
      </c>
      <c r="AA38" s="20">
        <f t="shared" si="10"/>
        <v>0</v>
      </c>
    </row>
    <row r="39" ht="15.75" customHeight="1">
      <c r="A39" s="25" t="s">
        <v>55</v>
      </c>
      <c r="B39" s="20">
        <f t="shared" ref="B39:AA39" si="11">B21*$D30</f>
        <v>18104038.03</v>
      </c>
      <c r="C39" s="20">
        <f t="shared" si="11"/>
        <v>4305058.059</v>
      </c>
      <c r="D39" s="20">
        <f t="shared" si="11"/>
        <v>16819401.28</v>
      </c>
      <c r="E39" s="20">
        <f t="shared" si="11"/>
        <v>2387046.571</v>
      </c>
      <c r="F39" s="20">
        <f t="shared" si="11"/>
        <v>2057895.475</v>
      </c>
      <c r="G39" s="20">
        <f t="shared" si="11"/>
        <v>10478557.9</v>
      </c>
      <c r="H39" s="20">
        <f t="shared" si="11"/>
        <v>147760736.9</v>
      </c>
      <c r="I39" s="20">
        <f t="shared" si="11"/>
        <v>149676.7113</v>
      </c>
      <c r="J39" s="20">
        <f t="shared" si="11"/>
        <v>119320544.4</v>
      </c>
      <c r="K39" s="20">
        <f t="shared" si="11"/>
        <v>43919676.55</v>
      </c>
      <c r="L39" s="20">
        <f t="shared" si="11"/>
        <v>3256031.02</v>
      </c>
      <c r="M39" s="20">
        <f t="shared" si="11"/>
        <v>63616.4185</v>
      </c>
      <c r="N39" s="20">
        <f t="shared" si="11"/>
        <v>14175284.05</v>
      </c>
      <c r="O39" s="20">
        <f t="shared" si="11"/>
        <v>9849554745</v>
      </c>
      <c r="P39" s="20">
        <f t="shared" si="11"/>
        <v>3094068228</v>
      </c>
      <c r="Q39" s="20">
        <f t="shared" si="11"/>
        <v>4667887060</v>
      </c>
      <c r="R39" s="20">
        <f t="shared" si="11"/>
        <v>3740364274</v>
      </c>
      <c r="S39" s="20">
        <f t="shared" si="11"/>
        <v>224322577.4</v>
      </c>
      <c r="T39" s="20">
        <f t="shared" si="11"/>
        <v>6922893579</v>
      </c>
      <c r="U39" s="20">
        <f t="shared" si="11"/>
        <v>52859796180</v>
      </c>
      <c r="V39" s="20">
        <f t="shared" si="11"/>
        <v>1616244777</v>
      </c>
      <c r="W39" s="20">
        <f t="shared" si="11"/>
        <v>106622442012</v>
      </c>
      <c r="X39" s="20">
        <f t="shared" si="11"/>
        <v>14916700288</v>
      </c>
      <c r="Y39" s="20">
        <f t="shared" si="11"/>
        <v>352179789.4</v>
      </c>
      <c r="Z39" s="20">
        <f t="shared" si="11"/>
        <v>105522144.7</v>
      </c>
      <c r="AA39" s="20">
        <f t="shared" si="11"/>
        <v>1401770009</v>
      </c>
    </row>
    <row r="40" ht="15.75" customHeight="1">
      <c r="A40" s="26" t="s">
        <v>56</v>
      </c>
      <c r="B40" s="20">
        <f t="shared" ref="B40:AA40" si="12">B22*$D31</f>
        <v>36898335</v>
      </c>
      <c r="C40" s="20">
        <f t="shared" si="12"/>
        <v>19426185.45</v>
      </c>
      <c r="D40" s="20">
        <f t="shared" si="12"/>
        <v>6080196.623</v>
      </c>
      <c r="E40" s="20">
        <f t="shared" si="12"/>
        <v>3311865.835</v>
      </c>
      <c r="F40" s="20">
        <f t="shared" si="12"/>
        <v>76966529.43</v>
      </c>
      <c r="G40" s="20">
        <f t="shared" si="12"/>
        <v>121457362.7</v>
      </c>
      <c r="H40" s="20">
        <f t="shared" si="12"/>
        <v>110165521.1</v>
      </c>
      <c r="I40" s="20">
        <f t="shared" si="12"/>
        <v>1221786.99</v>
      </c>
      <c r="J40" s="20">
        <f t="shared" si="12"/>
        <v>0</v>
      </c>
      <c r="K40" s="20">
        <f t="shared" si="12"/>
        <v>0</v>
      </c>
      <c r="L40" s="20">
        <f t="shared" si="12"/>
        <v>88602177.79</v>
      </c>
      <c r="M40" s="20">
        <f t="shared" si="12"/>
        <v>0</v>
      </c>
      <c r="N40" s="20">
        <f t="shared" si="12"/>
        <v>0</v>
      </c>
      <c r="O40" s="20">
        <f t="shared" si="12"/>
        <v>21037289018</v>
      </c>
      <c r="P40" s="20">
        <f t="shared" si="12"/>
        <v>2775808370</v>
      </c>
      <c r="Q40" s="20">
        <f t="shared" si="12"/>
        <v>2497399972</v>
      </c>
      <c r="R40" s="20">
        <f t="shared" si="12"/>
        <v>495746012.9</v>
      </c>
      <c r="S40" s="20">
        <f t="shared" si="12"/>
        <v>33242258613</v>
      </c>
      <c r="T40" s="20">
        <f t="shared" si="12"/>
        <v>59515743825</v>
      </c>
      <c r="U40" s="20">
        <f t="shared" si="12"/>
        <v>80459782391</v>
      </c>
      <c r="V40" s="20">
        <f t="shared" si="12"/>
        <v>690197738.8</v>
      </c>
      <c r="W40" s="20">
        <f t="shared" si="12"/>
        <v>0</v>
      </c>
      <c r="X40" s="20">
        <f t="shared" si="12"/>
        <v>0</v>
      </c>
      <c r="Y40" s="20">
        <f t="shared" si="12"/>
        <v>13386852096</v>
      </c>
      <c r="Z40" s="20">
        <f t="shared" si="12"/>
        <v>0</v>
      </c>
      <c r="AA40" s="20">
        <f t="shared" si="12"/>
        <v>0</v>
      </c>
    </row>
    <row r="41" ht="15.75" customHeight="1">
      <c r="A41" s="27" t="s">
        <v>57</v>
      </c>
      <c r="B41" s="20">
        <f t="shared" ref="B41:AA41" si="13">B23</f>
        <v>166499450</v>
      </c>
      <c r="C41" s="20">
        <f t="shared" si="13"/>
        <v>94599140</v>
      </c>
      <c r="D41" s="20">
        <f t="shared" si="13"/>
        <v>38704603.43</v>
      </c>
      <c r="E41" s="20">
        <f t="shared" si="13"/>
        <v>14565045.1</v>
      </c>
      <c r="F41" s="20">
        <f t="shared" si="13"/>
        <v>171846129</v>
      </c>
      <c r="G41" s="20">
        <f t="shared" si="13"/>
        <v>440514530</v>
      </c>
      <c r="H41" s="20">
        <f t="shared" si="13"/>
        <v>542765469.9</v>
      </c>
      <c r="I41" s="20">
        <f t="shared" si="13"/>
        <v>3816640</v>
      </c>
      <c r="J41" s="20">
        <f t="shared" si="13"/>
        <v>0</v>
      </c>
      <c r="K41" s="20">
        <f t="shared" si="13"/>
        <v>0</v>
      </c>
      <c r="L41" s="20">
        <f t="shared" si="13"/>
        <v>186689683.1</v>
      </c>
      <c r="M41" s="20">
        <f t="shared" si="13"/>
        <v>0</v>
      </c>
      <c r="N41" s="20">
        <f t="shared" si="13"/>
        <v>0</v>
      </c>
      <c r="O41" s="20">
        <f t="shared" si="13"/>
        <v>82084660975</v>
      </c>
      <c r="P41" s="20">
        <f t="shared" si="13"/>
        <v>11813384527</v>
      </c>
      <c r="Q41" s="20">
        <f t="shared" si="13"/>
        <v>13304527000</v>
      </c>
      <c r="R41" s="20">
        <f t="shared" si="13"/>
        <v>2470324411</v>
      </c>
      <c r="S41" s="20">
        <f t="shared" si="13"/>
        <v>139928674974</v>
      </c>
      <c r="T41" s="20">
        <f t="shared" si="13"/>
        <v>159011775624</v>
      </c>
      <c r="U41" s="20">
        <f t="shared" si="13"/>
        <v>472704432465</v>
      </c>
      <c r="V41" s="20">
        <f t="shared" si="13"/>
        <v>1569560802</v>
      </c>
      <c r="W41" s="20">
        <f t="shared" si="13"/>
        <v>0</v>
      </c>
      <c r="X41" s="20">
        <f t="shared" si="13"/>
        <v>0</v>
      </c>
      <c r="Y41" s="20">
        <f t="shared" si="13"/>
        <v>47237013710</v>
      </c>
      <c r="Z41" s="20">
        <f t="shared" si="13"/>
        <v>0</v>
      </c>
      <c r="AA41" s="20">
        <f t="shared" si="13"/>
        <v>0</v>
      </c>
    </row>
    <row r="42" ht="15.75" customHeight="1">
      <c r="A42" s="28" t="s">
        <v>58</v>
      </c>
      <c r="B42" s="20">
        <f t="shared" ref="B42:AA42" si="14">B24</f>
        <v>3149623.7</v>
      </c>
      <c r="C42" s="20">
        <f t="shared" si="14"/>
        <v>1817328</v>
      </c>
      <c r="D42" s="20">
        <f t="shared" si="14"/>
        <v>731244.4113</v>
      </c>
      <c r="E42" s="20">
        <f t="shared" si="14"/>
        <v>270138.081</v>
      </c>
      <c r="F42" s="20">
        <f t="shared" si="14"/>
        <v>4711338.6</v>
      </c>
      <c r="G42" s="20">
        <f t="shared" si="14"/>
        <v>8969032.66</v>
      </c>
      <c r="H42" s="20">
        <f t="shared" si="14"/>
        <v>10619703.1</v>
      </c>
      <c r="I42" s="20">
        <f t="shared" si="14"/>
        <v>71085</v>
      </c>
      <c r="J42" s="20">
        <f t="shared" si="14"/>
        <v>0</v>
      </c>
      <c r="K42" s="20">
        <f t="shared" si="14"/>
        <v>0</v>
      </c>
      <c r="L42" s="20">
        <f t="shared" si="14"/>
        <v>5460503.613</v>
      </c>
      <c r="M42" s="20">
        <f t="shared" si="14"/>
        <v>0</v>
      </c>
      <c r="N42" s="20">
        <f t="shared" si="14"/>
        <v>0</v>
      </c>
      <c r="O42" s="20">
        <f t="shared" si="14"/>
        <v>852195144.9</v>
      </c>
      <c r="P42" s="20">
        <f t="shared" si="14"/>
        <v>284886296</v>
      </c>
      <c r="Q42" s="20">
        <f t="shared" si="14"/>
        <v>135003786.3</v>
      </c>
      <c r="R42" s="20">
        <f t="shared" si="14"/>
        <v>44160606.2</v>
      </c>
      <c r="S42" s="20">
        <f t="shared" si="14"/>
        <v>2438466221</v>
      </c>
      <c r="T42" s="20">
        <f t="shared" si="14"/>
        <v>5582609650</v>
      </c>
      <c r="U42" s="20">
        <f t="shared" si="14"/>
        <v>39652149012</v>
      </c>
      <c r="V42" s="20">
        <f t="shared" si="14"/>
        <v>25061039.68</v>
      </c>
      <c r="W42" s="20">
        <f t="shared" si="14"/>
        <v>0</v>
      </c>
      <c r="X42" s="20">
        <f t="shared" si="14"/>
        <v>0</v>
      </c>
      <c r="Y42" s="20">
        <f t="shared" si="14"/>
        <v>1105435330</v>
      </c>
      <c r="Z42" s="20">
        <f t="shared" si="14"/>
        <v>0</v>
      </c>
      <c r="AA42" s="20">
        <f t="shared" si="14"/>
        <v>0</v>
      </c>
    </row>
    <row r="43" ht="15.75" customHeight="1">
      <c r="A43" s="19" t="s">
        <v>59</v>
      </c>
      <c r="B43" s="20">
        <f t="shared" ref="B43:N43" si="15">SUM(B36:B40)</f>
        <v>1668962085</v>
      </c>
      <c r="C43" s="20">
        <f t="shared" si="15"/>
        <v>934299227.7</v>
      </c>
      <c r="D43" s="20">
        <f t="shared" si="15"/>
        <v>7044877391</v>
      </c>
      <c r="E43" s="20">
        <f t="shared" si="15"/>
        <v>457618028</v>
      </c>
      <c r="F43" s="20">
        <f t="shared" si="15"/>
        <v>1396399359</v>
      </c>
      <c r="G43" s="20">
        <f t="shared" si="15"/>
        <v>1506131436</v>
      </c>
      <c r="H43" s="20">
        <f t="shared" si="15"/>
        <v>27267304166</v>
      </c>
      <c r="I43" s="20">
        <f t="shared" si="15"/>
        <v>26905618.4</v>
      </c>
      <c r="J43" s="20">
        <f t="shared" si="15"/>
        <v>25203443673</v>
      </c>
      <c r="K43" s="20">
        <f t="shared" si="15"/>
        <v>5876150331</v>
      </c>
      <c r="L43" s="20">
        <f t="shared" si="15"/>
        <v>2042925110</v>
      </c>
      <c r="M43" s="20">
        <f t="shared" si="15"/>
        <v>6288396.08</v>
      </c>
      <c r="N43" s="20">
        <f t="shared" si="15"/>
        <v>1296726456</v>
      </c>
      <c r="O43" s="20">
        <f t="shared" ref="O43:AA43" si="16">SUM(O36:O42)</f>
        <v>1993130885558</v>
      </c>
      <c r="P43" s="20">
        <f t="shared" si="16"/>
        <v>481337436476</v>
      </c>
      <c r="Q43" s="20">
        <f t="shared" si="16"/>
        <v>3343097079612</v>
      </c>
      <c r="R43" s="20">
        <f t="shared" si="16"/>
        <v>550824079804</v>
      </c>
      <c r="S43" s="20">
        <f t="shared" si="16"/>
        <v>1720764662477</v>
      </c>
      <c r="T43" s="20">
        <f t="shared" si="16"/>
        <v>1502620410386</v>
      </c>
      <c r="U43" s="20">
        <f t="shared" si="16"/>
        <v>11389673930960</v>
      </c>
      <c r="V43" s="20">
        <f t="shared" si="16"/>
        <v>377315013513</v>
      </c>
      <c r="W43" s="20">
        <f t="shared" si="16"/>
        <v>16443494755899</v>
      </c>
      <c r="X43" s="20">
        <f t="shared" si="16"/>
        <v>1729622271248</v>
      </c>
      <c r="Y43" s="20">
        <f t="shared" si="16"/>
        <v>1020768350703</v>
      </c>
      <c r="Z43" s="20">
        <f t="shared" si="16"/>
        <v>24033987911</v>
      </c>
      <c r="AA43" s="20">
        <f t="shared" si="16"/>
        <v>123582544622</v>
      </c>
    </row>
    <row r="44" ht="15.75" customHeight="1">
      <c r="A44" s="19" t="s">
        <v>60</v>
      </c>
      <c r="N44" s="20">
        <f>sum(B36:N42)/1000000000000</f>
        <v>0.07642383197</v>
      </c>
      <c r="AA44" s="20">
        <f>sum(O43:AA43)/1000000000000</f>
        <v>40.70026541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</sheetData>
  <mergeCells count="4">
    <mergeCell ref="B1:N1"/>
    <mergeCell ref="O1:AA1"/>
    <mergeCell ref="B34:N34"/>
    <mergeCell ref="O34:AA3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2025-05-29T19:38:39Z</dcterms:created>
  <dc:creator>openpyxl</dc:creator>
</cp:coreProperties>
</file>