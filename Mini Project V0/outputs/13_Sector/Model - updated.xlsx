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Graphs" sheetId="2" r:id="rId5"/>
  </sheets>
  <definedNames/>
  <calcPr/>
  <extLst>
    <ext uri="GoogleSheetsCustomDataVersion2">
      <go:sheetsCustomData xmlns:go="http://customooxmlschemas.google.com/" r:id="rId6" roundtripDataChecksum="1nM/XksJl5jTys0j5kICwPgd8UoCQKyZiqmrTTmV0tw="/>
    </ext>
  </extLst>
</workbook>
</file>

<file path=xl/sharedStrings.xml><?xml version="1.0" encoding="utf-8"?>
<sst xmlns="http://schemas.openxmlformats.org/spreadsheetml/2006/main" count="470" uniqueCount="69">
  <si>
    <t>SuperRegion</t>
  </si>
  <si>
    <t>AT</t>
  </si>
  <si>
    <t>World_but_AT</t>
  </si>
  <si>
    <t>Aggregated_Sector</t>
  </si>
  <si>
    <t>Plant cultivation</t>
  </si>
  <si>
    <t>Plant processing</t>
  </si>
  <si>
    <t>Animal husbandry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</si>
  <si>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</si>
  <si>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</si>
  <si>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</si>
  <si>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</si>
  <si>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</si>
  <si>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</si>
  <si>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</si>
  <si>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</si>
  <si>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</si>
  <si>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</si>
  <si>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</si>
  <si>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</si>
  <si>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</si>
  <si>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</si>
  <si>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</si>
  <si>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</si>
  <si>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</si>
  <si>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Y_Region</t>
  </si>
  <si>
    <t>Y_Exports</t>
  </si>
  <si>
    <t>Y_Total Demand</t>
  </si>
  <si>
    <t>X_Total Output</t>
  </si>
  <si>
    <t>Value Added</t>
  </si>
  <si>
    <t>GDP</t>
  </si>
  <si>
    <t>Sum Inter-Industry Input</t>
  </si>
  <si>
    <t>X_Total Industry Input (Output)</t>
  </si>
  <si>
    <t>Environmental Emissions (scope 1) - M Matrix</t>
  </si>
  <si>
    <t>Emissions</t>
  </si>
  <si>
    <t>CO2</t>
  </si>
  <si>
    <t>CH4 Fossil (CO2 eq)</t>
  </si>
  <si>
    <t>CH4 non-fossil (CO2 eq)</t>
  </si>
  <si>
    <t>NO2 (CO2 eq)</t>
  </si>
  <si>
    <t>SF6 (CO2 eq)</t>
  </si>
  <si>
    <t>Total (CO2 eq)</t>
  </si>
  <si>
    <t>Mass</t>
  </si>
  <si>
    <t>Plants (4-16)</t>
  </si>
  <si>
    <t>Feed (17-19)</t>
  </si>
  <si>
    <t>Forestry (20-22)</t>
  </si>
  <si>
    <t>Fish (23-25)</t>
  </si>
  <si>
    <t>Fossil fuels (26-35)</t>
  </si>
  <si>
    <t>Metallic (36-50)</t>
  </si>
  <si>
    <t>Non-metallic (51-64)</t>
  </si>
  <si>
    <t>Total material</t>
  </si>
  <si>
    <t>Environmental Coefficient E</t>
  </si>
  <si>
    <t>Multiplier</t>
  </si>
  <si>
    <t>1/x hat Matrix</t>
  </si>
  <si>
    <t>E-hat GHG</t>
  </si>
  <si>
    <t>Technical Coefficient Matrix A</t>
  </si>
  <si>
    <t>E-hat Mass (Plants)</t>
  </si>
  <si>
    <t>Identity Matrix 1</t>
  </si>
  <si>
    <t>E-hat Mass (Feed)</t>
  </si>
  <si>
    <t>1-A</t>
  </si>
  <si>
    <t>E_hat_GHG*L*Y_hat</t>
  </si>
  <si>
    <t>Direct output</t>
  </si>
  <si>
    <t>Leontif Inverse Matrix L</t>
  </si>
  <si>
    <t>Footprint</t>
  </si>
  <si>
    <t>E_hat_Mat*L*Y_hat (Plants)</t>
  </si>
  <si>
    <t>y-hat Matrix</t>
  </si>
  <si>
    <t>E_hat_Mat*L*Y_hat (Feed)</t>
  </si>
  <si>
    <t>GHG</t>
  </si>
  <si>
    <t>Total</t>
  </si>
  <si>
    <t>Mat (Plants)</t>
  </si>
  <si>
    <t>Mat (Feed)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</si>
</sst>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5" fillId="0" fontId="3" numFmtId="0" xfId="0" applyBorder="1" applyFont="1"/>
    <xf borderId="3" fillId="0" fontId="1" numFmtId="0" xfId="0" applyAlignment="1" applyBorder="1" applyFont="1">
      <alignment horizontal="left" vertical="top"/>
    </xf>
    <xf borderId="9" fillId="0" fontId="2" numFmtId="0" xfId="0" applyBorder="1" applyFont="1"/>
    <xf borderId="10" fillId="0" fontId="3" numFmtId="0" xfId="0" applyBorder="1" applyFont="1"/>
    <xf borderId="0" fillId="0" fontId="3" numFmtId="0" xfId="0" applyFont="1"/>
    <xf borderId="11" fillId="0" fontId="3" numFmtId="0" xfId="0" applyBorder="1" applyFont="1"/>
    <xf borderId="9" fillId="0" fontId="3" numFmtId="0" xfId="0" applyBorder="1" applyFont="1"/>
    <xf borderId="12" fillId="0" fontId="2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2" fillId="0" fontId="3" numFmtId="0" xfId="0" applyBorder="1" applyFont="1"/>
    <xf borderId="10" fillId="0" fontId="1" numFmtId="0" xfId="0" applyAlignment="1" applyBorder="1" applyFont="1">
      <alignment horizontal="left" vertical="top"/>
    </xf>
    <xf borderId="16" fillId="2" fontId="3" numFmtId="0" xfId="0" applyAlignment="1" applyBorder="1" applyFill="1" applyFont="1">
      <alignment horizontal="center"/>
    </xf>
    <xf borderId="17" fillId="0" fontId="2" numFmtId="0" xfId="0" applyBorder="1" applyFont="1"/>
    <xf borderId="18" fillId="2" fontId="3" numFmtId="0" xfId="0" applyBorder="1" applyFont="1"/>
    <xf borderId="9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19" fillId="3" fontId="3" numFmtId="0" xfId="0" applyBorder="1" applyFill="1" applyFont="1"/>
    <xf borderId="20" fillId="4" fontId="3" numFmtId="0" xfId="0" applyBorder="1" applyFill="1" applyFont="1"/>
    <xf borderId="20" fillId="5" fontId="3" numFmtId="0" xfId="0" applyBorder="1" applyFill="1" applyFont="1"/>
    <xf borderId="20" fillId="6" fontId="3" numFmtId="0" xfId="0" applyBorder="1" applyFill="1" applyFont="1"/>
    <xf borderId="20" fillId="7" fontId="3" numFmtId="0" xfId="0" applyBorder="1" applyFill="1" applyFont="1"/>
    <xf borderId="12" fillId="0" fontId="1" numFmtId="0" xfId="0" applyAlignment="1" applyBorder="1" applyFont="1">
      <alignment horizontal="center" vertical="top"/>
    </xf>
    <xf borderId="13" fillId="0" fontId="1" numFmtId="0" xfId="0" applyAlignment="1" applyBorder="1" applyFont="1">
      <alignment horizontal="center" vertical="top"/>
    </xf>
    <xf borderId="14" fillId="0" fontId="2" numFmtId="0" xfId="0" applyBorder="1" applyFont="1"/>
    <xf borderId="15" fillId="0" fontId="2" numFmtId="0" xfId="0" applyBorder="1" applyFont="1"/>
    <xf borderId="0" fillId="0" fontId="1" numFmtId="0" xfId="0" applyFont="1"/>
    <xf borderId="1" fillId="0" fontId="1" numFmtId="0" xfId="0" applyBorder="1" applyFont="1"/>
    <xf borderId="1" fillId="0" fontId="3" numFmtId="0" xfId="0" applyBorder="1" applyFont="1"/>
    <xf borderId="3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GHG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Graphs!$C$2:$O$2</c:f>
            </c:strRef>
          </c:cat>
          <c:val>
            <c:numRef>
              <c:f>Graphs!$C$3:$O$3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Graphs!$C$2:$O$2</c:f>
            </c:strRef>
          </c:cat>
          <c:val>
            <c:numRef>
              <c:f>Graphs!$C$4:$O$4</c:f>
              <c:numCache/>
            </c:numRef>
          </c:val>
        </c:ser>
        <c:axId val="1780106638"/>
        <c:axId val="132722429"/>
      </c:barChart>
      <c:catAx>
        <c:axId val="1780106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722429"/>
      </c:catAx>
      <c:valAx>
        <c:axId val="132722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010663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ROW GHG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Graphs!$Q$2:$AC$2</c:f>
            </c:strRef>
          </c:cat>
          <c:val>
            <c:numRef>
              <c:f>Graphs!$Q$3:$AC$3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Graphs!$Q$2:$AC$2</c:f>
            </c:strRef>
          </c:cat>
          <c:val>
            <c:numRef>
              <c:f>Graphs!$Q$4:$AC$4</c:f>
              <c:numCache/>
            </c:numRef>
          </c:val>
        </c:ser>
        <c:axId val="450565080"/>
        <c:axId val="1710312853"/>
      </c:barChart>
      <c:catAx>
        <c:axId val="45056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0312853"/>
      </c:catAx>
      <c:valAx>
        <c:axId val="1710312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056508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Mat (Plants)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Graphs!$C$27:$O$27</c:f>
            </c:strRef>
          </c:cat>
          <c:val>
            <c:numRef>
              <c:f>Graphs!$C$28:$O$28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Graphs!$C$27:$O$27</c:f>
            </c:strRef>
          </c:cat>
          <c:val>
            <c:numRef>
              <c:f>Graphs!$C$29:$O$29</c:f>
              <c:numCache/>
            </c:numRef>
          </c:val>
        </c:ser>
        <c:axId val="2849885"/>
        <c:axId val="2098398792"/>
      </c:barChart>
      <c:catAx>
        <c:axId val="284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8398792"/>
      </c:catAx>
      <c:valAx>
        <c:axId val="2098398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498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ROW Mat (Plants)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Graphs!$Q$27:$AC$27</c:f>
            </c:strRef>
          </c:cat>
          <c:val>
            <c:numRef>
              <c:f>Graphs!$Q$28:$AC$28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Graphs!$Q$27:$AC$27</c:f>
            </c:strRef>
          </c:cat>
          <c:val>
            <c:numRef>
              <c:f>Graphs!$Q$29:$AC$29</c:f>
              <c:numCache/>
            </c:numRef>
          </c:val>
        </c:ser>
        <c:axId val="470002275"/>
        <c:axId val="1043541730"/>
      </c:barChart>
      <c:catAx>
        <c:axId val="470002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3541730"/>
      </c:catAx>
      <c:valAx>
        <c:axId val="1043541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00022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Mat (Feed)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Graphs!$C$53:$O$53</c:f>
            </c:strRef>
          </c:cat>
          <c:val>
            <c:numRef>
              <c:f>Graphs!$C$54:$O$54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Graphs!$C$53:$O$53</c:f>
            </c:strRef>
          </c:cat>
          <c:val>
            <c:numRef>
              <c:f>Graphs!$C$55:$O$55</c:f>
              <c:numCache/>
            </c:numRef>
          </c:val>
        </c:ser>
        <c:axId val="1181318256"/>
        <c:axId val="1473273485"/>
      </c:barChart>
      <c:catAx>
        <c:axId val="118131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3273485"/>
      </c:catAx>
      <c:valAx>
        <c:axId val="1473273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13182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ROW Mat (Feed)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Graphs!$Q$53:$AC$53</c:f>
            </c:strRef>
          </c:cat>
          <c:val>
            <c:numRef>
              <c:f>Graphs!$Q$54:$AC$54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Graphs!$Q$53:$AC$53</c:f>
            </c:strRef>
          </c:cat>
          <c:val>
            <c:numRef>
              <c:f>Graphs!$Q$55:$AC$55</c:f>
              <c:numCache/>
            </c:numRef>
          </c:val>
        </c:ser>
        <c:axId val="363240349"/>
        <c:axId val="267065959"/>
      </c:barChart>
      <c:catAx>
        <c:axId val="363240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7065959"/>
      </c:catAx>
      <c:valAx>
        <c:axId val="267065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32403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4</xdr:row>
      <xdr:rowOff>123825</xdr:rowOff>
    </xdr:from>
    <xdr:ext cx="5591175" cy="3609975"/>
    <xdr:graphicFrame>
      <xdr:nvGraphicFramePr>
        <xdr:cNvPr id="57373383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47625</xdr:colOff>
      <xdr:row>4</xdr:row>
      <xdr:rowOff>104775</xdr:rowOff>
    </xdr:from>
    <xdr:ext cx="5867400" cy="3638550"/>
    <xdr:graphicFrame>
      <xdr:nvGraphicFramePr>
        <xdr:cNvPr id="157981468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495300</xdr:colOff>
      <xdr:row>29</xdr:row>
      <xdr:rowOff>57150</xdr:rowOff>
    </xdr:from>
    <xdr:ext cx="5419725" cy="4019550"/>
    <xdr:graphicFrame>
      <xdr:nvGraphicFramePr>
        <xdr:cNvPr id="83447197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523875</xdr:colOff>
      <xdr:row>29</xdr:row>
      <xdr:rowOff>57150</xdr:rowOff>
    </xdr:from>
    <xdr:ext cx="6400800" cy="4000500"/>
    <xdr:graphicFrame>
      <xdr:nvGraphicFramePr>
        <xdr:cNvPr id="42859532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533400</xdr:colOff>
      <xdr:row>55</xdr:row>
      <xdr:rowOff>114300</xdr:rowOff>
    </xdr:from>
    <xdr:ext cx="5305425" cy="3990975"/>
    <xdr:graphicFrame>
      <xdr:nvGraphicFramePr>
        <xdr:cNvPr id="96987579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476250</xdr:colOff>
      <xdr:row>55</xdr:row>
      <xdr:rowOff>123825</xdr:rowOff>
    </xdr:from>
    <xdr:ext cx="6438900" cy="3971925"/>
    <xdr:graphicFrame>
      <xdr:nvGraphicFramePr>
        <xdr:cNvPr id="27367611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7.57"/>
    <col customWidth="1" min="3" max="3" width="11.86"/>
    <col customWidth="1" min="4" max="4" width="12.14"/>
    <col customWidth="1" min="5" max="5" width="11.57"/>
    <col customWidth="1" min="6" max="6" width="11.86"/>
    <col customWidth="1" min="7" max="7" width="12.0"/>
    <col customWidth="1" min="8" max="8" width="10.71"/>
    <col customWidth="1" min="9" max="9" width="10.86"/>
    <col customWidth="1" min="10" max="10" width="11.71"/>
    <col customWidth="1" min="11" max="12" width="11.86"/>
    <col customWidth="1" min="13" max="13" width="11.0"/>
    <col customWidth="1" min="14" max="14" width="10.29"/>
    <col customWidth="1" min="15" max="16" width="11.86"/>
    <col customWidth="1" min="17" max="17" width="12.14"/>
    <col customWidth="1" min="18" max="18" width="12.0"/>
    <col customWidth="1" min="19" max="20" width="10.86"/>
    <col customWidth="1" min="21" max="21" width="11.57"/>
    <col customWidth="1" min="22" max="22" width="11.86"/>
    <col customWidth="1" min="23" max="24" width="11.57"/>
    <col customWidth="1" min="25" max="25" width="10.14"/>
    <col customWidth="1" min="26" max="26" width="9.43"/>
    <col customWidth="1" min="27" max="27" width="9.71"/>
    <col customWidth="1" min="28" max="28" width="11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2" t="s">
        <v>1</v>
      </c>
      <c r="AD1" s="3"/>
      <c r="AE1" s="3"/>
      <c r="AF1" s="3"/>
      <c r="AG1" s="3"/>
      <c r="AH1" s="3"/>
      <c r="AI1" s="4"/>
      <c r="AJ1" s="2" t="s">
        <v>2</v>
      </c>
      <c r="AK1" s="3"/>
      <c r="AL1" s="3"/>
      <c r="AM1" s="3"/>
      <c r="AN1" s="3"/>
      <c r="AO1" s="3"/>
      <c r="AP1" s="4"/>
      <c r="AU1" s="1" t="s">
        <v>0</v>
      </c>
    </row>
    <row r="2">
      <c r="A2" s="1" t="s">
        <v>0</v>
      </c>
      <c r="B2" s="1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4</v>
      </c>
      <c r="Q2" s="5" t="s">
        <v>5</v>
      </c>
      <c r="R2" s="5" t="s">
        <v>6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5" t="s">
        <v>14</v>
      </c>
      <c r="AA2" s="5" t="s">
        <v>15</v>
      </c>
      <c r="AB2" s="5" t="s">
        <v>16</v>
      </c>
      <c r="AC2" s="5" t="s">
        <v>17</v>
      </c>
      <c r="AD2" s="5" t="s">
        <v>18</v>
      </c>
      <c r="AE2" s="5" t="s">
        <v>19</v>
      </c>
      <c r="AF2" s="5" t="s">
        <v>20</v>
      </c>
      <c r="AG2" s="5" t="s">
        <v>21</v>
      </c>
      <c r="AH2" s="5" t="s">
        <v>22</v>
      </c>
      <c r="AI2" s="5" t="s">
        <v>23</v>
      </c>
      <c r="AJ2" s="5" t="s">
        <v>17</v>
      </c>
      <c r="AK2" s="5" t="s">
        <v>18</v>
      </c>
      <c r="AL2" s="5" t="s">
        <v>19</v>
      </c>
      <c r="AM2" s="5" t="s">
        <v>20</v>
      </c>
      <c r="AN2" s="5" t="s">
        <v>21</v>
      </c>
      <c r="AO2" s="5" t="s">
        <v>22</v>
      </c>
      <c r="AP2" s="6" t="s">
        <v>23</v>
      </c>
      <c r="AQ2" s="5" t="s">
        <v>24</v>
      </c>
      <c r="AR2" s="5" t="s">
        <v>25</v>
      </c>
      <c r="AS2" s="5" t="s">
        <v>26</v>
      </c>
      <c r="AT2" s="5" t="s">
        <v>27</v>
      </c>
      <c r="AU2" s="7" t="s">
        <v>3</v>
      </c>
      <c r="AV2" s="1" t="s">
        <v>0</v>
      </c>
    </row>
    <row r="3">
      <c r="A3" s="8" t="s">
        <v>1</v>
      </c>
      <c r="B3" s="6" t="s">
        <v>4</v>
      </c>
      <c r="C3" s="9">
        <v>230.6825588427182</v>
      </c>
      <c r="D3" s="10">
        <v>721.398149289306</v>
      </c>
      <c r="E3" s="10">
        <v>327.4707849464996</v>
      </c>
      <c r="F3" s="10">
        <v>0.04654267067515479</v>
      </c>
      <c r="G3" s="10">
        <v>0.0030308331385438</v>
      </c>
      <c r="H3" s="10">
        <v>0.11128201179599</v>
      </c>
      <c r="I3" s="10">
        <v>55.34304704974451</v>
      </c>
      <c r="J3" s="10">
        <v>0.0271263598617762</v>
      </c>
      <c r="K3" s="10">
        <v>24.38816253123899</v>
      </c>
      <c r="L3" s="10">
        <v>32.10877986682696</v>
      </c>
      <c r="M3" s="10">
        <v>0.005571896243849099</v>
      </c>
      <c r="N3" s="10">
        <v>0.00826059190177</v>
      </c>
      <c r="O3" s="10">
        <v>78.2820970824405</v>
      </c>
      <c r="P3" s="10">
        <v>40.30720739203209</v>
      </c>
      <c r="Q3" s="10">
        <v>486.1351597662988</v>
      </c>
      <c r="R3" s="10">
        <v>211.8866897520539</v>
      </c>
      <c r="S3" s="10">
        <v>4.653765603528826</v>
      </c>
      <c r="T3" s="10">
        <v>0.6702289584321992</v>
      </c>
      <c r="U3" s="10">
        <v>17.87202854023849</v>
      </c>
      <c r="V3" s="10">
        <v>165.1393429924308</v>
      </c>
      <c r="W3" s="10">
        <v>4.185157214728063</v>
      </c>
      <c r="X3" s="10">
        <v>66.78056917350628</v>
      </c>
      <c r="Y3" s="10">
        <v>195.4649021118397</v>
      </c>
      <c r="Z3" s="10">
        <v>1.458538759546562</v>
      </c>
      <c r="AA3" s="10">
        <v>0.04394830551274112</v>
      </c>
      <c r="AB3" s="11">
        <v>65.56035528430286</v>
      </c>
      <c r="AC3" s="9">
        <v>462.26954373294</v>
      </c>
      <c r="AD3" s="10">
        <v>7.31443873378E-4</v>
      </c>
      <c r="AE3" s="10">
        <v>0.0452800470749373</v>
      </c>
      <c r="AF3" s="10">
        <v>31.99376784449027</v>
      </c>
      <c r="AG3" s="10">
        <v>7.419107842632901</v>
      </c>
      <c r="AH3" s="10">
        <v>2.41139494014469</v>
      </c>
      <c r="AI3" s="10">
        <v>0.0</v>
      </c>
      <c r="AJ3" s="10">
        <v>636.9865086661871</v>
      </c>
      <c r="AK3" s="10">
        <v>0.02299175326345493</v>
      </c>
      <c r="AL3" s="10">
        <v>3.654546038884813</v>
      </c>
      <c r="AM3" s="10">
        <v>0.7648449913303524</v>
      </c>
      <c r="AN3" s="10">
        <v>177.9850180194541</v>
      </c>
      <c r="AO3" s="10">
        <v>0.04771269979099789</v>
      </c>
      <c r="AP3" s="10">
        <v>0.0</v>
      </c>
      <c r="AQ3" s="9">
        <f t="shared" ref="AQ3:AQ15" si="1">SUM(AC3:AI3)</f>
        <v>504.1398259</v>
      </c>
      <c r="AR3" s="10">
        <f t="shared" ref="AR3:AR15" si="2">SUM(AJ3:AP3)</f>
        <v>819.4616222</v>
      </c>
      <c r="AS3" s="11">
        <f t="shared" ref="AS3:AS28" si="3">AQ3+AR3</f>
        <v>1323.601448</v>
      </c>
      <c r="AT3" s="12">
        <f t="shared" ref="AT3:AT28" si="4">SUM(C3:AP3)</f>
        <v>4053.634736</v>
      </c>
      <c r="AU3" s="13" t="s">
        <v>4</v>
      </c>
      <c r="AV3" s="8" t="s">
        <v>1</v>
      </c>
    </row>
    <row r="4">
      <c r="A4" s="14"/>
      <c r="B4" s="6" t="s">
        <v>5</v>
      </c>
      <c r="C4" s="15">
        <v>0.705237943619224</v>
      </c>
      <c r="D4" s="16">
        <v>1518.784461629913</v>
      </c>
      <c r="E4" s="16">
        <v>447.3695204423787</v>
      </c>
      <c r="F4" s="16">
        <v>47.795142953213</v>
      </c>
      <c r="G4" s="16">
        <v>1.911482828279651</v>
      </c>
      <c r="H4" s="16">
        <v>0.803133587523744</v>
      </c>
      <c r="I4" s="16">
        <v>139.8289803361479</v>
      </c>
      <c r="J4" s="16">
        <v>0.07657338435450156</v>
      </c>
      <c r="K4" s="16">
        <v>112.1042821989607</v>
      </c>
      <c r="L4" s="16">
        <v>352.1704166738915</v>
      </c>
      <c r="M4" s="16">
        <v>3.718310820191173</v>
      </c>
      <c r="N4" s="16">
        <v>0.1654355560711143</v>
      </c>
      <c r="O4" s="16">
        <v>1038.268452491003</v>
      </c>
      <c r="P4" s="16">
        <v>15.26984631922429</v>
      </c>
      <c r="Q4" s="16">
        <v>1482.935400375825</v>
      </c>
      <c r="R4" s="16">
        <v>346.175438664323</v>
      </c>
      <c r="S4" s="16">
        <v>244.7059049853799</v>
      </c>
      <c r="T4" s="16">
        <v>1.026992328879263</v>
      </c>
      <c r="U4" s="16">
        <v>62.8180448869544</v>
      </c>
      <c r="V4" s="16">
        <v>594.5556029093214</v>
      </c>
      <c r="W4" s="16">
        <v>25.66415787274309</v>
      </c>
      <c r="X4" s="16">
        <v>381.583020767675</v>
      </c>
      <c r="Y4" s="16">
        <v>683.8992441980733</v>
      </c>
      <c r="Z4" s="16">
        <v>9.966696327717464</v>
      </c>
      <c r="AA4" s="16">
        <v>0.8577028659727375</v>
      </c>
      <c r="AB4" s="17">
        <v>1040.578569262113</v>
      </c>
      <c r="AC4" s="15">
        <v>7057.71319987174</v>
      </c>
      <c r="AD4" s="16">
        <v>0.04379945187942184</v>
      </c>
      <c r="AE4" s="16">
        <v>10.96790540155965</v>
      </c>
      <c r="AF4" s="16">
        <v>51.2179258594579</v>
      </c>
      <c r="AG4" s="16">
        <v>18.98375831590186</v>
      </c>
      <c r="AH4" s="16">
        <v>6.15235544872364</v>
      </c>
      <c r="AI4" s="16">
        <v>0.0</v>
      </c>
      <c r="AJ4" s="16">
        <v>9658.239083171053</v>
      </c>
      <c r="AK4" s="16">
        <v>1.68854075212825</v>
      </c>
      <c r="AL4" s="16">
        <v>15.74579666996446</v>
      </c>
      <c r="AM4" s="16">
        <v>8.735263396971614</v>
      </c>
      <c r="AN4" s="16">
        <v>-12.64663509281358</v>
      </c>
      <c r="AO4" s="16">
        <v>1.944100741099595</v>
      </c>
      <c r="AP4" s="16">
        <v>0.0</v>
      </c>
      <c r="AQ4" s="15">
        <f t="shared" si="1"/>
        <v>7145.078944</v>
      </c>
      <c r="AR4" s="16">
        <f t="shared" si="2"/>
        <v>9673.70615</v>
      </c>
      <c r="AS4" s="17">
        <f t="shared" si="3"/>
        <v>16818.78509</v>
      </c>
      <c r="AT4" s="18">
        <f t="shared" si="4"/>
        <v>25372.52315</v>
      </c>
      <c r="AU4" s="13" t="s">
        <v>5</v>
      </c>
      <c r="AV4" s="14"/>
    </row>
    <row r="5">
      <c r="A5" s="14"/>
      <c r="B5" s="6" t="s">
        <v>6</v>
      </c>
      <c r="C5" s="15">
        <v>0.1695103931088819</v>
      </c>
      <c r="D5" s="16">
        <v>279.1770305428609</v>
      </c>
      <c r="E5" s="16">
        <v>11.70119233429133</v>
      </c>
      <c r="F5" s="16">
        <v>844.6913707519323</v>
      </c>
      <c r="G5" s="16">
        <v>0.19585693981851</v>
      </c>
      <c r="H5" s="16">
        <v>0.253008871149416</v>
      </c>
      <c r="I5" s="16">
        <v>29.78388260613794</v>
      </c>
      <c r="J5" s="16">
        <v>4.59980198801896</v>
      </c>
      <c r="K5" s="16">
        <v>392.2577576742346</v>
      </c>
      <c r="L5" s="16">
        <v>31.4970288309463</v>
      </c>
      <c r="M5" s="16">
        <v>0.3828206706836231</v>
      </c>
      <c r="N5" s="16">
        <v>0.1582082851399</v>
      </c>
      <c r="O5" s="16">
        <v>57.45537546522399</v>
      </c>
      <c r="P5" s="16">
        <v>0.4984975803256112</v>
      </c>
      <c r="Q5" s="16">
        <v>28.07335577111562</v>
      </c>
      <c r="R5" s="16">
        <v>12.00277812437471</v>
      </c>
      <c r="S5" s="16">
        <v>81.2372859191868</v>
      </c>
      <c r="T5" s="16">
        <v>0.8422949849328779</v>
      </c>
      <c r="U5" s="16">
        <v>1.897815967753675</v>
      </c>
      <c r="V5" s="16">
        <v>115.7698226031406</v>
      </c>
      <c r="W5" s="16">
        <v>8.712008598710863</v>
      </c>
      <c r="X5" s="16">
        <v>62.59940418354575</v>
      </c>
      <c r="Y5" s="16">
        <v>54.23465383065651</v>
      </c>
      <c r="Z5" s="16">
        <v>3.113366354049413</v>
      </c>
      <c r="AA5" s="16">
        <v>0.04385910551496763</v>
      </c>
      <c r="AB5" s="17">
        <v>12.68987181255881</v>
      </c>
      <c r="AC5" s="15">
        <v>695.64016024556</v>
      </c>
      <c r="AD5" s="16">
        <v>0.0956286900434</v>
      </c>
      <c r="AE5" s="16">
        <v>30.24559591718313</v>
      </c>
      <c r="AF5" s="16">
        <v>1221.937853143195</v>
      </c>
      <c r="AG5" s="16">
        <v>9.095737590372465</v>
      </c>
      <c r="AH5" s="16">
        <v>2.148371080436415</v>
      </c>
      <c r="AI5" s="16">
        <v>0.0</v>
      </c>
      <c r="AJ5" s="16">
        <v>197.8533029881214</v>
      </c>
      <c r="AK5" s="16">
        <v>3.69487030151954</v>
      </c>
      <c r="AL5" s="16">
        <v>3.238761790470058</v>
      </c>
      <c r="AM5" s="16">
        <v>55.72758786367015</v>
      </c>
      <c r="AN5" s="16">
        <v>47.22766151478891</v>
      </c>
      <c r="AO5" s="16">
        <v>6.857331209931306</v>
      </c>
      <c r="AP5" s="16">
        <v>0.0</v>
      </c>
      <c r="AQ5" s="15">
        <f t="shared" si="1"/>
        <v>1959.163347</v>
      </c>
      <c r="AR5" s="16">
        <f t="shared" si="2"/>
        <v>314.5995157</v>
      </c>
      <c r="AS5" s="17">
        <f t="shared" si="3"/>
        <v>2273.762862</v>
      </c>
      <c r="AT5" s="18">
        <f t="shared" si="4"/>
        <v>4307.800723</v>
      </c>
      <c r="AU5" s="13" t="s">
        <v>6</v>
      </c>
      <c r="AV5" s="14"/>
    </row>
    <row r="6">
      <c r="A6" s="14"/>
      <c r="B6" s="6" t="s">
        <v>7</v>
      </c>
      <c r="C6" s="15">
        <v>2.831444991714129</v>
      </c>
      <c r="D6" s="16">
        <v>165.3112408006989</v>
      </c>
      <c r="E6" s="16">
        <v>53.13214710738541</v>
      </c>
      <c r="F6" s="16">
        <v>427.5006634033355</v>
      </c>
      <c r="G6" s="16">
        <v>1.086280553992809</v>
      </c>
      <c r="H6" s="16">
        <v>1.760142594834987</v>
      </c>
      <c r="I6" s="16">
        <v>126.5979093192191</v>
      </c>
      <c r="J6" s="16">
        <v>0.4214772068559149</v>
      </c>
      <c r="K6" s="16">
        <v>112.2109017307109</v>
      </c>
      <c r="L6" s="16">
        <v>414.2443971296182</v>
      </c>
      <c r="M6" s="16">
        <v>2.139832915845838</v>
      </c>
      <c r="N6" s="16">
        <v>0.4169688909517</v>
      </c>
      <c r="O6" s="16">
        <v>459.4767224525299</v>
      </c>
      <c r="P6" s="16">
        <v>20.74597252426317</v>
      </c>
      <c r="Q6" s="16">
        <v>278.3261991141882</v>
      </c>
      <c r="R6" s="16">
        <v>45.19712611624708</v>
      </c>
      <c r="S6" s="16">
        <v>591.6325091322241</v>
      </c>
      <c r="T6" s="16">
        <v>1.301886340851253</v>
      </c>
      <c r="U6" s="16">
        <v>30.89146001519529</v>
      </c>
      <c r="V6" s="16">
        <v>267.6062827374382</v>
      </c>
      <c r="W6" s="16">
        <v>4.766840355020994</v>
      </c>
      <c r="X6" s="16">
        <v>169.7570622157416</v>
      </c>
      <c r="Y6" s="16">
        <v>303.645189531622</v>
      </c>
      <c r="Z6" s="16">
        <v>2.366067712600423</v>
      </c>
      <c r="AA6" s="16">
        <v>0.5487537855722094</v>
      </c>
      <c r="AB6" s="17">
        <v>325.1102561515387</v>
      </c>
      <c r="AC6" s="15">
        <v>1506.4836687129</v>
      </c>
      <c r="AD6" s="16">
        <v>0.0232505127898673</v>
      </c>
      <c r="AE6" s="16">
        <v>24.6691922082074</v>
      </c>
      <c r="AF6" s="16">
        <v>61.64258728446999</v>
      </c>
      <c r="AG6" s="16">
        <v>9.486454263385301</v>
      </c>
      <c r="AH6" s="16">
        <v>2.4528548572334</v>
      </c>
      <c r="AI6" s="16">
        <v>0.0</v>
      </c>
      <c r="AJ6" s="16">
        <v>2648.915880994884</v>
      </c>
      <c r="AK6" s="16">
        <v>3.600550526843314</v>
      </c>
      <c r="AL6" s="16">
        <v>5.14507242233153</v>
      </c>
      <c r="AM6" s="16">
        <v>6.807631528143199</v>
      </c>
      <c r="AN6" s="16">
        <v>-184.6499897914667</v>
      </c>
      <c r="AO6" s="16">
        <v>6.867294105025226</v>
      </c>
      <c r="AP6" s="16">
        <v>0.0</v>
      </c>
      <c r="AQ6" s="15">
        <f t="shared" si="1"/>
        <v>1604.758008</v>
      </c>
      <c r="AR6" s="16">
        <f t="shared" si="2"/>
        <v>2486.68644</v>
      </c>
      <c r="AS6" s="17">
        <f t="shared" si="3"/>
        <v>4091.444448</v>
      </c>
      <c r="AT6" s="18">
        <f t="shared" si="4"/>
        <v>7900.470182</v>
      </c>
      <c r="AU6" s="13" t="s">
        <v>7</v>
      </c>
      <c r="AV6" s="14"/>
    </row>
    <row r="7">
      <c r="A7" s="14"/>
      <c r="B7" s="6" t="s">
        <v>8</v>
      </c>
      <c r="C7" s="15">
        <v>33.58089287366703</v>
      </c>
      <c r="D7" s="16">
        <v>8.351108587986765</v>
      </c>
      <c r="E7" s="16">
        <v>1.504930434155945</v>
      </c>
      <c r="F7" s="16">
        <v>11.56261032866159</v>
      </c>
      <c r="G7" s="16">
        <v>280.6696765226648</v>
      </c>
      <c r="H7" s="16">
        <v>3.333115087616119</v>
      </c>
      <c r="I7" s="16">
        <v>257.9287884792816</v>
      </c>
      <c r="J7" s="16">
        <v>0.291495958360279</v>
      </c>
      <c r="K7" s="16">
        <v>186.3918762849617</v>
      </c>
      <c r="L7" s="16">
        <v>904.5864760879349</v>
      </c>
      <c r="M7" s="16">
        <v>551.7256231561212</v>
      </c>
      <c r="N7" s="16">
        <v>1.0748559530929</v>
      </c>
      <c r="O7" s="16">
        <v>22.651082551434</v>
      </c>
      <c r="P7" s="16">
        <v>1.422474419856741</v>
      </c>
      <c r="Q7" s="16">
        <v>1.686814864428648</v>
      </c>
      <c r="R7" s="16">
        <v>2.555742005037531</v>
      </c>
      <c r="S7" s="16">
        <v>3.94791180616954</v>
      </c>
      <c r="T7" s="16">
        <v>1.411161446095036</v>
      </c>
      <c r="U7" s="16">
        <v>1.172496255562155</v>
      </c>
      <c r="V7" s="16">
        <v>28.27930673042231</v>
      </c>
      <c r="W7" s="16">
        <v>0.3560292429748874</v>
      </c>
      <c r="X7" s="16">
        <v>11.06049879009816</v>
      </c>
      <c r="Y7" s="16">
        <v>11.70575622513904</v>
      </c>
      <c r="Z7" s="16">
        <v>4.230361884662249</v>
      </c>
      <c r="AA7" s="16">
        <v>0.1989376678054956</v>
      </c>
      <c r="AB7" s="17">
        <v>0.8813743562661451</v>
      </c>
      <c r="AC7" s="15">
        <v>42.19037332436501</v>
      </c>
      <c r="AD7" s="16">
        <v>0.03373553244254699</v>
      </c>
      <c r="AE7" s="16">
        <v>5.5730160790782</v>
      </c>
      <c r="AF7" s="16">
        <v>11.550764466616</v>
      </c>
      <c r="AG7" s="16">
        <v>2.1513444972243</v>
      </c>
      <c r="AH7" s="16">
        <v>0.33941870821963</v>
      </c>
      <c r="AI7" s="16">
        <v>0.0</v>
      </c>
      <c r="AJ7" s="16">
        <v>5.161341639574866</v>
      </c>
      <c r="AK7" s="16">
        <v>0.09043336286702382</v>
      </c>
      <c r="AL7" s="16">
        <v>0.9185608210831885</v>
      </c>
      <c r="AM7" s="16">
        <v>1.538076414532215</v>
      </c>
      <c r="AN7" s="16">
        <v>0.4359034961482118</v>
      </c>
      <c r="AO7" s="16">
        <v>0.1943411404489888</v>
      </c>
      <c r="AP7" s="16">
        <v>0.0</v>
      </c>
      <c r="AQ7" s="15">
        <f t="shared" si="1"/>
        <v>61.83865261</v>
      </c>
      <c r="AR7" s="16">
        <f t="shared" si="2"/>
        <v>8.338656875</v>
      </c>
      <c r="AS7" s="17">
        <f t="shared" si="3"/>
        <v>70.17730948</v>
      </c>
      <c r="AT7" s="18">
        <f t="shared" si="4"/>
        <v>2402.738707</v>
      </c>
      <c r="AU7" s="13" t="s">
        <v>8</v>
      </c>
      <c r="AV7" s="14"/>
    </row>
    <row r="8">
      <c r="A8" s="14"/>
      <c r="B8" s="6" t="s">
        <v>9</v>
      </c>
      <c r="C8" s="15">
        <v>45.36131282424528</v>
      </c>
      <c r="D8" s="16">
        <v>37.01855253463963</v>
      </c>
      <c r="E8" s="16">
        <v>17.73572699045586</v>
      </c>
      <c r="F8" s="16">
        <v>16.43747325747489</v>
      </c>
      <c r="G8" s="16">
        <v>23.13833833732107</v>
      </c>
      <c r="H8" s="16">
        <v>1030.949528534216</v>
      </c>
      <c r="I8" s="16">
        <v>2017.035737771999</v>
      </c>
      <c r="J8" s="16">
        <v>19.19537637122243</v>
      </c>
      <c r="K8" s="16">
        <v>516.3769039457376</v>
      </c>
      <c r="L8" s="16">
        <v>292.8064476637134</v>
      </c>
      <c r="M8" s="16">
        <v>43.11902964243559</v>
      </c>
      <c r="N8" s="16">
        <v>1.68841880932867</v>
      </c>
      <c r="O8" s="16">
        <v>158.4009246547331</v>
      </c>
      <c r="P8" s="16">
        <v>96.4618714452005</v>
      </c>
      <c r="Q8" s="16">
        <v>45.68226018299182</v>
      </c>
      <c r="R8" s="16">
        <v>19.95099555318232</v>
      </c>
      <c r="S8" s="16">
        <v>37.78290954185853</v>
      </c>
      <c r="T8" s="16">
        <v>2.355327119765275</v>
      </c>
      <c r="U8" s="16">
        <v>20.90557119099398</v>
      </c>
      <c r="V8" s="16">
        <v>579.182907846251</v>
      </c>
      <c r="W8" s="16">
        <v>7.298370340444789</v>
      </c>
      <c r="X8" s="16">
        <v>193.8184751203445</v>
      </c>
      <c r="Y8" s="16">
        <v>83.52217122923365</v>
      </c>
      <c r="Z8" s="16">
        <v>7.48795403486333</v>
      </c>
      <c r="AA8" s="16">
        <v>2.838690655143451</v>
      </c>
      <c r="AB8" s="17">
        <v>60.22854429469643</v>
      </c>
      <c r="AC8" s="15">
        <v>725.0977191039</v>
      </c>
      <c r="AD8" s="16">
        <v>0.01935723415516077</v>
      </c>
      <c r="AE8" s="16">
        <v>23.7000022314734</v>
      </c>
      <c r="AF8" s="16">
        <v>134.986216157357</v>
      </c>
      <c r="AG8" s="16">
        <v>57.33814368928226</v>
      </c>
      <c r="AH8" s="16">
        <v>-5.538835757762952</v>
      </c>
      <c r="AI8" s="16">
        <v>0.0</v>
      </c>
      <c r="AJ8" s="16">
        <v>466.4587744112534</v>
      </c>
      <c r="AK8" s="16">
        <v>0.252955580578664</v>
      </c>
      <c r="AL8" s="16">
        <v>3.963291283760074</v>
      </c>
      <c r="AM8" s="16">
        <v>12.78098708119538</v>
      </c>
      <c r="AN8" s="16">
        <v>170.4893940020283</v>
      </c>
      <c r="AO8" s="16">
        <v>0.3079729900220162</v>
      </c>
      <c r="AP8" s="16">
        <v>0.0</v>
      </c>
      <c r="AQ8" s="15">
        <f t="shared" si="1"/>
        <v>935.6026027</v>
      </c>
      <c r="AR8" s="16">
        <f t="shared" si="2"/>
        <v>654.2533753</v>
      </c>
      <c r="AS8" s="17">
        <f t="shared" si="3"/>
        <v>1589.855978</v>
      </c>
      <c r="AT8" s="18">
        <f t="shared" si="4"/>
        <v>6966.635798</v>
      </c>
      <c r="AU8" s="13" t="s">
        <v>9</v>
      </c>
      <c r="AV8" s="14"/>
    </row>
    <row r="9">
      <c r="A9" s="14"/>
      <c r="B9" s="6" t="s">
        <v>10</v>
      </c>
      <c r="C9" s="15">
        <v>419.0808512079473</v>
      </c>
      <c r="D9" s="16">
        <v>780.9251806841162</v>
      </c>
      <c r="E9" s="16">
        <v>329.7363865129888</v>
      </c>
      <c r="F9" s="16">
        <v>415.8930538778218</v>
      </c>
      <c r="G9" s="16">
        <v>147.8339175903514</v>
      </c>
      <c r="H9" s="16">
        <v>426.1959929102543</v>
      </c>
      <c r="I9" s="16">
        <v>50825.42559288116</v>
      </c>
      <c r="J9" s="16">
        <v>7.600021569139187</v>
      </c>
      <c r="K9" s="16">
        <v>7584.276637244364</v>
      </c>
      <c r="L9" s="16">
        <v>20824.42654791754</v>
      </c>
      <c r="M9" s="16">
        <v>258.6424195401578</v>
      </c>
      <c r="N9" s="16">
        <v>262.0370987176017</v>
      </c>
      <c r="O9" s="16">
        <v>1219.661478623556</v>
      </c>
      <c r="P9" s="16">
        <v>516.4919389765147</v>
      </c>
      <c r="Q9" s="16">
        <v>908.1149988777707</v>
      </c>
      <c r="R9" s="16">
        <v>341.3918949028643</v>
      </c>
      <c r="S9" s="16">
        <v>631.442596534655</v>
      </c>
      <c r="T9" s="16">
        <v>48.81276479826355</v>
      </c>
      <c r="U9" s="16">
        <v>533.2044337247252</v>
      </c>
      <c r="V9" s="16">
        <v>50558.37539967799</v>
      </c>
      <c r="W9" s="16">
        <v>249.3220433323342</v>
      </c>
      <c r="X9" s="16">
        <v>4284.823932276954</v>
      </c>
      <c r="Y9" s="16">
        <v>4748.705193594134</v>
      </c>
      <c r="Z9" s="16">
        <v>145.1422634631868</v>
      </c>
      <c r="AA9" s="16">
        <v>39.23175657351524</v>
      </c>
      <c r="AB9" s="17">
        <v>273.0853420212852</v>
      </c>
      <c r="AC9" s="15">
        <v>10196.33384278691</v>
      </c>
      <c r="AD9" s="16">
        <v>2.531313186720358</v>
      </c>
      <c r="AE9" s="16">
        <v>3581.506438197316</v>
      </c>
      <c r="AF9" s="16">
        <v>52684.79886559145</v>
      </c>
      <c r="AG9" s="16">
        <v>9.434744561933229</v>
      </c>
      <c r="AH9" s="16">
        <v>-57.52735506952202</v>
      </c>
      <c r="AI9" s="16">
        <v>0.0</v>
      </c>
      <c r="AJ9" s="16">
        <v>10454.40057786092</v>
      </c>
      <c r="AK9" s="16">
        <v>31.12618350525615</v>
      </c>
      <c r="AL9" s="16">
        <v>480.4820566477221</v>
      </c>
      <c r="AM9" s="16">
        <v>11678.23702980427</v>
      </c>
      <c r="AN9" s="16">
        <v>1029.706633345001</v>
      </c>
      <c r="AO9" s="16">
        <v>2.221681088482631</v>
      </c>
      <c r="AP9" s="16">
        <v>0.0</v>
      </c>
      <c r="AQ9" s="15">
        <f t="shared" si="1"/>
        <v>66417.07785</v>
      </c>
      <c r="AR9" s="16">
        <f t="shared" si="2"/>
        <v>23676.17416</v>
      </c>
      <c r="AS9" s="17">
        <f t="shared" si="3"/>
        <v>90093.25201</v>
      </c>
      <c r="AT9" s="18">
        <f t="shared" si="4"/>
        <v>236873.1317</v>
      </c>
      <c r="AU9" s="13" t="s">
        <v>10</v>
      </c>
      <c r="AV9" s="14"/>
    </row>
    <row r="10">
      <c r="A10" s="14"/>
      <c r="B10" s="6" t="s">
        <v>11</v>
      </c>
      <c r="C10" s="15">
        <v>4.439715160149872</v>
      </c>
      <c r="D10" s="16">
        <v>69.9739740192229</v>
      </c>
      <c r="E10" s="16">
        <v>47.11581697165293</v>
      </c>
      <c r="F10" s="16">
        <v>0.182201445329043</v>
      </c>
      <c r="G10" s="16">
        <v>2.041241956271934</v>
      </c>
      <c r="H10" s="16">
        <v>0.307056258948974</v>
      </c>
      <c r="I10" s="16">
        <v>13.48677193371644</v>
      </c>
      <c r="J10" s="16">
        <v>0.005182991000349</v>
      </c>
      <c r="K10" s="16">
        <v>4.958252776565235</v>
      </c>
      <c r="L10" s="16">
        <v>22.25152307730638</v>
      </c>
      <c r="M10" s="16">
        <v>3.943432329991264</v>
      </c>
      <c r="N10" s="16">
        <v>0.0317472245207</v>
      </c>
      <c r="O10" s="16">
        <v>61.424073402316</v>
      </c>
      <c r="P10" s="16">
        <v>24.56419920994344</v>
      </c>
      <c r="Q10" s="16">
        <v>70.88470383802596</v>
      </c>
      <c r="R10" s="16">
        <v>13.37013082656243</v>
      </c>
      <c r="S10" s="16">
        <v>4.864340773864716</v>
      </c>
      <c r="T10" s="16">
        <v>0.0742247643432112</v>
      </c>
      <c r="U10" s="16">
        <v>0.5999993364928526</v>
      </c>
      <c r="V10" s="16">
        <v>44.02646667486925</v>
      </c>
      <c r="W10" s="16">
        <v>0.6002036221562548</v>
      </c>
      <c r="X10" s="16">
        <v>6.497882970563631</v>
      </c>
      <c r="Y10" s="16">
        <v>12.2021772075365</v>
      </c>
      <c r="Z10" s="16">
        <v>0.1227502189816301</v>
      </c>
      <c r="AA10" s="16">
        <v>0.01297038406512346</v>
      </c>
      <c r="AB10" s="17">
        <v>13.48361835823909</v>
      </c>
      <c r="AC10" s="15">
        <v>33.5846430597</v>
      </c>
      <c r="AD10" s="16">
        <v>0.170519011399129</v>
      </c>
      <c r="AE10" s="16">
        <v>2.642558084911</v>
      </c>
      <c r="AF10" s="16">
        <v>6.69469270437</v>
      </c>
      <c r="AG10" s="16">
        <v>0.1064959406373</v>
      </c>
      <c r="AH10" s="16">
        <v>0.24803852691695</v>
      </c>
      <c r="AI10" s="16">
        <v>0.0</v>
      </c>
      <c r="AJ10" s="16">
        <v>63.59035513477934</v>
      </c>
      <c r="AK10" s="16">
        <v>0.08048772490627329</v>
      </c>
      <c r="AL10" s="16">
        <v>10.0934520195862</v>
      </c>
      <c r="AM10" s="16">
        <v>0.4786148534877455</v>
      </c>
      <c r="AN10" s="16">
        <v>-2.625444082310151</v>
      </c>
      <c r="AO10" s="16">
        <v>0.001951967978912954</v>
      </c>
      <c r="AP10" s="16">
        <v>0.0</v>
      </c>
      <c r="AQ10" s="15">
        <f t="shared" si="1"/>
        <v>43.44694733</v>
      </c>
      <c r="AR10" s="16">
        <f t="shared" si="2"/>
        <v>71.61941762</v>
      </c>
      <c r="AS10" s="17">
        <f t="shared" si="3"/>
        <v>115.0663649</v>
      </c>
      <c r="AT10" s="18">
        <f t="shared" si="4"/>
        <v>536.5310227</v>
      </c>
      <c r="AU10" s="13" t="s">
        <v>11</v>
      </c>
      <c r="AV10" s="14"/>
    </row>
    <row r="11">
      <c r="A11" s="14"/>
      <c r="B11" s="6" t="s">
        <v>12</v>
      </c>
      <c r="C11" s="15">
        <v>243.713218561104</v>
      </c>
      <c r="D11" s="16">
        <v>1153.882100462791</v>
      </c>
      <c r="E11" s="16">
        <v>212.4640990790011</v>
      </c>
      <c r="F11" s="16">
        <v>762.3399652712844</v>
      </c>
      <c r="G11" s="16">
        <v>135.4319868493477</v>
      </c>
      <c r="H11" s="16">
        <v>468.3733057624128</v>
      </c>
      <c r="I11" s="16">
        <v>12367.6688833706</v>
      </c>
      <c r="J11" s="16">
        <v>34.07104130216199</v>
      </c>
      <c r="K11" s="16">
        <v>18158.68358465099</v>
      </c>
      <c r="L11" s="16">
        <v>10886.37029718234</v>
      </c>
      <c r="M11" s="16">
        <v>234.3608115137066</v>
      </c>
      <c r="N11" s="16">
        <v>57.48961927655036</v>
      </c>
      <c r="O11" s="16">
        <v>1662.16333315645</v>
      </c>
      <c r="P11" s="16">
        <v>395.6198580998125</v>
      </c>
      <c r="Q11" s="16">
        <v>822.1918402818251</v>
      </c>
      <c r="R11" s="16">
        <v>328.6818038088452</v>
      </c>
      <c r="S11" s="16">
        <v>633.3156415423878</v>
      </c>
      <c r="T11" s="16">
        <v>150.0165584334474</v>
      </c>
      <c r="U11" s="16">
        <v>282.1632879334293</v>
      </c>
      <c r="V11" s="16">
        <v>9778.974447884555</v>
      </c>
      <c r="W11" s="16">
        <v>117.1426887014887</v>
      </c>
      <c r="X11" s="16">
        <v>10068.6108709264</v>
      </c>
      <c r="Y11" s="16">
        <v>3865.991585121138</v>
      </c>
      <c r="Z11" s="16">
        <v>134.6615966560161</v>
      </c>
      <c r="AA11" s="16">
        <v>47.4529091019829</v>
      </c>
      <c r="AB11" s="17">
        <v>267.7202113746908</v>
      </c>
      <c r="AC11" s="15">
        <v>54706.46794894799</v>
      </c>
      <c r="AD11" s="16">
        <v>2.679177240176077</v>
      </c>
      <c r="AE11" s="16">
        <v>6051.928924610388</v>
      </c>
      <c r="AF11" s="16">
        <v>4487.798978254412</v>
      </c>
      <c r="AG11" s="16">
        <v>239.5322883686726</v>
      </c>
      <c r="AH11" s="16">
        <v>24.52206140025055</v>
      </c>
      <c r="AI11" s="16">
        <v>0.0</v>
      </c>
      <c r="AJ11" s="16">
        <v>6380.551067420662</v>
      </c>
      <c r="AK11" s="16">
        <v>32.91903232227442</v>
      </c>
      <c r="AL11" s="16">
        <v>106.9570687237968</v>
      </c>
      <c r="AM11" s="16">
        <v>638.0899485307662</v>
      </c>
      <c r="AN11" s="16">
        <v>142.4830779519722</v>
      </c>
      <c r="AO11" s="16">
        <v>54.75887770210508</v>
      </c>
      <c r="AP11" s="16">
        <v>0.0</v>
      </c>
      <c r="AQ11" s="15">
        <f t="shared" si="1"/>
        <v>65512.92938</v>
      </c>
      <c r="AR11" s="16">
        <f t="shared" si="2"/>
        <v>7355.759073</v>
      </c>
      <c r="AS11" s="17">
        <f t="shared" si="3"/>
        <v>72868.68845</v>
      </c>
      <c r="AT11" s="18">
        <f t="shared" si="4"/>
        <v>146138.244</v>
      </c>
      <c r="AU11" s="13" t="s">
        <v>12</v>
      </c>
      <c r="AV11" s="14"/>
    </row>
    <row r="12">
      <c r="A12" s="14"/>
      <c r="B12" s="6" t="s">
        <v>13</v>
      </c>
      <c r="C12" s="15">
        <v>311.2930589949969</v>
      </c>
      <c r="D12" s="16">
        <v>1671.751078292047</v>
      </c>
      <c r="E12" s="16">
        <v>314.9966072963555</v>
      </c>
      <c r="F12" s="16">
        <v>946.0125595114134</v>
      </c>
      <c r="G12" s="16">
        <v>186.6809837977917</v>
      </c>
      <c r="H12" s="16">
        <v>284.3616023038459</v>
      </c>
      <c r="I12" s="16">
        <v>15342.21086090685</v>
      </c>
      <c r="J12" s="16">
        <v>6.010286954508851</v>
      </c>
      <c r="K12" s="16">
        <v>19864.12321073543</v>
      </c>
      <c r="L12" s="16">
        <v>54019.4326567606</v>
      </c>
      <c r="M12" s="16">
        <v>382.6146119939909</v>
      </c>
      <c r="N12" s="16">
        <v>82.07223203144498</v>
      </c>
      <c r="O12" s="16">
        <v>1665.35393117499</v>
      </c>
      <c r="P12" s="16">
        <v>143.4993945765686</v>
      </c>
      <c r="Q12" s="16">
        <v>322.4056312495527</v>
      </c>
      <c r="R12" s="16">
        <v>100.4628423471938</v>
      </c>
      <c r="S12" s="16">
        <v>195.8396163241841</v>
      </c>
      <c r="T12" s="16">
        <v>35.12232700941335</v>
      </c>
      <c r="U12" s="16">
        <v>207.291025904363</v>
      </c>
      <c r="V12" s="16">
        <v>4319.734799203505</v>
      </c>
      <c r="W12" s="16">
        <v>50.03394629826958</v>
      </c>
      <c r="X12" s="16">
        <v>2040.181968021886</v>
      </c>
      <c r="Y12" s="16">
        <v>5289.566015074121</v>
      </c>
      <c r="Z12" s="16">
        <v>104.7755043515653</v>
      </c>
      <c r="AA12" s="16">
        <v>16.48644532378796</v>
      </c>
      <c r="AB12" s="17">
        <v>156.4922994281326</v>
      </c>
      <c r="AC12" s="15">
        <v>79893.2620355443</v>
      </c>
      <c r="AD12" s="16">
        <v>10429.67354068332</v>
      </c>
      <c r="AE12" s="16">
        <v>67269.72223538726</v>
      </c>
      <c r="AF12" s="16">
        <v>14375.9321880634</v>
      </c>
      <c r="AG12" s="16">
        <v>66.680606345516</v>
      </c>
      <c r="AH12" s="16">
        <v>17.0011628330337</v>
      </c>
      <c r="AI12" s="16">
        <v>0.0</v>
      </c>
      <c r="AJ12" s="16">
        <v>1580.065033470434</v>
      </c>
      <c r="AK12" s="16">
        <v>191.5937961042089</v>
      </c>
      <c r="AL12" s="16">
        <v>504.5343355529897</v>
      </c>
      <c r="AM12" s="16">
        <v>2003.677781665995</v>
      </c>
      <c r="AN12" s="16">
        <v>150.1069764468394</v>
      </c>
      <c r="AO12" s="16">
        <v>41.6743369662688</v>
      </c>
      <c r="AP12" s="16">
        <v>0.0</v>
      </c>
      <c r="AQ12" s="15">
        <f t="shared" si="1"/>
        <v>172052.2718</v>
      </c>
      <c r="AR12" s="16">
        <f t="shared" si="2"/>
        <v>4471.65226</v>
      </c>
      <c r="AS12" s="17">
        <f t="shared" si="3"/>
        <v>176523.924</v>
      </c>
      <c r="AT12" s="18">
        <f t="shared" si="4"/>
        <v>284582.7295</v>
      </c>
      <c r="AU12" s="13" t="s">
        <v>13</v>
      </c>
      <c r="AV12" s="14"/>
    </row>
    <row r="13">
      <c r="A13" s="14"/>
      <c r="B13" s="6" t="s">
        <v>14</v>
      </c>
      <c r="C13" s="15">
        <v>13.74624492698072</v>
      </c>
      <c r="D13" s="16">
        <v>16.13001025320893</v>
      </c>
      <c r="E13" s="16">
        <v>3.881547906994117</v>
      </c>
      <c r="F13" s="16">
        <v>42.50758980539889</v>
      </c>
      <c r="G13" s="16">
        <v>543.0199648692551</v>
      </c>
      <c r="H13" s="16">
        <v>6.651916886552509</v>
      </c>
      <c r="I13" s="16">
        <v>639.3505748451232</v>
      </c>
      <c r="J13" s="16">
        <v>0.5878752970634077</v>
      </c>
      <c r="K13" s="16">
        <v>371.4119987293584</v>
      </c>
      <c r="L13" s="16">
        <v>1679.039557530294</v>
      </c>
      <c r="M13" s="16">
        <v>1073.229362344547</v>
      </c>
      <c r="N13" s="16">
        <v>1.814247863400347</v>
      </c>
      <c r="O13" s="16">
        <v>41.98348987192197</v>
      </c>
      <c r="P13" s="16">
        <v>3.385699805019966</v>
      </c>
      <c r="Q13" s="16">
        <v>4.042426525627717</v>
      </c>
      <c r="R13" s="16">
        <v>5.517430805089644</v>
      </c>
      <c r="S13" s="16">
        <v>8.538076496958384</v>
      </c>
      <c r="T13" s="16">
        <v>3.989313089572215</v>
      </c>
      <c r="U13" s="16">
        <v>2.237713985602458</v>
      </c>
      <c r="V13" s="16">
        <v>65.50224689063343</v>
      </c>
      <c r="W13" s="16">
        <v>1.656875665918976</v>
      </c>
      <c r="X13" s="16">
        <v>20.55199877393849</v>
      </c>
      <c r="Y13" s="16">
        <v>27.13085601274992</v>
      </c>
      <c r="Z13" s="16">
        <v>10.39924982883698</v>
      </c>
      <c r="AA13" s="16">
        <v>0.4682137301964405</v>
      </c>
      <c r="AB13" s="17">
        <v>1.784979605029983</v>
      </c>
      <c r="AC13" s="15">
        <v>44.65593015761451</v>
      </c>
      <c r="AD13" s="16">
        <v>0.06804619795203799</v>
      </c>
      <c r="AE13" s="16">
        <v>8.79559567867623</v>
      </c>
      <c r="AF13" s="16">
        <v>23.91105923512939</v>
      </c>
      <c r="AG13" s="16">
        <v>4.257447937103011</v>
      </c>
      <c r="AH13" s="16">
        <v>0.7061291840577871</v>
      </c>
      <c r="AI13" s="16">
        <v>0.0</v>
      </c>
      <c r="AJ13" s="16">
        <v>12.53720421332408</v>
      </c>
      <c r="AK13" s="16">
        <v>0.2045086044712902</v>
      </c>
      <c r="AL13" s="16">
        <v>1.48432133199973</v>
      </c>
      <c r="AM13" s="16">
        <v>3.265133432856384</v>
      </c>
      <c r="AN13" s="16">
        <v>1.022369894843737</v>
      </c>
      <c r="AO13" s="16">
        <v>0.3118078185897767</v>
      </c>
      <c r="AP13" s="16">
        <v>0.0</v>
      </c>
      <c r="AQ13" s="15">
        <f t="shared" si="1"/>
        <v>82.39420839</v>
      </c>
      <c r="AR13" s="16">
        <f t="shared" si="2"/>
        <v>18.8253453</v>
      </c>
      <c r="AS13" s="17">
        <f t="shared" si="3"/>
        <v>101.2195537</v>
      </c>
      <c r="AT13" s="18">
        <f t="shared" si="4"/>
        <v>4689.779016</v>
      </c>
      <c r="AU13" s="13" t="s">
        <v>14</v>
      </c>
      <c r="AV13" s="14"/>
    </row>
    <row r="14">
      <c r="A14" s="14"/>
      <c r="B14" s="6" t="s">
        <v>15</v>
      </c>
      <c r="C14" s="15">
        <v>4.694894204834799</v>
      </c>
      <c r="D14" s="16">
        <v>19.55542996546536</v>
      </c>
      <c r="E14" s="16">
        <v>5.413369475946115</v>
      </c>
      <c r="F14" s="16">
        <v>3.122279580419754</v>
      </c>
      <c r="G14" s="16">
        <v>5.0753002350471</v>
      </c>
      <c r="H14" s="16">
        <v>1.54556273333276</v>
      </c>
      <c r="I14" s="16">
        <v>100.3261212154258</v>
      </c>
      <c r="J14" s="16">
        <v>0.1838494245517</v>
      </c>
      <c r="K14" s="16">
        <v>93.59322556079569</v>
      </c>
      <c r="L14" s="16">
        <v>783.8543833460941</v>
      </c>
      <c r="M14" s="16">
        <v>10.007125957751</v>
      </c>
      <c r="N14" s="16">
        <v>22.2010179754</v>
      </c>
      <c r="O14" s="16">
        <v>49.2018939598</v>
      </c>
      <c r="P14" s="16">
        <v>0.1770287698871209</v>
      </c>
      <c r="Q14" s="16">
        <v>0.0926579879628848</v>
      </c>
      <c r="R14" s="16">
        <v>0.03439811619334138</v>
      </c>
      <c r="S14" s="16">
        <v>0.06659973400781573</v>
      </c>
      <c r="T14" s="16">
        <v>0.01481400256717412</v>
      </c>
      <c r="U14" s="16">
        <v>0.03558927046114905</v>
      </c>
      <c r="V14" s="16">
        <v>1.523792269362123</v>
      </c>
      <c r="W14" s="16">
        <v>0.009318251455310556</v>
      </c>
      <c r="X14" s="16">
        <v>1.033184005992636</v>
      </c>
      <c r="Y14" s="16">
        <v>1.323254855244192</v>
      </c>
      <c r="Z14" s="16">
        <v>0.03895923323122876</v>
      </c>
      <c r="AA14" s="16">
        <v>0.03114848094262538</v>
      </c>
      <c r="AB14" s="17">
        <v>0.03867185544785517</v>
      </c>
      <c r="AC14" s="15">
        <v>1.36516102807</v>
      </c>
      <c r="AD14" s="16">
        <v>0.0</v>
      </c>
      <c r="AE14" s="16">
        <v>0.0232016966375</v>
      </c>
      <c r="AF14" s="16">
        <v>10.4831028121</v>
      </c>
      <c r="AG14" s="16">
        <v>0.0323281467407</v>
      </c>
      <c r="AH14" s="16">
        <v>0.00804317820774</v>
      </c>
      <c r="AI14" s="16">
        <v>0.0</v>
      </c>
      <c r="AJ14" s="16">
        <v>0.2951126353938044</v>
      </c>
      <c r="AK14" s="16">
        <v>0.01836701148556584</v>
      </c>
      <c r="AL14" s="16">
        <v>0.01293880219774327</v>
      </c>
      <c r="AM14" s="16">
        <v>0.7324733177890848</v>
      </c>
      <c r="AN14" s="16">
        <v>0.00447812098108109</v>
      </c>
      <c r="AO14" s="16">
        <v>9.227734867328322E-4</v>
      </c>
      <c r="AP14" s="16">
        <v>0.0</v>
      </c>
      <c r="AQ14" s="15">
        <f t="shared" si="1"/>
        <v>11.91183686</v>
      </c>
      <c r="AR14" s="16">
        <f t="shared" si="2"/>
        <v>1.064292661</v>
      </c>
      <c r="AS14" s="17">
        <f t="shared" si="3"/>
        <v>12.97612952</v>
      </c>
      <c r="AT14" s="18">
        <f t="shared" si="4"/>
        <v>1116.17</v>
      </c>
      <c r="AU14" s="13" t="s">
        <v>15</v>
      </c>
      <c r="AV14" s="14"/>
    </row>
    <row r="15">
      <c r="A15" s="19"/>
      <c r="B15" s="6" t="s">
        <v>16</v>
      </c>
      <c r="C15" s="15">
        <v>5.313613210400629</v>
      </c>
      <c r="D15" s="16">
        <v>86.23656926340757</v>
      </c>
      <c r="E15" s="16">
        <v>5.597665371877567</v>
      </c>
      <c r="F15" s="16">
        <v>48.128642909856</v>
      </c>
      <c r="G15" s="16">
        <v>4.265402825109001</v>
      </c>
      <c r="H15" s="16">
        <v>6.907091353768999</v>
      </c>
      <c r="I15" s="16">
        <v>548.1474454384188</v>
      </c>
      <c r="J15" s="16">
        <v>0.423824058298</v>
      </c>
      <c r="K15" s="16">
        <v>881.71413900289</v>
      </c>
      <c r="L15" s="16">
        <v>1074.129820271352</v>
      </c>
      <c r="M15" s="16">
        <v>8.44024845077433</v>
      </c>
      <c r="N15" s="16">
        <v>3.06289023888</v>
      </c>
      <c r="O15" s="16">
        <v>302.89195228</v>
      </c>
      <c r="P15" s="16">
        <v>32.60448212190096</v>
      </c>
      <c r="Q15" s="16">
        <v>69.71952783948288</v>
      </c>
      <c r="R15" s="16">
        <v>26.99619637974201</v>
      </c>
      <c r="S15" s="16">
        <v>22.31399671592541</v>
      </c>
      <c r="T15" s="16">
        <v>9.586102647468623</v>
      </c>
      <c r="U15" s="16">
        <v>45.97338418514197</v>
      </c>
      <c r="V15" s="16">
        <v>2852.164246808641</v>
      </c>
      <c r="W15" s="16">
        <v>78.94250453751789</v>
      </c>
      <c r="X15" s="16">
        <v>9260.02701622277</v>
      </c>
      <c r="Y15" s="16">
        <v>3505.6874319227</v>
      </c>
      <c r="Z15" s="16">
        <v>21.25043779648098</v>
      </c>
      <c r="AA15" s="16">
        <v>4.154774408064431</v>
      </c>
      <c r="AB15" s="17">
        <v>157.0474504909557</v>
      </c>
      <c r="AC15" s="15">
        <v>2664.16692759</v>
      </c>
      <c r="AD15" s="16">
        <v>5.19285339707</v>
      </c>
      <c r="AE15" s="16">
        <v>77.3345884626</v>
      </c>
      <c r="AF15" s="16">
        <v>43.5026786084</v>
      </c>
      <c r="AG15" s="16">
        <v>1.34239237792</v>
      </c>
      <c r="AH15" s="16">
        <v>0.269797311671</v>
      </c>
      <c r="AI15" s="16">
        <v>0.0</v>
      </c>
      <c r="AJ15" s="16">
        <v>1951.764169020445</v>
      </c>
      <c r="AK15" s="16">
        <v>554.3166258545386</v>
      </c>
      <c r="AL15" s="16">
        <v>23.58271602121914</v>
      </c>
      <c r="AM15" s="16">
        <v>20.3446667780963</v>
      </c>
      <c r="AN15" s="16">
        <v>4883.764609076587</v>
      </c>
      <c r="AO15" s="16">
        <v>1303.914832591401</v>
      </c>
      <c r="AP15" s="16">
        <v>0.0</v>
      </c>
      <c r="AQ15" s="15">
        <f t="shared" si="1"/>
        <v>2791.809238</v>
      </c>
      <c r="AR15" s="16">
        <f t="shared" si="2"/>
        <v>8737.687619</v>
      </c>
      <c r="AS15" s="17">
        <f t="shared" si="3"/>
        <v>11529.49686</v>
      </c>
      <c r="AT15" s="18">
        <f t="shared" si="4"/>
        <v>30591.22371</v>
      </c>
      <c r="AU15" s="13" t="s">
        <v>16</v>
      </c>
      <c r="AV15" s="19"/>
    </row>
    <row r="16">
      <c r="A16" s="8" t="s">
        <v>2</v>
      </c>
      <c r="B16" s="6" t="s">
        <v>4</v>
      </c>
      <c r="C16" s="15">
        <v>62.86528265035722</v>
      </c>
      <c r="D16" s="16">
        <v>723.2896447956695</v>
      </c>
      <c r="E16" s="16">
        <v>468.8100328765125</v>
      </c>
      <c r="F16" s="16">
        <v>0.6331911525074753</v>
      </c>
      <c r="G16" s="16">
        <v>0.07648065322423936</v>
      </c>
      <c r="H16" s="16">
        <v>0.4619678662471818</v>
      </c>
      <c r="I16" s="16">
        <v>169.9740227244939</v>
      </c>
      <c r="J16" s="16">
        <v>0.1222368099750535</v>
      </c>
      <c r="K16" s="16">
        <v>18.99648208780784</v>
      </c>
      <c r="L16" s="16">
        <v>46.80042051561678</v>
      </c>
      <c r="M16" s="16">
        <v>0.1916263178706317</v>
      </c>
      <c r="N16" s="16">
        <v>0.005818787430124278</v>
      </c>
      <c r="O16" s="16">
        <v>174.1354572070828</v>
      </c>
      <c r="P16" s="16">
        <v>716052.203193522</v>
      </c>
      <c r="Q16" s="16">
        <v>879752.8067911993</v>
      </c>
      <c r="R16" s="16">
        <v>87428.00759587229</v>
      </c>
      <c r="S16" s="16">
        <v>5979.018959313911</v>
      </c>
      <c r="T16" s="16">
        <v>199.9289866903416</v>
      </c>
      <c r="U16" s="16">
        <v>22338.44701031923</v>
      </c>
      <c r="V16" s="16">
        <v>463959.7946927871</v>
      </c>
      <c r="W16" s="16">
        <v>29676.562873201</v>
      </c>
      <c r="X16" s="16">
        <v>48374.11557474068</v>
      </c>
      <c r="Y16" s="16">
        <v>150224.9962072238</v>
      </c>
      <c r="Z16" s="16">
        <v>839.0532163370887</v>
      </c>
      <c r="AA16" s="16">
        <v>696.7873166134239</v>
      </c>
      <c r="AB16" s="17">
        <v>47428.82574561777</v>
      </c>
      <c r="AC16" s="15">
        <v>1263.91509148053</v>
      </c>
      <c r="AD16" s="16">
        <v>0.0</v>
      </c>
      <c r="AE16" s="16">
        <v>0.1899793920724182</v>
      </c>
      <c r="AF16" s="16">
        <v>36.48352030368296</v>
      </c>
      <c r="AG16" s="16">
        <v>3.065474619972921</v>
      </c>
      <c r="AH16" s="16">
        <v>0.04270501822165242</v>
      </c>
      <c r="AI16" s="16">
        <v>0.0</v>
      </c>
      <c r="AJ16" s="16">
        <v>904926.9128416507</v>
      </c>
      <c r="AK16" s="16">
        <v>552.4542964805064</v>
      </c>
      <c r="AL16" s="16">
        <v>18964.20918591821</v>
      </c>
      <c r="AM16" s="16">
        <v>63323.49457890577</v>
      </c>
      <c r="AN16" s="16">
        <v>130813.4363139673</v>
      </c>
      <c r="AO16" s="16">
        <v>-46.80768258909542</v>
      </c>
      <c r="AP16" s="16">
        <v>0.0</v>
      </c>
      <c r="AQ16" s="15">
        <f t="shared" ref="AQ16:AQ28" si="5">SUM(AJ16:AP16)</f>
        <v>1118533.7</v>
      </c>
      <c r="AR16" s="16">
        <f t="shared" ref="AR16:AR28" si="6">SUM(AC16:AI16)</f>
        <v>1303.696771</v>
      </c>
      <c r="AS16" s="17">
        <f t="shared" si="3"/>
        <v>1119837.396</v>
      </c>
      <c r="AT16" s="18">
        <f t="shared" si="4"/>
        <v>3574454.307</v>
      </c>
      <c r="AU16" s="13" t="s">
        <v>4</v>
      </c>
      <c r="AV16" s="8" t="s">
        <v>2</v>
      </c>
    </row>
    <row r="17">
      <c r="A17" s="14"/>
      <c r="B17" s="6" t="s">
        <v>5</v>
      </c>
      <c r="C17" s="15">
        <v>1.507230317179439</v>
      </c>
      <c r="D17" s="16">
        <v>924.6094724922631</v>
      </c>
      <c r="E17" s="16">
        <v>76.27529991875345</v>
      </c>
      <c r="F17" s="16">
        <v>61.95764724200598</v>
      </c>
      <c r="G17" s="16">
        <v>0.02964785230762756</v>
      </c>
      <c r="H17" s="16">
        <v>0.4214212945636231</v>
      </c>
      <c r="I17" s="16">
        <v>482.4111541048209</v>
      </c>
      <c r="J17" s="16">
        <v>0.1468925248704922</v>
      </c>
      <c r="K17" s="16">
        <v>161.9243457294544</v>
      </c>
      <c r="L17" s="16">
        <v>110.9871769368961</v>
      </c>
      <c r="M17" s="16">
        <v>0.06010329594629309</v>
      </c>
      <c r="N17" s="16">
        <v>0.04039406813046838</v>
      </c>
      <c r="O17" s="16">
        <v>393.0717543138945</v>
      </c>
      <c r="P17" s="16">
        <v>10099.6042780643</v>
      </c>
      <c r="Q17" s="16">
        <v>516539.4450810452</v>
      </c>
      <c r="R17" s="16">
        <v>170085.6599665146</v>
      </c>
      <c r="S17" s="16">
        <v>89633.18778461071</v>
      </c>
      <c r="T17" s="16">
        <v>455.087074944958</v>
      </c>
      <c r="U17" s="16">
        <v>5814.896918746533</v>
      </c>
      <c r="V17" s="16">
        <v>117272.312280531</v>
      </c>
      <c r="W17" s="16">
        <v>12725.76984851777</v>
      </c>
      <c r="X17" s="16">
        <v>84682.06810573017</v>
      </c>
      <c r="Y17" s="16">
        <v>186015.3758675538</v>
      </c>
      <c r="Z17" s="16">
        <v>1476.126370514468</v>
      </c>
      <c r="AA17" s="16">
        <v>736.8104121485607</v>
      </c>
      <c r="AB17" s="17">
        <v>316716.0637670667</v>
      </c>
      <c r="AC17" s="15">
        <v>4982.169599797233</v>
      </c>
      <c r="AD17" s="16">
        <v>0.0</v>
      </c>
      <c r="AE17" s="16">
        <v>0.2183322028976528</v>
      </c>
      <c r="AF17" s="16">
        <v>5.876326138133913</v>
      </c>
      <c r="AG17" s="16">
        <v>2.077257442115337</v>
      </c>
      <c r="AH17" s="16">
        <v>0.01022703641054819</v>
      </c>
      <c r="AI17" s="16">
        <v>0.0</v>
      </c>
      <c r="AJ17" s="16">
        <v>2231723.882908182</v>
      </c>
      <c r="AK17" s="16">
        <v>472.3767193416279</v>
      </c>
      <c r="AL17" s="16">
        <v>17550.84403044769</v>
      </c>
      <c r="AM17" s="16">
        <v>5956.974306121117</v>
      </c>
      <c r="AN17" s="16">
        <v>15760.05581206925</v>
      </c>
      <c r="AO17" s="16">
        <v>476.2695120687752</v>
      </c>
      <c r="AP17" s="16">
        <v>0.0</v>
      </c>
      <c r="AQ17" s="15">
        <f t="shared" si="5"/>
        <v>2271940.403</v>
      </c>
      <c r="AR17" s="16">
        <f t="shared" si="6"/>
        <v>4990.351743</v>
      </c>
      <c r="AS17" s="17">
        <f t="shared" si="3"/>
        <v>2276930.755</v>
      </c>
      <c r="AT17" s="18">
        <f t="shared" si="4"/>
        <v>3791396.605</v>
      </c>
      <c r="AU17" s="13" t="s">
        <v>5</v>
      </c>
      <c r="AV17" s="14"/>
    </row>
    <row r="18">
      <c r="A18" s="14"/>
      <c r="B18" s="6" t="s">
        <v>6</v>
      </c>
      <c r="C18" s="15">
        <v>0.1030796344943574</v>
      </c>
      <c r="D18" s="16">
        <v>5.038820531353896</v>
      </c>
      <c r="E18" s="16">
        <v>2.472801394462456</v>
      </c>
      <c r="F18" s="16">
        <v>126.361918761743</v>
      </c>
      <c r="G18" s="16">
        <v>0.03066532448101567</v>
      </c>
      <c r="H18" s="16">
        <v>0.8548332973927204</v>
      </c>
      <c r="I18" s="16">
        <v>35.07828791432285</v>
      </c>
      <c r="J18" s="16">
        <v>0.03162278392663921</v>
      </c>
      <c r="K18" s="16">
        <v>37.09908117303055</v>
      </c>
      <c r="L18" s="16">
        <v>31.35059284376958</v>
      </c>
      <c r="M18" s="16">
        <v>0.06850193829659054</v>
      </c>
      <c r="N18" s="16">
        <v>0.007228604048708383</v>
      </c>
      <c r="O18" s="16">
        <v>17.42359777708685</v>
      </c>
      <c r="P18" s="16">
        <v>3827.733584178989</v>
      </c>
      <c r="Q18" s="16">
        <v>25754.75965232298</v>
      </c>
      <c r="R18" s="16">
        <v>153421.2348481409</v>
      </c>
      <c r="S18" s="16">
        <v>730109.301233442</v>
      </c>
      <c r="T18" s="16">
        <v>463.4639118637982</v>
      </c>
      <c r="U18" s="16">
        <v>5649.192085767554</v>
      </c>
      <c r="V18" s="16">
        <v>82247.61367588621</v>
      </c>
      <c r="W18" s="16">
        <v>9469.9757818447</v>
      </c>
      <c r="X18" s="16">
        <v>26223.91658315608</v>
      </c>
      <c r="Y18" s="16">
        <v>35709.82608735064</v>
      </c>
      <c r="Z18" s="16">
        <v>377.8888224334543</v>
      </c>
      <c r="AA18" s="16">
        <v>919.7735067522068</v>
      </c>
      <c r="AB18" s="17">
        <v>64998.85680790888</v>
      </c>
      <c r="AC18" s="15">
        <v>109.3655634567079</v>
      </c>
      <c r="AD18" s="16">
        <v>0.0</v>
      </c>
      <c r="AE18" s="16">
        <v>0.2713459165609642</v>
      </c>
      <c r="AF18" s="16">
        <v>113.8379392924525</v>
      </c>
      <c r="AG18" s="16">
        <v>-0.7522822433176227</v>
      </c>
      <c r="AH18" s="16">
        <v>0.07454901481530671</v>
      </c>
      <c r="AI18" s="16">
        <v>0.0</v>
      </c>
      <c r="AJ18" s="16">
        <v>591491.8408581035</v>
      </c>
      <c r="AK18" s="16">
        <v>2517.197306540252</v>
      </c>
      <c r="AL18" s="16">
        <v>34496.01800171533</v>
      </c>
      <c r="AM18" s="16">
        <v>95928.07002835145</v>
      </c>
      <c r="AN18" s="16">
        <v>261735.5798799889</v>
      </c>
      <c r="AO18" s="16">
        <v>266.2598854981971</v>
      </c>
      <c r="AP18" s="16">
        <v>0.0</v>
      </c>
      <c r="AQ18" s="15">
        <f t="shared" si="5"/>
        <v>986434.966</v>
      </c>
      <c r="AR18" s="16">
        <f t="shared" si="6"/>
        <v>222.7971154</v>
      </c>
      <c r="AS18" s="17">
        <f t="shared" si="3"/>
        <v>986657.7631</v>
      </c>
      <c r="AT18" s="18">
        <f t="shared" si="4"/>
        <v>2126087.221</v>
      </c>
      <c r="AU18" s="13" t="s">
        <v>6</v>
      </c>
      <c r="AV18" s="14"/>
    </row>
    <row r="19">
      <c r="A19" s="14"/>
      <c r="B19" s="6" t="s">
        <v>7</v>
      </c>
      <c r="C19" s="15">
        <v>0.8736894722868893</v>
      </c>
      <c r="D19" s="16">
        <v>107.28545831161</v>
      </c>
      <c r="E19" s="16">
        <v>87.24123927164028</v>
      </c>
      <c r="F19" s="16">
        <v>351.0916821345415</v>
      </c>
      <c r="G19" s="16">
        <v>0.06946558736894329</v>
      </c>
      <c r="H19" s="16">
        <v>0.7207531767319256</v>
      </c>
      <c r="I19" s="16">
        <v>197.7600920823944</v>
      </c>
      <c r="J19" s="16">
        <v>0.277850819481792</v>
      </c>
      <c r="K19" s="16">
        <v>572.5254441759889</v>
      </c>
      <c r="L19" s="16">
        <v>134.1578744348525</v>
      </c>
      <c r="M19" s="16">
        <v>0.1437878508030432</v>
      </c>
      <c r="N19" s="16">
        <v>0.03167918330228564</v>
      </c>
      <c r="O19" s="16">
        <v>293.165612016748</v>
      </c>
      <c r="P19" s="16">
        <v>7637.54434716415</v>
      </c>
      <c r="Q19" s="16">
        <v>118632.4078023282</v>
      </c>
      <c r="R19" s="16">
        <v>35153.2526115208</v>
      </c>
      <c r="S19" s="16">
        <v>179327.0637328218</v>
      </c>
      <c r="T19" s="16">
        <v>348.3577977157419</v>
      </c>
      <c r="U19" s="16">
        <v>3477.463309949715</v>
      </c>
      <c r="V19" s="16">
        <v>84174.69539161585</v>
      </c>
      <c r="W19" s="16">
        <v>5557.571423689948</v>
      </c>
      <c r="X19" s="16">
        <v>43166.37463669317</v>
      </c>
      <c r="Y19" s="16">
        <v>143802.5276797596</v>
      </c>
      <c r="Z19" s="16">
        <v>1439.538025966981</v>
      </c>
      <c r="AA19" s="16">
        <v>577.8808720926494</v>
      </c>
      <c r="AB19" s="17">
        <v>182740.9521245798</v>
      </c>
      <c r="AC19" s="15">
        <v>1277.447092629195</v>
      </c>
      <c r="AD19" s="16">
        <v>0.0</v>
      </c>
      <c r="AE19" s="16">
        <v>0.3092874994224312</v>
      </c>
      <c r="AF19" s="16">
        <v>10.99722876653069</v>
      </c>
      <c r="AG19" s="16">
        <v>5.192252393746273</v>
      </c>
      <c r="AH19" s="16">
        <v>0.01572939443740304</v>
      </c>
      <c r="AI19" s="16">
        <v>0.0</v>
      </c>
      <c r="AJ19" s="16">
        <v>1390058.344163374</v>
      </c>
      <c r="AK19" s="16">
        <v>16936.94056597389</v>
      </c>
      <c r="AL19" s="16">
        <v>14125.23105676941</v>
      </c>
      <c r="AM19" s="16">
        <v>6845.796306541905</v>
      </c>
      <c r="AN19" s="16">
        <v>49962.77169062495</v>
      </c>
      <c r="AO19" s="16">
        <v>348.9897046984573</v>
      </c>
      <c r="AP19" s="16">
        <v>0.0</v>
      </c>
      <c r="AQ19" s="15">
        <f t="shared" si="5"/>
        <v>1478278.073</v>
      </c>
      <c r="AR19" s="16">
        <f t="shared" si="6"/>
        <v>1293.961591</v>
      </c>
      <c r="AS19" s="17">
        <f t="shared" si="3"/>
        <v>1479572.035</v>
      </c>
      <c r="AT19" s="18">
        <f t="shared" si="4"/>
        <v>2287353.009</v>
      </c>
      <c r="AU19" s="13" t="s">
        <v>7</v>
      </c>
      <c r="AV19" s="14"/>
    </row>
    <row r="20" ht="15.75" customHeight="1">
      <c r="A20" s="14"/>
      <c r="B20" s="6" t="s">
        <v>8</v>
      </c>
      <c r="C20" s="15">
        <v>0.1257336377887986</v>
      </c>
      <c r="D20" s="16">
        <v>1.372360463405665</v>
      </c>
      <c r="E20" s="16">
        <v>0.1360830695206668</v>
      </c>
      <c r="F20" s="16">
        <v>0.5473953123341283</v>
      </c>
      <c r="G20" s="16">
        <v>2.556879723585625</v>
      </c>
      <c r="H20" s="16">
        <v>0.02699835211208503</v>
      </c>
      <c r="I20" s="16">
        <v>33.85152736023311</v>
      </c>
      <c r="J20" s="16">
        <v>0.02024793640455448</v>
      </c>
      <c r="K20" s="16">
        <v>8.501985995001053</v>
      </c>
      <c r="L20" s="16">
        <v>3.24334503724931</v>
      </c>
      <c r="M20" s="16">
        <v>4.849011617209217</v>
      </c>
      <c r="N20" s="16">
        <v>0.01411837409458595</v>
      </c>
      <c r="O20" s="16">
        <v>0.2470006500957151</v>
      </c>
      <c r="P20" s="16">
        <v>760.0330132384084</v>
      </c>
      <c r="Q20" s="16">
        <v>1577.652244784385</v>
      </c>
      <c r="R20" s="16">
        <v>813.7327032093058</v>
      </c>
      <c r="S20" s="16">
        <v>1430.179549204511</v>
      </c>
      <c r="T20" s="16">
        <v>5446.94618053814</v>
      </c>
      <c r="U20" s="16">
        <v>1694.720932403385</v>
      </c>
      <c r="V20" s="16">
        <v>30546.02355267385</v>
      </c>
      <c r="W20" s="16">
        <v>300.044428214678</v>
      </c>
      <c r="X20" s="16">
        <v>9456.793030768207</v>
      </c>
      <c r="Y20" s="16">
        <v>26211.78438987612</v>
      </c>
      <c r="Z20" s="16">
        <v>10921.75762582425</v>
      </c>
      <c r="AA20" s="16">
        <v>1426.467423921328</v>
      </c>
      <c r="AB20" s="17">
        <v>1982.449943069701</v>
      </c>
      <c r="AC20" s="15">
        <v>51.9685576570073</v>
      </c>
      <c r="AD20" s="16">
        <v>0.0</v>
      </c>
      <c r="AE20" s="16">
        <v>0.03655074651141303</v>
      </c>
      <c r="AF20" s="16">
        <v>1.030596170486209</v>
      </c>
      <c r="AG20" s="16">
        <v>0.8582389554913032</v>
      </c>
      <c r="AH20" s="16">
        <v>0.3215192244507553</v>
      </c>
      <c r="AI20" s="16">
        <v>0.0</v>
      </c>
      <c r="AJ20" s="16">
        <v>36987.40305620636</v>
      </c>
      <c r="AK20" s="16">
        <v>187.4029743239258</v>
      </c>
      <c r="AL20" s="16">
        <v>15693.7650058426</v>
      </c>
      <c r="AM20" s="16">
        <v>2207.971070356055</v>
      </c>
      <c r="AN20" s="16">
        <v>652.9216637541338</v>
      </c>
      <c r="AO20" s="16">
        <v>99.63117343302591</v>
      </c>
      <c r="AP20" s="16">
        <v>0.0</v>
      </c>
      <c r="AQ20" s="15">
        <f t="shared" si="5"/>
        <v>55829.09494</v>
      </c>
      <c r="AR20" s="16">
        <f t="shared" si="6"/>
        <v>54.21546275</v>
      </c>
      <c r="AS20" s="17">
        <f t="shared" si="3"/>
        <v>55883.31041</v>
      </c>
      <c r="AT20" s="18">
        <f t="shared" si="4"/>
        <v>148507.3881</v>
      </c>
      <c r="AU20" s="13" t="s">
        <v>8</v>
      </c>
      <c r="AV20" s="14"/>
    </row>
    <row r="21" ht="15.75" customHeight="1">
      <c r="A21" s="14"/>
      <c r="B21" s="6" t="s">
        <v>9</v>
      </c>
      <c r="C21" s="15">
        <v>20.09313238722618</v>
      </c>
      <c r="D21" s="16">
        <v>42.58678546975602</v>
      </c>
      <c r="E21" s="16">
        <v>80.83340123381875</v>
      </c>
      <c r="F21" s="16">
        <v>6.674459189860498</v>
      </c>
      <c r="G21" s="16">
        <v>0.9611883497527868</v>
      </c>
      <c r="H21" s="16">
        <v>329.3368832027764</v>
      </c>
      <c r="I21" s="16">
        <v>6540.618238951513</v>
      </c>
      <c r="J21" s="16">
        <v>344.7977839542664</v>
      </c>
      <c r="K21" s="16">
        <v>718.1291878180467</v>
      </c>
      <c r="L21" s="16">
        <v>76.75234080204184</v>
      </c>
      <c r="M21" s="16">
        <v>2.26206948974388</v>
      </c>
      <c r="N21" s="16">
        <v>0.1381448190011932</v>
      </c>
      <c r="O21" s="16">
        <v>19.62194564871503</v>
      </c>
      <c r="P21" s="16">
        <v>14687.03411073509</v>
      </c>
      <c r="Q21" s="16">
        <v>17653.87577353475</v>
      </c>
      <c r="R21" s="16">
        <v>13024.99592157526</v>
      </c>
      <c r="S21" s="16">
        <v>15589.13223227641</v>
      </c>
      <c r="T21" s="16">
        <v>784.4618104975154</v>
      </c>
      <c r="U21" s="16">
        <v>526712.8027611264</v>
      </c>
      <c r="V21" s="16">
        <v>2941972.421903314</v>
      </c>
      <c r="W21" s="16">
        <v>34589.50059772708</v>
      </c>
      <c r="X21" s="16">
        <v>553260.5089687749</v>
      </c>
      <c r="Y21" s="16">
        <v>67606.98192126644</v>
      </c>
      <c r="Z21" s="16">
        <v>3235.578906686791</v>
      </c>
      <c r="AA21" s="16">
        <v>2429.481756982816</v>
      </c>
      <c r="AB21" s="17">
        <v>6575.537543004049</v>
      </c>
      <c r="AC21" s="15">
        <v>52.7325620142073</v>
      </c>
      <c r="AD21" s="16">
        <v>0.0</v>
      </c>
      <c r="AE21" s="16">
        <v>1.475453618875441</v>
      </c>
      <c r="AF21" s="16">
        <v>19.54084867182477</v>
      </c>
      <c r="AG21" s="16">
        <v>124.3804576840507</v>
      </c>
      <c r="AH21" s="16">
        <v>0.0157493848755585</v>
      </c>
      <c r="AI21" s="16">
        <v>0.0</v>
      </c>
      <c r="AJ21" s="16">
        <v>187013.5652219892</v>
      </c>
      <c r="AK21" s="16">
        <v>334.5121843512308</v>
      </c>
      <c r="AL21" s="16">
        <v>15610.20927045048</v>
      </c>
      <c r="AM21" s="16">
        <v>27480.31570379713</v>
      </c>
      <c r="AN21" s="16">
        <v>54336.21459104295</v>
      </c>
      <c r="AO21" s="16">
        <v>91.40929114187969</v>
      </c>
      <c r="AP21" s="16">
        <v>0.0</v>
      </c>
      <c r="AQ21" s="15">
        <f t="shared" si="5"/>
        <v>284866.2263</v>
      </c>
      <c r="AR21" s="16">
        <f t="shared" si="6"/>
        <v>198.1450714</v>
      </c>
      <c r="AS21" s="17">
        <f t="shared" si="3"/>
        <v>285064.3713</v>
      </c>
      <c r="AT21" s="18">
        <f t="shared" si="4"/>
        <v>4491369.491</v>
      </c>
      <c r="AU21" s="13" t="s">
        <v>9</v>
      </c>
      <c r="AV21" s="14"/>
    </row>
    <row r="22" ht="15.75" customHeight="1">
      <c r="A22" s="14"/>
      <c r="B22" s="6" t="s">
        <v>10</v>
      </c>
      <c r="C22" s="15">
        <v>618.1788814570142</v>
      </c>
      <c r="D22" s="16">
        <v>756.7668746955437</v>
      </c>
      <c r="E22" s="16">
        <v>181.1009478730103</v>
      </c>
      <c r="F22" s="16">
        <v>505.7213343752433</v>
      </c>
      <c r="G22" s="16">
        <v>22.86063705152124</v>
      </c>
      <c r="H22" s="16">
        <v>114.0883954276002</v>
      </c>
      <c r="I22" s="16">
        <v>41525.82350305323</v>
      </c>
      <c r="J22" s="16">
        <v>10.37788960902009</v>
      </c>
      <c r="K22" s="16">
        <v>2802.738393838064</v>
      </c>
      <c r="L22" s="16">
        <v>6039.028132053259</v>
      </c>
      <c r="M22" s="16">
        <v>32.97656696445228</v>
      </c>
      <c r="N22" s="16">
        <v>10.85051824431413</v>
      </c>
      <c r="O22" s="16">
        <v>376.4609469798218</v>
      </c>
      <c r="P22" s="16">
        <v>282819.0053053588</v>
      </c>
      <c r="Q22" s="16">
        <v>327521.2744416184</v>
      </c>
      <c r="R22" s="16">
        <v>152714.0619221166</v>
      </c>
      <c r="S22" s="16">
        <v>222343.7218820042</v>
      </c>
      <c r="T22" s="16">
        <v>18597.77329771499</v>
      </c>
      <c r="U22" s="16">
        <v>544153.243018354</v>
      </c>
      <c r="V22" s="16">
        <v>2.042318411559699E7</v>
      </c>
      <c r="W22" s="16">
        <v>173627.0353842976</v>
      </c>
      <c r="X22" s="16">
        <v>2451611.929201243</v>
      </c>
      <c r="Y22" s="16">
        <v>3845384.824310104</v>
      </c>
      <c r="Z22" s="16">
        <v>41352.1098543335</v>
      </c>
      <c r="AA22" s="16">
        <v>26848.34280155231</v>
      </c>
      <c r="AB22" s="17">
        <v>184857.618037747</v>
      </c>
      <c r="AC22" s="15">
        <v>25473.29775247629</v>
      </c>
      <c r="AD22" s="16">
        <v>0.0</v>
      </c>
      <c r="AE22" s="16">
        <v>48.6936474327396</v>
      </c>
      <c r="AF22" s="16">
        <v>25730.39087688862</v>
      </c>
      <c r="AG22" s="16">
        <v>-3856.31750255554</v>
      </c>
      <c r="AH22" s="16">
        <v>2.19104072864706</v>
      </c>
      <c r="AI22" s="16">
        <v>0.0</v>
      </c>
      <c r="AJ22" s="16">
        <v>5631171.133254381</v>
      </c>
      <c r="AK22" s="16">
        <v>21194.94134479049</v>
      </c>
      <c r="AL22" s="16">
        <v>345242.146977703</v>
      </c>
      <c r="AM22" s="16">
        <v>1.545089995378227E7</v>
      </c>
      <c r="AN22" s="16">
        <v>339885.8653568218</v>
      </c>
      <c r="AO22" s="16">
        <v>33751.13261232673</v>
      </c>
      <c r="AP22" s="16">
        <v>0.0</v>
      </c>
      <c r="AQ22" s="15">
        <f t="shared" si="5"/>
        <v>21822145.17</v>
      </c>
      <c r="AR22" s="16">
        <f t="shared" si="6"/>
        <v>47398.25581</v>
      </c>
      <c r="AS22" s="17">
        <f t="shared" si="3"/>
        <v>21869543.43</v>
      </c>
      <c r="AT22" s="18">
        <f t="shared" si="4"/>
        <v>50617555.46</v>
      </c>
      <c r="AU22" s="13" t="s">
        <v>10</v>
      </c>
      <c r="AV22" s="14"/>
    </row>
    <row r="23" ht="15.75" customHeight="1">
      <c r="A23" s="14"/>
      <c r="B23" s="6" t="s">
        <v>11</v>
      </c>
      <c r="C23" s="15">
        <v>12.16253488885952</v>
      </c>
      <c r="D23" s="16">
        <v>0.8925930958561333</v>
      </c>
      <c r="E23" s="16">
        <v>1.665678081461212</v>
      </c>
      <c r="F23" s="16">
        <v>0.4278953713782412</v>
      </c>
      <c r="G23" s="16">
        <v>0.1326654976588241</v>
      </c>
      <c r="H23" s="16">
        <v>0.4627790240346269</v>
      </c>
      <c r="I23" s="16">
        <v>111.7548559653928</v>
      </c>
      <c r="J23" s="16">
        <v>0.1853382992922668</v>
      </c>
      <c r="K23" s="16">
        <v>4.274690352375231</v>
      </c>
      <c r="L23" s="16">
        <v>7.706057403018537</v>
      </c>
      <c r="M23" s="16">
        <v>0.2663561857336739</v>
      </c>
      <c r="N23" s="16">
        <v>0.011981261302136</v>
      </c>
      <c r="O23" s="16">
        <v>0.6698581453483405</v>
      </c>
      <c r="P23" s="16">
        <v>229904.3763301819</v>
      </c>
      <c r="Q23" s="16">
        <v>2279.387984750746</v>
      </c>
      <c r="R23" s="16">
        <v>6213.591116836313</v>
      </c>
      <c r="S23" s="16">
        <v>2496.904541763658</v>
      </c>
      <c r="T23" s="16">
        <v>67.06825055086702</v>
      </c>
      <c r="U23" s="16">
        <v>13897.57153445963</v>
      </c>
      <c r="V23" s="16">
        <v>68620.42906226567</v>
      </c>
      <c r="W23" s="16">
        <v>117970.937274149</v>
      </c>
      <c r="X23" s="16">
        <v>11692.70054335158</v>
      </c>
      <c r="Y23" s="16">
        <v>21279.99633762863</v>
      </c>
      <c r="Z23" s="16">
        <v>135.3396404941728</v>
      </c>
      <c r="AA23" s="16">
        <v>236.1875290631053</v>
      </c>
      <c r="AB23" s="17">
        <v>1280.216728494805</v>
      </c>
      <c r="AC23" s="15">
        <v>27.8437773046215</v>
      </c>
      <c r="AD23" s="16">
        <v>0.0</v>
      </c>
      <c r="AE23" s="16">
        <v>4.244012529966717</v>
      </c>
      <c r="AF23" s="16">
        <v>8.44630369730711</v>
      </c>
      <c r="AG23" s="16">
        <v>2.137150797335026</v>
      </c>
      <c r="AH23" s="16">
        <v>0.01596142486043767</v>
      </c>
      <c r="AI23" s="16">
        <v>0.0</v>
      </c>
      <c r="AJ23" s="16">
        <v>47836.89967082597</v>
      </c>
      <c r="AK23" s="16">
        <v>80.06668630698772</v>
      </c>
      <c r="AL23" s="16">
        <v>215061.4183675453</v>
      </c>
      <c r="AM23" s="16">
        <v>3610.352967946166</v>
      </c>
      <c r="AN23" s="16">
        <v>9292.56773691516</v>
      </c>
      <c r="AO23" s="16">
        <v>70.44958586158258</v>
      </c>
      <c r="AP23" s="16">
        <v>0.0</v>
      </c>
      <c r="AQ23" s="15">
        <f t="shared" si="5"/>
        <v>275951.755</v>
      </c>
      <c r="AR23" s="16">
        <f t="shared" si="6"/>
        <v>42.68720575</v>
      </c>
      <c r="AS23" s="17">
        <f t="shared" si="3"/>
        <v>275994.4422</v>
      </c>
      <c r="AT23" s="18">
        <f t="shared" si="4"/>
        <v>752209.7624</v>
      </c>
      <c r="AU23" s="13" t="s">
        <v>11</v>
      </c>
      <c r="AV23" s="14"/>
    </row>
    <row r="24" ht="15.75" customHeight="1">
      <c r="A24" s="14"/>
      <c r="B24" s="6" t="s">
        <v>12</v>
      </c>
      <c r="C24" s="15">
        <v>37.77304609266829</v>
      </c>
      <c r="D24" s="16">
        <v>636.4462043209229</v>
      </c>
      <c r="E24" s="16">
        <v>93.19880255150882</v>
      </c>
      <c r="F24" s="16">
        <v>674.3470365818554</v>
      </c>
      <c r="G24" s="16">
        <v>25.43211215723542</v>
      </c>
      <c r="H24" s="16">
        <v>178.5067582618109</v>
      </c>
      <c r="I24" s="16">
        <v>8410.507656087711</v>
      </c>
      <c r="J24" s="16">
        <v>47.5090701855477</v>
      </c>
      <c r="K24" s="16">
        <v>6079.678283635961</v>
      </c>
      <c r="L24" s="16">
        <v>1856.408525004907</v>
      </c>
      <c r="M24" s="16">
        <v>59.87755792381316</v>
      </c>
      <c r="N24" s="16">
        <v>14.66592098032681</v>
      </c>
      <c r="O24" s="16">
        <v>167.7714458966384</v>
      </c>
      <c r="P24" s="16">
        <v>239401.9393852626</v>
      </c>
      <c r="Q24" s="16">
        <v>479706.7920848795</v>
      </c>
      <c r="R24" s="16">
        <v>245596.9729874082</v>
      </c>
      <c r="S24" s="16">
        <v>302634.7984247749</v>
      </c>
      <c r="T24" s="16">
        <v>13907.12381173421</v>
      </c>
      <c r="U24" s="16">
        <v>386960.0571173641</v>
      </c>
      <c r="V24" s="16">
        <v>5500831.789484587</v>
      </c>
      <c r="W24" s="16">
        <v>153703.4771505466</v>
      </c>
      <c r="X24" s="16">
        <v>4491665.546452275</v>
      </c>
      <c r="Y24" s="16">
        <v>3440014.557796778</v>
      </c>
      <c r="Z24" s="16">
        <v>31283.52719913503</v>
      </c>
      <c r="AA24" s="16">
        <v>22070.4897893408</v>
      </c>
      <c r="AB24" s="17">
        <v>472686.7533987164</v>
      </c>
      <c r="AC24" s="15">
        <v>1156.630701684462</v>
      </c>
      <c r="AD24" s="16">
        <v>0.0</v>
      </c>
      <c r="AE24" s="16">
        <v>24.30801695146246</v>
      </c>
      <c r="AF24" s="16">
        <v>4680.114150439798</v>
      </c>
      <c r="AG24" s="16">
        <v>-25.00938698263687</v>
      </c>
      <c r="AH24" s="16">
        <v>8.566633974405887</v>
      </c>
      <c r="AI24" s="16">
        <v>0.0</v>
      </c>
      <c r="AJ24" s="16">
        <v>9724786.035232596</v>
      </c>
      <c r="AK24" s="16">
        <v>12549.97646369253</v>
      </c>
      <c r="AL24" s="16">
        <v>541122.3671786572</v>
      </c>
      <c r="AM24" s="16">
        <v>979977.5673876887</v>
      </c>
      <c r="AN24" s="16">
        <v>108548.9961349472</v>
      </c>
      <c r="AO24" s="16">
        <v>11207.68039782215</v>
      </c>
      <c r="AP24" s="16">
        <v>0.0</v>
      </c>
      <c r="AQ24" s="15">
        <f t="shared" si="5"/>
        <v>11378192.62</v>
      </c>
      <c r="AR24" s="16">
        <f t="shared" si="6"/>
        <v>5844.610116</v>
      </c>
      <c r="AS24" s="17">
        <f t="shared" si="3"/>
        <v>11384037.23</v>
      </c>
      <c r="AT24" s="18">
        <f t="shared" si="4"/>
        <v>27182783.18</v>
      </c>
      <c r="AU24" s="13" t="s">
        <v>12</v>
      </c>
      <c r="AV24" s="14"/>
    </row>
    <row r="25" ht="15.75" customHeight="1">
      <c r="A25" s="14"/>
      <c r="B25" s="6" t="s">
        <v>13</v>
      </c>
      <c r="C25" s="15">
        <v>20.62936234406927</v>
      </c>
      <c r="D25" s="16">
        <v>299.134194170474</v>
      </c>
      <c r="E25" s="16">
        <v>24.75530027825397</v>
      </c>
      <c r="F25" s="16">
        <v>486.8617011407853</v>
      </c>
      <c r="G25" s="16">
        <v>8.823454932266648</v>
      </c>
      <c r="H25" s="16">
        <v>32.52131692553296</v>
      </c>
      <c r="I25" s="16">
        <v>4134.651279217383</v>
      </c>
      <c r="J25" s="16">
        <v>7.148211738765447</v>
      </c>
      <c r="K25" s="16">
        <v>2099.361497461351</v>
      </c>
      <c r="L25" s="16">
        <v>7508.532594397171</v>
      </c>
      <c r="M25" s="16">
        <v>17.48200415207332</v>
      </c>
      <c r="N25" s="16">
        <v>2.361490452455667</v>
      </c>
      <c r="O25" s="16">
        <v>149.5950611184104</v>
      </c>
      <c r="P25" s="16">
        <v>158442.1723368626</v>
      </c>
      <c r="Q25" s="16">
        <v>238543.0421361462</v>
      </c>
      <c r="R25" s="16">
        <v>99539.65545986853</v>
      </c>
      <c r="S25" s="16">
        <v>113474.5859849477</v>
      </c>
      <c r="T25" s="16">
        <v>25640.82827767064</v>
      </c>
      <c r="U25" s="16">
        <v>362121.9480040092</v>
      </c>
      <c r="V25" s="16">
        <v>3779585.30925894</v>
      </c>
      <c r="W25" s="16">
        <v>68545.02739567371</v>
      </c>
      <c r="X25" s="16">
        <v>2942021.656268209</v>
      </c>
      <c r="Y25" s="16">
        <v>1.191660855119889E7</v>
      </c>
      <c r="Z25" s="16">
        <v>50347.55913734892</v>
      </c>
      <c r="AA25" s="16">
        <v>28946.10885414614</v>
      </c>
      <c r="AB25" s="17">
        <v>479283.4696904213</v>
      </c>
      <c r="AC25" s="15">
        <v>1889.76085570905</v>
      </c>
      <c r="AD25" s="16">
        <v>0.0</v>
      </c>
      <c r="AE25" s="16">
        <v>126.6485353230122</v>
      </c>
      <c r="AF25" s="16">
        <v>240.4135501404733</v>
      </c>
      <c r="AG25" s="16">
        <v>-15.82838138011535</v>
      </c>
      <c r="AH25" s="16">
        <v>4.105898574624691</v>
      </c>
      <c r="AI25" s="16">
        <v>0.0</v>
      </c>
      <c r="AJ25" s="16">
        <v>1.921487638349182E7</v>
      </c>
      <c r="AK25" s="16">
        <v>910965.0593006716</v>
      </c>
      <c r="AL25" s="16">
        <v>1.161346340408759E7</v>
      </c>
      <c r="AM25" s="16">
        <v>3305544.367448728</v>
      </c>
      <c r="AN25" s="16">
        <v>123639.7310161102</v>
      </c>
      <c r="AO25" s="16">
        <v>2782.121509025499</v>
      </c>
      <c r="AP25" s="16">
        <v>0.0</v>
      </c>
      <c r="AQ25" s="15">
        <f t="shared" si="5"/>
        <v>35171271.07</v>
      </c>
      <c r="AR25" s="16">
        <f t="shared" si="6"/>
        <v>2245.100458</v>
      </c>
      <c r="AS25" s="17">
        <f t="shared" si="3"/>
        <v>35173516.17</v>
      </c>
      <c r="AT25" s="18">
        <f t="shared" si="4"/>
        <v>55451407.94</v>
      </c>
      <c r="AU25" s="13" t="s">
        <v>13</v>
      </c>
      <c r="AV25" s="14"/>
    </row>
    <row r="26" ht="15.75" customHeight="1">
      <c r="A26" s="14"/>
      <c r="B26" s="6" t="s">
        <v>14</v>
      </c>
      <c r="C26" s="15">
        <v>0.08323127021432435</v>
      </c>
      <c r="D26" s="16">
        <v>2.606605400538706</v>
      </c>
      <c r="E26" s="16">
        <v>0.1141543171151105</v>
      </c>
      <c r="F26" s="16">
        <v>1.320317101005469</v>
      </c>
      <c r="G26" s="16">
        <v>5.650207263235054</v>
      </c>
      <c r="H26" s="16">
        <v>0.1112826808887167</v>
      </c>
      <c r="I26" s="16">
        <v>155.8873742281018</v>
      </c>
      <c r="J26" s="16">
        <v>0.04823861237186796</v>
      </c>
      <c r="K26" s="16">
        <v>25.12464297131107</v>
      </c>
      <c r="L26" s="16">
        <v>5.355864106421086</v>
      </c>
      <c r="M26" s="16">
        <v>15.34346949203117</v>
      </c>
      <c r="N26" s="16">
        <v>0.03489528165428533</v>
      </c>
      <c r="O26" s="16">
        <v>0.5100686187043451</v>
      </c>
      <c r="P26" s="16">
        <v>2145.983065035291</v>
      </c>
      <c r="Q26" s="16">
        <v>4581.877584057319</v>
      </c>
      <c r="R26" s="16">
        <v>3015.863182322725</v>
      </c>
      <c r="S26" s="16">
        <v>4318.304081373272</v>
      </c>
      <c r="T26" s="16">
        <v>11475.42617674844</v>
      </c>
      <c r="U26" s="16">
        <v>6237.776543297759</v>
      </c>
      <c r="V26" s="16">
        <v>66726.37668191783</v>
      </c>
      <c r="W26" s="16">
        <v>732.8542991184167</v>
      </c>
      <c r="X26" s="16">
        <v>27381.41786239853</v>
      </c>
      <c r="Y26" s="16">
        <v>77180.1883249134</v>
      </c>
      <c r="Z26" s="16">
        <v>27810.59484864701</v>
      </c>
      <c r="AA26" s="16">
        <v>2770.819540097979</v>
      </c>
      <c r="AB26" s="17">
        <v>7535.997261177887</v>
      </c>
      <c r="AC26" s="15">
        <v>3.097445822173814</v>
      </c>
      <c r="AD26" s="16">
        <v>0.0</v>
      </c>
      <c r="AE26" s="16">
        <v>0.06246148626304528</v>
      </c>
      <c r="AF26" s="16">
        <v>2.437501145096102</v>
      </c>
      <c r="AG26" s="16">
        <v>4.843644756390734</v>
      </c>
      <c r="AH26" s="16">
        <v>0.8953510899473403</v>
      </c>
      <c r="AI26" s="16">
        <v>0.0</v>
      </c>
      <c r="AJ26" s="16">
        <v>59356.02736672117</v>
      </c>
      <c r="AK26" s="16">
        <v>433.8032171170189</v>
      </c>
      <c r="AL26" s="16">
        <v>27888.70114732236</v>
      </c>
      <c r="AM26" s="16">
        <v>1264.828890250356</v>
      </c>
      <c r="AN26" s="16">
        <v>1275.908063582274</v>
      </c>
      <c r="AO26" s="16">
        <v>216.1845456227803</v>
      </c>
      <c r="AP26" s="16">
        <v>0.0</v>
      </c>
      <c r="AQ26" s="15">
        <f t="shared" si="5"/>
        <v>90435.45323</v>
      </c>
      <c r="AR26" s="16">
        <f t="shared" si="6"/>
        <v>11.3364043</v>
      </c>
      <c r="AS26" s="17">
        <f t="shared" si="3"/>
        <v>90446.78963</v>
      </c>
      <c r="AT26" s="18">
        <f t="shared" si="4"/>
        <v>332572.4594</v>
      </c>
      <c r="AU26" s="13" t="s">
        <v>14</v>
      </c>
      <c r="AV26" s="14"/>
    </row>
    <row r="27" ht="15.75" customHeight="1">
      <c r="A27" s="14"/>
      <c r="B27" s="6" t="s">
        <v>15</v>
      </c>
      <c r="C27" s="15">
        <v>0.02932170586680653</v>
      </c>
      <c r="D27" s="16">
        <v>1.076193446909904</v>
      </c>
      <c r="E27" s="16">
        <v>0.05794727043915426</v>
      </c>
      <c r="F27" s="16">
        <v>0.6269436080571126</v>
      </c>
      <c r="G27" s="16">
        <v>0.6177586959551621</v>
      </c>
      <c r="H27" s="16">
        <v>0.1423666216542104</v>
      </c>
      <c r="I27" s="16">
        <v>14.45739950166515</v>
      </c>
      <c r="J27" s="16">
        <v>0.02677332126951932</v>
      </c>
      <c r="K27" s="16">
        <v>20.73597195934589</v>
      </c>
      <c r="L27" s="16">
        <v>3.265326376434578</v>
      </c>
      <c r="M27" s="16">
        <v>1.337729909998048</v>
      </c>
      <c r="N27" s="16">
        <v>0.0051090475853743</v>
      </c>
      <c r="O27" s="16">
        <v>0.2596581441226978</v>
      </c>
      <c r="P27" s="16">
        <v>4585.715206186791</v>
      </c>
      <c r="Q27" s="16">
        <v>3077.43204897631</v>
      </c>
      <c r="R27" s="16">
        <v>1267.579423642632</v>
      </c>
      <c r="S27" s="16">
        <v>1513.809359811582</v>
      </c>
      <c r="T27" s="16">
        <v>1289.169644103945</v>
      </c>
      <c r="U27" s="16">
        <v>3367.021406584128</v>
      </c>
      <c r="V27" s="16">
        <v>27465.18930793763</v>
      </c>
      <c r="W27" s="16">
        <v>1112.864665893082</v>
      </c>
      <c r="X27" s="16">
        <v>15449.48490331748</v>
      </c>
      <c r="Y27" s="16">
        <v>42739.89349635812</v>
      </c>
      <c r="Z27" s="16">
        <v>2611.01638318946</v>
      </c>
      <c r="AA27" s="16">
        <v>10850.18921725735</v>
      </c>
      <c r="AB27" s="17">
        <v>5374.079997282348</v>
      </c>
      <c r="AC27" s="15">
        <v>2.595800755776076</v>
      </c>
      <c r="AD27" s="16">
        <v>0.0</v>
      </c>
      <c r="AE27" s="16">
        <v>0.03618247642663452</v>
      </c>
      <c r="AF27" s="16">
        <v>6.375250018953875</v>
      </c>
      <c r="AG27" s="16">
        <v>0.06411481150692508</v>
      </c>
      <c r="AH27" s="16">
        <v>0.1176715101844378</v>
      </c>
      <c r="AI27" s="16">
        <v>0.0</v>
      </c>
      <c r="AJ27" s="16">
        <v>109252.564615866</v>
      </c>
      <c r="AK27" s="16">
        <v>58.15450903888431</v>
      </c>
      <c r="AL27" s="16">
        <v>7502.937585098121</v>
      </c>
      <c r="AM27" s="16">
        <v>1778.501972785819</v>
      </c>
      <c r="AN27" s="16">
        <v>-72.78056898447542</v>
      </c>
      <c r="AO27" s="16">
        <v>50.5184957779835</v>
      </c>
      <c r="AP27" s="16">
        <v>0.0</v>
      </c>
      <c r="AQ27" s="15">
        <f t="shared" si="5"/>
        <v>118569.8966</v>
      </c>
      <c r="AR27" s="16">
        <f t="shared" si="6"/>
        <v>9.189019573</v>
      </c>
      <c r="AS27" s="17">
        <f t="shared" si="3"/>
        <v>118579.0856</v>
      </c>
      <c r="AT27" s="18">
        <f t="shared" si="4"/>
        <v>239325.1692</v>
      </c>
      <c r="AU27" s="13" t="s">
        <v>15</v>
      </c>
      <c r="AV27" s="14"/>
    </row>
    <row r="28" ht="15.75" customHeight="1">
      <c r="A28" s="19"/>
      <c r="B28" s="6" t="s">
        <v>16</v>
      </c>
      <c r="C28" s="20">
        <v>1.964441900060895</v>
      </c>
      <c r="D28" s="21">
        <v>28.79545732456456</v>
      </c>
      <c r="E28" s="21">
        <v>2.708743880487113</v>
      </c>
      <c r="F28" s="21">
        <v>13.91454761429686</v>
      </c>
      <c r="G28" s="21">
        <v>1.399880382837125</v>
      </c>
      <c r="H28" s="21">
        <v>2.619536702581952</v>
      </c>
      <c r="I28" s="21">
        <v>372.0463722928533</v>
      </c>
      <c r="J28" s="21">
        <v>0.359682548404572</v>
      </c>
      <c r="K28" s="21">
        <v>1303.956277830125</v>
      </c>
      <c r="L28" s="21">
        <v>7248.500480069238</v>
      </c>
      <c r="M28" s="21">
        <v>2.777769686652587</v>
      </c>
      <c r="N28" s="21">
        <v>0.8306994715953471</v>
      </c>
      <c r="O28" s="21">
        <v>76.3212517013102</v>
      </c>
      <c r="P28" s="21">
        <v>7916.945690273786</v>
      </c>
      <c r="Q28" s="21">
        <v>12347.91097119893</v>
      </c>
      <c r="R28" s="21">
        <v>5460.578903252706</v>
      </c>
      <c r="S28" s="21">
        <v>11204.75599928303</v>
      </c>
      <c r="T28" s="21">
        <v>785.4843734733022</v>
      </c>
      <c r="U28" s="21">
        <v>19200.85112724437</v>
      </c>
      <c r="V28" s="21">
        <v>266448.0421069262</v>
      </c>
      <c r="W28" s="21">
        <v>4293.706264940352</v>
      </c>
      <c r="X28" s="21">
        <v>275122.3997870517</v>
      </c>
      <c r="Y28" s="21">
        <v>771357.8034851889</v>
      </c>
      <c r="Z28" s="21">
        <v>2266.376667120407</v>
      </c>
      <c r="AA28" s="21">
        <v>992.6559758681431</v>
      </c>
      <c r="AB28" s="22">
        <v>40077.98308807753</v>
      </c>
      <c r="AC28" s="20">
        <v>7.841953225606805</v>
      </c>
      <c r="AD28" s="21">
        <v>0.0</v>
      </c>
      <c r="AE28" s="21">
        <v>0.1249853774649127</v>
      </c>
      <c r="AF28" s="21">
        <v>3.743880856367821</v>
      </c>
      <c r="AG28" s="21">
        <v>-0.3040584520035439</v>
      </c>
      <c r="AH28" s="21">
        <v>0.05288816146539874</v>
      </c>
      <c r="AI28" s="21">
        <v>0.0</v>
      </c>
      <c r="AJ28" s="21">
        <v>2716276.360358094</v>
      </c>
      <c r="AK28" s="21">
        <v>29605.39222160448</v>
      </c>
      <c r="AL28" s="21">
        <v>76762.71916811925</v>
      </c>
      <c r="AM28" s="21">
        <v>7526.205671279504</v>
      </c>
      <c r="AN28" s="21">
        <v>33012.51234253689</v>
      </c>
      <c r="AO28" s="21">
        <v>7549.744209818788</v>
      </c>
      <c r="AP28" s="21">
        <v>0.0</v>
      </c>
      <c r="AQ28" s="20">
        <f t="shared" si="5"/>
        <v>2870732.934</v>
      </c>
      <c r="AR28" s="21">
        <f t="shared" si="6"/>
        <v>11.45964917</v>
      </c>
      <c r="AS28" s="22">
        <f t="shared" si="3"/>
        <v>2870744.394</v>
      </c>
      <c r="AT28" s="23">
        <f t="shared" si="4"/>
        <v>4297276.083</v>
      </c>
      <c r="AU28" s="13" t="s">
        <v>16</v>
      </c>
      <c r="AV28" s="19"/>
    </row>
    <row r="29" ht="15.75" customHeight="1">
      <c r="A29" s="16"/>
      <c r="B29" s="24" t="s">
        <v>28</v>
      </c>
      <c r="C29" s="16">
        <f>$AT3-C30</f>
        <v>1961.633214</v>
      </c>
      <c r="D29" s="16">
        <f>$AT4-D30</f>
        <v>15314.1276</v>
      </c>
      <c r="E29" s="16">
        <f>$AT5-E30</f>
        <v>1510.310496</v>
      </c>
      <c r="F29" s="16">
        <f>$AT6-F30</f>
        <v>2103.764017</v>
      </c>
      <c r="G29" s="16">
        <f>$AT7-G30</f>
        <v>1002.7442</v>
      </c>
      <c r="H29" s="16">
        <f>$AT8-H30</f>
        <v>4074.807766</v>
      </c>
      <c r="I29" s="16">
        <f>$AT9-I30</f>
        <v>92225.17539</v>
      </c>
      <c r="J29" s="16">
        <f>$AT10-J30</f>
        <v>51.98525067</v>
      </c>
      <c r="K29" s="16">
        <f>$AT11-K30</f>
        <v>83982.70678</v>
      </c>
      <c r="L29" s="16">
        <f>$AT12-L30</f>
        <v>170193.7225</v>
      </c>
      <c r="M29" s="16">
        <f>$AT13-M30</f>
        <v>1979.81326</v>
      </c>
      <c r="N29" s="16">
        <f>$AT14-N30</f>
        <v>654.951</v>
      </c>
      <c r="O29" s="16">
        <f>$AT15-O30</f>
        <v>22104.75525</v>
      </c>
      <c r="P29" s="16">
        <f>$AT16-P30</f>
        <v>1894882.969</v>
      </c>
      <c r="Q29" s="16">
        <f>$AT17-Q30</f>
        <v>1158907.65</v>
      </c>
      <c r="R29" s="16">
        <f>$AT18-R30</f>
        <v>1150897.811</v>
      </c>
      <c r="S29" s="16">
        <f>$AT19-S30</f>
        <v>604837.9045</v>
      </c>
      <c r="T29" s="16">
        <f>$AT20-T30</f>
        <v>68791.04452</v>
      </c>
      <c r="U29" s="16">
        <f>$AT21-U30</f>
        <v>2588536.436</v>
      </c>
      <c r="V29" s="16">
        <f>$AT22-V30</f>
        <v>16695150.51</v>
      </c>
      <c r="W29" s="16">
        <f>$AT23-W30</f>
        <v>139355.7448</v>
      </c>
      <c r="X29" s="16">
        <f>$AT24-X30</f>
        <v>16176106.94</v>
      </c>
      <c r="Y29" s="16">
        <f>$AT25-Y30</f>
        <v>34708487.55</v>
      </c>
      <c r="Z29" s="16">
        <f>$AT26-Z30</f>
        <v>158030.979</v>
      </c>
      <c r="AA29" s="16">
        <f>$AT27-AA30</f>
        <v>139710.8041</v>
      </c>
      <c r="AB29" s="16">
        <f>$AT28-AB30</f>
        <v>2483362.578</v>
      </c>
      <c r="AC29" s="25">
        <f>SUM(C29:AB29)</f>
        <v>78364219.42</v>
      </c>
      <c r="AD29" s="26"/>
      <c r="AE29" s="27" t="s">
        <v>29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ht="15.75" customHeight="1">
      <c r="A30" s="16"/>
      <c r="B30" s="28" t="s">
        <v>30</v>
      </c>
      <c r="C30" s="16">
        <f t="shared" ref="C30:AB30" si="7">SUM(C3:C28)</f>
        <v>2092.001522</v>
      </c>
      <c r="D30" s="16">
        <f t="shared" si="7"/>
        <v>10058.39555</v>
      </c>
      <c r="E30" s="16">
        <f t="shared" si="7"/>
        <v>2797.490227</v>
      </c>
      <c r="F30" s="16">
        <f t="shared" si="7"/>
        <v>5796.706165</v>
      </c>
      <c r="G30" s="16">
        <f t="shared" si="7"/>
        <v>1399.994508</v>
      </c>
      <c r="H30" s="16">
        <f t="shared" si="7"/>
        <v>2891.828032</v>
      </c>
      <c r="I30" s="16">
        <f t="shared" si="7"/>
        <v>144647.9564</v>
      </c>
      <c r="J30" s="16">
        <f t="shared" si="7"/>
        <v>484.545772</v>
      </c>
      <c r="K30" s="16">
        <f t="shared" si="7"/>
        <v>62155.53722</v>
      </c>
      <c r="L30" s="16">
        <f t="shared" si="7"/>
        <v>114389.0071</v>
      </c>
      <c r="M30" s="16">
        <f t="shared" si="7"/>
        <v>2709.965756</v>
      </c>
      <c r="N30" s="16">
        <f t="shared" si="7"/>
        <v>461.219</v>
      </c>
      <c r="O30" s="16">
        <f t="shared" si="7"/>
        <v>8486.468465</v>
      </c>
      <c r="P30" s="16">
        <f t="shared" si="7"/>
        <v>1679571.338</v>
      </c>
      <c r="Q30" s="16">
        <f t="shared" si="7"/>
        <v>2632488.956</v>
      </c>
      <c r="R30" s="16">
        <f t="shared" si="7"/>
        <v>975189.4101</v>
      </c>
      <c r="S30" s="16">
        <f t="shared" si="7"/>
        <v>1682515.105</v>
      </c>
      <c r="T30" s="16">
        <f t="shared" si="7"/>
        <v>79716.34359</v>
      </c>
      <c r="U30" s="16">
        <f t="shared" si="7"/>
        <v>1902833.055</v>
      </c>
      <c r="V30" s="16">
        <f t="shared" si="7"/>
        <v>33922404.95</v>
      </c>
      <c r="W30" s="16">
        <f t="shared" si="7"/>
        <v>612854.0175</v>
      </c>
      <c r="X30" s="16">
        <f t="shared" si="7"/>
        <v>11006676.24</v>
      </c>
      <c r="Y30" s="16">
        <f t="shared" si="7"/>
        <v>20742920.39</v>
      </c>
      <c r="Z30" s="16">
        <f t="shared" si="7"/>
        <v>174541.4804</v>
      </c>
      <c r="AA30" s="16">
        <f t="shared" si="7"/>
        <v>99614.36511</v>
      </c>
      <c r="AB30" s="16">
        <f t="shared" si="7"/>
        <v>1813913.506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ht="15.75" customHeight="1">
      <c r="A31" s="16"/>
      <c r="B31" s="24" t="s">
        <v>31</v>
      </c>
      <c r="C31" s="16">
        <f t="shared" ref="C31:AB31" si="8">SUM(C3:C29)</f>
        <v>4053.634736</v>
      </c>
      <c r="D31" s="16">
        <f t="shared" si="8"/>
        <v>25372.52315</v>
      </c>
      <c r="E31" s="16">
        <f t="shared" si="8"/>
        <v>4307.800723</v>
      </c>
      <c r="F31" s="16">
        <f t="shared" si="8"/>
        <v>7900.470182</v>
      </c>
      <c r="G31" s="16">
        <f t="shared" si="8"/>
        <v>2402.738707</v>
      </c>
      <c r="H31" s="16">
        <f t="shared" si="8"/>
        <v>6966.635798</v>
      </c>
      <c r="I31" s="16">
        <f t="shared" si="8"/>
        <v>236873.1317</v>
      </c>
      <c r="J31" s="16">
        <f t="shared" si="8"/>
        <v>536.5310227</v>
      </c>
      <c r="K31" s="16">
        <f t="shared" si="8"/>
        <v>146138.244</v>
      </c>
      <c r="L31" s="16">
        <f t="shared" si="8"/>
        <v>284582.7295</v>
      </c>
      <c r="M31" s="16">
        <f t="shared" si="8"/>
        <v>4689.779016</v>
      </c>
      <c r="N31" s="16">
        <f t="shared" si="8"/>
        <v>1116.17</v>
      </c>
      <c r="O31" s="16">
        <f t="shared" si="8"/>
        <v>30591.22371</v>
      </c>
      <c r="P31" s="16">
        <f t="shared" si="8"/>
        <v>3574454.307</v>
      </c>
      <c r="Q31" s="16">
        <f t="shared" si="8"/>
        <v>3791396.605</v>
      </c>
      <c r="R31" s="16">
        <f t="shared" si="8"/>
        <v>2126087.221</v>
      </c>
      <c r="S31" s="16">
        <f t="shared" si="8"/>
        <v>2287353.009</v>
      </c>
      <c r="T31" s="16">
        <f t="shared" si="8"/>
        <v>148507.3881</v>
      </c>
      <c r="U31" s="16">
        <f t="shared" si="8"/>
        <v>4491369.491</v>
      </c>
      <c r="V31" s="16">
        <f t="shared" si="8"/>
        <v>50617555.46</v>
      </c>
      <c r="W31" s="16">
        <f t="shared" si="8"/>
        <v>752209.7624</v>
      </c>
      <c r="X31" s="16">
        <f t="shared" si="8"/>
        <v>27182783.18</v>
      </c>
      <c r="Y31" s="16">
        <f t="shared" si="8"/>
        <v>55451407.94</v>
      </c>
      <c r="Z31" s="16">
        <f t="shared" si="8"/>
        <v>332572.4594</v>
      </c>
      <c r="AA31" s="16">
        <f t="shared" si="8"/>
        <v>239325.1692</v>
      </c>
      <c r="AB31" s="16">
        <f t="shared" si="8"/>
        <v>4297276.083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ht="15.75" customHeight="1">
      <c r="A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ht="15.75" customHeight="1">
      <c r="A33" s="16"/>
      <c r="B33" s="29" t="s">
        <v>32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ht="15.75" customHeight="1">
      <c r="B34" s="1" t="s">
        <v>0</v>
      </c>
      <c r="C34" s="2" t="s">
        <v>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2" t="s">
        <v>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4"/>
    </row>
    <row r="35" ht="15.75" customHeight="1">
      <c r="B35" s="8" t="s">
        <v>3</v>
      </c>
      <c r="C35" s="8" t="s">
        <v>4</v>
      </c>
      <c r="D35" s="8" t="s">
        <v>5</v>
      </c>
      <c r="E35" s="8" t="s">
        <v>6</v>
      </c>
      <c r="F35" s="8" t="s">
        <v>7</v>
      </c>
      <c r="G35" s="8" t="s">
        <v>8</v>
      </c>
      <c r="H35" s="8" t="s">
        <v>9</v>
      </c>
      <c r="I35" s="8" t="s">
        <v>10</v>
      </c>
      <c r="J35" s="8" t="s">
        <v>11</v>
      </c>
      <c r="K35" s="8" t="s">
        <v>12</v>
      </c>
      <c r="L35" s="8" t="s">
        <v>13</v>
      </c>
      <c r="M35" s="8" t="s">
        <v>14</v>
      </c>
      <c r="N35" s="8" t="s">
        <v>15</v>
      </c>
      <c r="O35" s="8" t="s">
        <v>16</v>
      </c>
      <c r="P35" s="8" t="s">
        <v>4</v>
      </c>
      <c r="Q35" s="8" t="s">
        <v>5</v>
      </c>
      <c r="R35" s="8" t="s">
        <v>6</v>
      </c>
      <c r="S35" s="8" t="s">
        <v>7</v>
      </c>
      <c r="T35" s="8" t="s">
        <v>8</v>
      </c>
      <c r="U35" s="8" t="s">
        <v>9</v>
      </c>
      <c r="V35" s="8" t="s">
        <v>10</v>
      </c>
      <c r="W35" s="8" t="s">
        <v>11</v>
      </c>
      <c r="X35" s="8" t="s">
        <v>12</v>
      </c>
      <c r="Y35" s="8" t="s">
        <v>13</v>
      </c>
      <c r="Z35" s="8" t="s">
        <v>14</v>
      </c>
      <c r="AA35" s="8" t="s">
        <v>15</v>
      </c>
      <c r="AB35" s="8" t="s">
        <v>16</v>
      </c>
    </row>
    <row r="36" ht="15.75" customHeight="1">
      <c r="A36" s="16" t="s">
        <v>33</v>
      </c>
      <c r="B36" s="30" t="s">
        <v>34</v>
      </c>
      <c r="C36" s="10">
        <v>1.599395404722426E9</v>
      </c>
      <c r="D36" s="10">
        <v>9.073041014675086E8</v>
      </c>
      <c r="E36" s="10">
        <v>1.4220182008134446E9</v>
      </c>
      <c r="F36" s="10">
        <v>4.501120213649286E8</v>
      </c>
      <c r="G36" s="10">
        <v>1.97548982315978E8</v>
      </c>
      <c r="H36" s="10">
        <v>1.3488115156579468E9</v>
      </c>
      <c r="I36" s="10">
        <v>2.6932981667106514E10</v>
      </c>
      <c r="J36" s="10">
        <v>2.5411299956664E7</v>
      </c>
      <c r="K36" s="10">
        <v>2.4996084251887417E10</v>
      </c>
      <c r="L36" s="10">
        <v>5.812384121702723E9</v>
      </c>
      <c r="M36" s="10">
        <v>3.04510569550575E8</v>
      </c>
      <c r="N36" s="10">
        <v>6207549.365534</v>
      </c>
      <c r="O36" s="10">
        <v>1.2695481744259999E9</v>
      </c>
      <c r="P36" s="10">
        <v>6.706021155734662E11</v>
      </c>
      <c r="Q36" s="10">
        <v>4.612188728229487E11</v>
      </c>
      <c r="R36" s="10">
        <v>3.552842420925578E11</v>
      </c>
      <c r="S36" s="10">
        <v>5.408577235725134E11</v>
      </c>
      <c r="T36" s="10">
        <v>4.894075047177801E10</v>
      </c>
      <c r="U36" s="10">
        <v>1.2681620719052847E12</v>
      </c>
      <c r="V36" s="10">
        <v>1.0717220105631494E13</v>
      </c>
      <c r="W36" s="10">
        <v>3.7243034264277954E11</v>
      </c>
      <c r="X36" s="10">
        <v>1.6319027056516934E13</v>
      </c>
      <c r="Y36" s="10">
        <v>1.7003087562061042E12</v>
      </c>
      <c r="Z36" s="10">
        <v>8.359078465767175E10</v>
      </c>
      <c r="AA36" s="10">
        <v>2.3772824682468746E10</v>
      </c>
      <c r="AB36" s="11">
        <v>1.199983745177847E11</v>
      </c>
    </row>
    <row r="37" ht="15.75" customHeight="1">
      <c r="B37" s="31" t="s">
        <v>35</v>
      </c>
      <c r="C37" s="16">
        <v>1.456430696042465E7</v>
      </c>
      <c r="D37" s="16">
        <v>3263882.715850208</v>
      </c>
      <c r="E37" s="16">
        <v>2.7359991004322276E7</v>
      </c>
      <c r="F37" s="16">
        <v>1807094.2417666267</v>
      </c>
      <c r="G37" s="16">
        <v>1338099.2056297325</v>
      </c>
      <c r="H37" s="16">
        <v>2.538400005937228E7</v>
      </c>
      <c r="I37" s="16">
        <v>7.63962408945758E7</v>
      </c>
      <c r="J37" s="16">
        <v>122854.74419637061</v>
      </c>
      <c r="K37" s="16">
        <v>8.803887690412214E7</v>
      </c>
      <c r="L37" s="16">
        <v>1.9846532627358828E7</v>
      </c>
      <c r="M37" s="16">
        <v>2583157.200963809</v>
      </c>
      <c r="N37" s="16">
        <v>17230.295682362</v>
      </c>
      <c r="O37" s="16">
        <v>1.30029972713274E7</v>
      </c>
      <c r="P37" s="16">
        <v>8.165801131763519E9</v>
      </c>
      <c r="Q37" s="16">
        <v>2.150416232889354E9</v>
      </c>
      <c r="R37" s="16">
        <v>4.721539586651518E9</v>
      </c>
      <c r="S37" s="16">
        <v>3.215760927560097E9</v>
      </c>
      <c r="T37" s="16">
        <v>1.48001382366575E8</v>
      </c>
      <c r="U37" s="16">
        <v>3.425315803183817E9</v>
      </c>
      <c r="V37" s="16">
        <v>2.677766528078357E10</v>
      </c>
      <c r="W37" s="16">
        <v>9.836065130425112E8</v>
      </c>
      <c r="X37" s="16">
        <v>1.7845257369824448E10</v>
      </c>
      <c r="Y37" s="16">
        <v>1.439681475394226E10</v>
      </c>
      <c r="Z37" s="16">
        <v>5.0916708610921293E8</v>
      </c>
      <c r="AA37" s="16">
        <v>1.5564108410498682E8</v>
      </c>
      <c r="AB37" s="17">
        <v>2.182400095275404E9</v>
      </c>
    </row>
    <row r="38" ht="15.75" customHeight="1">
      <c r="B38" s="32" t="s">
        <v>36</v>
      </c>
      <c r="C38" s="16">
        <v>0.0</v>
      </c>
      <c r="D38" s="16">
        <v>0.0</v>
      </c>
      <c r="E38" s="16">
        <v>5.5725996015442E9</v>
      </c>
      <c r="F38" s="16">
        <v>0.0</v>
      </c>
      <c r="G38" s="16">
        <v>1.118487853014E9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1.643973174043E9</v>
      </c>
      <c r="N38" s="16">
        <v>0.0</v>
      </c>
      <c r="O38" s="16">
        <v>0.0</v>
      </c>
      <c r="P38" s="16">
        <v>1.20053926897E12</v>
      </c>
      <c r="Q38" s="16">
        <v>0.0</v>
      </c>
      <c r="R38" s="16">
        <v>2.962486480115716E12</v>
      </c>
      <c r="S38" s="16">
        <v>0.0</v>
      </c>
      <c r="T38" s="16">
        <v>1.4958421882368506E12</v>
      </c>
      <c r="U38" s="16">
        <v>0.0</v>
      </c>
      <c r="V38" s="16">
        <v>0.0</v>
      </c>
      <c r="W38" s="16">
        <v>0.0</v>
      </c>
      <c r="X38" s="16">
        <v>0.0</v>
      </c>
      <c r="Y38" s="16">
        <v>0.0</v>
      </c>
      <c r="Z38" s="16">
        <v>8.745869180332087E11</v>
      </c>
      <c r="AA38" s="16">
        <v>0.0</v>
      </c>
      <c r="AB38" s="17">
        <v>0.0</v>
      </c>
    </row>
    <row r="39" ht="15.75" customHeight="1">
      <c r="A39" s="16"/>
      <c r="B39" s="33" t="s">
        <v>37</v>
      </c>
      <c r="C39" s="16">
        <v>1.1404978924261813E9</v>
      </c>
      <c r="D39" s="16">
        <v>4305058.059215768</v>
      </c>
      <c r="E39" s="16">
        <v>1.1685168572832625E9</v>
      </c>
      <c r="F39" s="16">
        <v>2387046.5712984675</v>
      </c>
      <c r="G39" s="16">
        <v>2057895.4753640008</v>
      </c>
      <c r="H39" s="16">
        <v>1.0478557900761627E7</v>
      </c>
      <c r="I39" s="16">
        <v>1.477607368960259E8</v>
      </c>
      <c r="J39" s="16">
        <v>149676.711304302</v>
      </c>
      <c r="K39" s="16">
        <v>1.1932054439375548E8</v>
      </c>
      <c r="L39" s="16">
        <v>4.391967654800533E7</v>
      </c>
      <c r="M39" s="16">
        <v>3256031.0196779026</v>
      </c>
      <c r="N39" s="16">
        <v>63616.418499269996</v>
      </c>
      <c r="O39" s="16">
        <v>1.4175284046350699E7</v>
      </c>
      <c r="P39" s="16">
        <v>8.323017884964977E11</v>
      </c>
      <c r="Q39" s="16">
        <v>3.0940682276636467E9</v>
      </c>
      <c r="R39" s="16">
        <v>1.2906539764976038E12</v>
      </c>
      <c r="S39" s="16">
        <v>3.7403642737917786E9</v>
      </c>
      <c r="T39" s="16">
        <v>2.2432257739285055E8</v>
      </c>
      <c r="U39" s="16">
        <v>6.922893579065684E9</v>
      </c>
      <c r="V39" s="16">
        <v>5.285979617994392E10</v>
      </c>
      <c r="W39" s="16">
        <v>1.6162447767857568E9</v>
      </c>
      <c r="X39" s="16">
        <v>1.066224420119935E11</v>
      </c>
      <c r="Y39" s="16">
        <v>1.4916700287557808E10</v>
      </c>
      <c r="Z39" s="16">
        <v>3.5217978943831813E8</v>
      </c>
      <c r="AA39" s="16">
        <v>1.0552214471560152E8</v>
      </c>
      <c r="AB39" s="17">
        <v>1.401770009259382E9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</row>
    <row r="40" ht="15.75" customHeight="1">
      <c r="B40" s="34" t="s">
        <v>38</v>
      </c>
      <c r="C40" s="16">
        <v>3.6898335E7</v>
      </c>
      <c r="D40" s="16">
        <v>1.942618545E7</v>
      </c>
      <c r="E40" s="16">
        <v>6080196.62304</v>
      </c>
      <c r="F40" s="16">
        <v>3311865.83493</v>
      </c>
      <c r="G40" s="16">
        <v>7.6966529427E7</v>
      </c>
      <c r="H40" s="16">
        <v>1.2145736273400001E8</v>
      </c>
      <c r="I40" s="16">
        <v>1.101655210977E8</v>
      </c>
      <c r="J40" s="16">
        <v>1221786.9900000002</v>
      </c>
      <c r="K40" s="16">
        <v>0.0</v>
      </c>
      <c r="L40" s="16">
        <v>0.0</v>
      </c>
      <c r="M40" s="16">
        <v>8.860217779079999E7</v>
      </c>
      <c r="N40" s="16">
        <v>0.0</v>
      </c>
      <c r="O40" s="16">
        <v>0.0</v>
      </c>
      <c r="P40" s="16">
        <v>2.103728901783351E10</v>
      </c>
      <c r="Q40" s="16">
        <v>2.7758083695679054E9</v>
      </c>
      <c r="R40" s="16">
        <v>2.49739997156471E9</v>
      </c>
      <c r="S40" s="16">
        <v>4.9574601289527166E8</v>
      </c>
      <c r="T40" s="16">
        <v>3.3242258613175076E10</v>
      </c>
      <c r="U40" s="16">
        <v>5.951574382510078E10</v>
      </c>
      <c r="V40" s="16">
        <v>8.045978239068607E10</v>
      </c>
      <c r="W40" s="16">
        <v>6.901977387658536E8</v>
      </c>
      <c r="X40" s="16">
        <v>0.0</v>
      </c>
      <c r="Y40" s="16">
        <v>0.0</v>
      </c>
      <c r="Z40" s="16">
        <v>1.3386852095972284E10</v>
      </c>
      <c r="AA40" s="16">
        <v>0.0</v>
      </c>
      <c r="AB40" s="17">
        <v>0.0</v>
      </c>
    </row>
    <row r="41" ht="15.75" customHeight="1">
      <c r="B41" s="20" t="s">
        <v>39</v>
      </c>
      <c r="C41" s="21">
        <v>2.7913559391090317E9</v>
      </c>
      <c r="D41" s="21">
        <v>9.342992276925746E8</v>
      </c>
      <c r="E41" s="21">
        <v>8.19657484726827E9</v>
      </c>
      <c r="F41" s="21">
        <v>4.576180280129237E8</v>
      </c>
      <c r="G41" s="21">
        <v>1.3963993594379716E9</v>
      </c>
      <c r="H41" s="21">
        <v>1.5061314363520806E9</v>
      </c>
      <c r="I41" s="21">
        <v>2.7267304165994816E10</v>
      </c>
      <c r="J41" s="21">
        <v>2.6905618402164675E7</v>
      </c>
      <c r="K41" s="21">
        <v>2.5203443673185295E10</v>
      </c>
      <c r="L41" s="21">
        <v>5.876150330878086E9</v>
      </c>
      <c r="M41" s="21">
        <v>2.0429251096050167E9</v>
      </c>
      <c r="N41" s="21">
        <v>6288396.079715633</v>
      </c>
      <c r="O41" s="21">
        <v>1.296726455743678E9</v>
      </c>
      <c r="P41" s="21">
        <v>2.732646263189561E12</v>
      </c>
      <c r="Q41" s="21">
        <v>4.6923916565306964E11</v>
      </c>
      <c r="R41" s="21">
        <v>4.615643638264094E12</v>
      </c>
      <c r="S41" s="21">
        <v>5.483095947867606E11</v>
      </c>
      <c r="T41" s="21">
        <v>1.578397521281563E12</v>
      </c>
      <c r="U41" s="21">
        <v>1.338026025112635E12</v>
      </c>
      <c r="V41" s="21">
        <v>1.0877317349482906E13</v>
      </c>
      <c r="W41" s="21">
        <v>3.757203916713737E11</v>
      </c>
      <c r="X41" s="21">
        <v>1.6443494755898752E13</v>
      </c>
      <c r="Y41" s="21">
        <v>1.7296222712476042E12</v>
      </c>
      <c r="Z41" s="21">
        <v>9.724259016624004E11</v>
      </c>
      <c r="AA41" s="21">
        <v>2.4033987911289337E10</v>
      </c>
      <c r="AB41" s="22">
        <v>1.2358254462231949E11</v>
      </c>
      <c r="AC41" s="16">
        <f>SUM(C41:AB41)</f>
        <v>41905461533372</v>
      </c>
    </row>
    <row r="42" ht="15.75" customHeight="1">
      <c r="B42" s="35" t="s">
        <v>0</v>
      </c>
      <c r="C42" s="36" t="s">
        <v>1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6" t="s">
        <v>2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8"/>
    </row>
    <row r="43" ht="15.75" customHeight="1">
      <c r="B43" s="8" t="s">
        <v>3</v>
      </c>
      <c r="C43" s="8" t="s">
        <v>4</v>
      </c>
      <c r="D43" s="8" t="s">
        <v>5</v>
      </c>
      <c r="E43" s="8" t="s">
        <v>6</v>
      </c>
      <c r="F43" s="8" t="s">
        <v>7</v>
      </c>
      <c r="G43" s="8" t="s">
        <v>8</v>
      </c>
      <c r="H43" s="8" t="s">
        <v>9</v>
      </c>
      <c r="I43" s="8" t="s">
        <v>10</v>
      </c>
      <c r="J43" s="8" t="s">
        <v>11</v>
      </c>
      <c r="K43" s="8" t="s">
        <v>12</v>
      </c>
      <c r="L43" s="8" t="s">
        <v>13</v>
      </c>
      <c r="M43" s="8" t="s">
        <v>14</v>
      </c>
      <c r="N43" s="8" t="s">
        <v>15</v>
      </c>
      <c r="O43" s="8" t="s">
        <v>16</v>
      </c>
      <c r="P43" s="8" t="s">
        <v>4</v>
      </c>
      <c r="Q43" s="8" t="s">
        <v>5</v>
      </c>
      <c r="R43" s="8" t="s">
        <v>6</v>
      </c>
      <c r="S43" s="8" t="s">
        <v>7</v>
      </c>
      <c r="T43" s="8" t="s">
        <v>8</v>
      </c>
      <c r="U43" s="8" t="s">
        <v>9</v>
      </c>
      <c r="V43" s="8" t="s">
        <v>10</v>
      </c>
      <c r="W43" s="8" t="s">
        <v>11</v>
      </c>
      <c r="X43" s="8" t="s">
        <v>12</v>
      </c>
      <c r="Y43" s="8" t="s">
        <v>13</v>
      </c>
      <c r="Z43" s="8" t="s">
        <v>14</v>
      </c>
      <c r="AA43" s="8" t="s">
        <v>15</v>
      </c>
      <c r="AB43" s="8" t="s">
        <v>16</v>
      </c>
    </row>
    <row r="44" ht="15.75" customHeight="1">
      <c r="A44" s="16" t="s">
        <v>40</v>
      </c>
      <c r="B44" s="9" t="s">
        <v>41</v>
      </c>
      <c r="C44" s="10">
        <v>9814.980799749621</v>
      </c>
      <c r="D44" s="10">
        <v>0.0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9360265.002445161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0.0</v>
      </c>
      <c r="AB44" s="11">
        <v>0.0</v>
      </c>
    </row>
    <row r="45" ht="15.75" customHeight="1">
      <c r="A45" s="16"/>
      <c r="B45" s="15" t="s">
        <v>42</v>
      </c>
      <c r="C45" s="16">
        <v>0.0</v>
      </c>
      <c r="D45" s="16">
        <v>0.0</v>
      </c>
      <c r="E45" s="16">
        <v>15943.32515583468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16">
        <v>1.4027396949916366E7</v>
      </c>
      <c r="S45" s="16">
        <v>0.0</v>
      </c>
      <c r="T45" s="16">
        <v>0.0</v>
      </c>
      <c r="U45" s="16">
        <v>0.0</v>
      </c>
      <c r="V45" s="16">
        <v>0.0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7">
        <v>0.0</v>
      </c>
    </row>
    <row r="46" ht="15.75" customHeight="1">
      <c r="B46" s="15" t="s">
        <v>43</v>
      </c>
      <c r="C46" s="16">
        <v>0.0</v>
      </c>
      <c r="D46" s="16">
        <v>0.0</v>
      </c>
      <c r="E46" s="16">
        <v>0.0</v>
      </c>
      <c r="F46" s="16">
        <v>0.0</v>
      </c>
      <c r="G46" s="16">
        <v>0.0</v>
      </c>
      <c r="H46" s="16">
        <v>10298.25084</v>
      </c>
      <c r="I46" s="16">
        <v>0.0</v>
      </c>
      <c r="J46" s="16">
        <v>0.0</v>
      </c>
      <c r="K46" s="16">
        <v>0.0</v>
      </c>
      <c r="L46" s="16">
        <v>0.0</v>
      </c>
      <c r="M46" s="16">
        <v>0.0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0.0</v>
      </c>
      <c r="U46" s="16">
        <v>2474629.42487</v>
      </c>
      <c r="V46" s="16">
        <v>0.0</v>
      </c>
      <c r="W46" s="16">
        <v>0.0</v>
      </c>
      <c r="X46" s="16">
        <v>0.0</v>
      </c>
      <c r="Y46" s="16">
        <v>0.0</v>
      </c>
      <c r="Z46" s="16">
        <v>0.0</v>
      </c>
      <c r="AA46" s="16">
        <v>0.0</v>
      </c>
      <c r="AB46" s="17">
        <v>0.0</v>
      </c>
    </row>
    <row r="47" ht="15.75" customHeight="1">
      <c r="B47" s="15" t="s">
        <v>44</v>
      </c>
      <c r="C47" s="16">
        <v>0.0</v>
      </c>
      <c r="D47" s="16">
        <v>0.0</v>
      </c>
      <c r="E47" s="16">
        <v>0.35</v>
      </c>
      <c r="F47" s="16">
        <v>0.0</v>
      </c>
      <c r="G47" s="16">
        <v>0.0</v>
      </c>
      <c r="H47" s="16">
        <v>0.0</v>
      </c>
      <c r="I47" s="16">
        <v>0.0</v>
      </c>
      <c r="J47" s="16">
        <v>0.0</v>
      </c>
      <c r="K47" s="16">
        <v>0.0</v>
      </c>
      <c r="L47" s="16">
        <v>0.0</v>
      </c>
      <c r="M47" s="16">
        <v>0.0</v>
      </c>
      <c r="N47" s="16">
        <v>0.0</v>
      </c>
      <c r="O47" s="16">
        <v>0.0</v>
      </c>
      <c r="P47" s="16">
        <v>0.0</v>
      </c>
      <c r="Q47" s="16">
        <v>0.0</v>
      </c>
      <c r="R47" s="16">
        <v>73610.24559680095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0.0</v>
      </c>
      <c r="Y47" s="16">
        <v>0.0</v>
      </c>
      <c r="Z47" s="16">
        <v>0.0</v>
      </c>
      <c r="AA47" s="16">
        <v>0.0</v>
      </c>
      <c r="AB47" s="17">
        <v>0.0</v>
      </c>
    </row>
    <row r="48" ht="15.75" customHeight="1">
      <c r="B48" s="15" t="s">
        <v>45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  <c r="H48" s="16">
        <v>1295.1658519999999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1.5991268710678505E7</v>
      </c>
      <c r="V48" s="16">
        <v>0.0</v>
      </c>
      <c r="W48" s="16">
        <v>0.0</v>
      </c>
      <c r="X48" s="16">
        <v>0.0</v>
      </c>
      <c r="Y48" s="16">
        <v>0.0</v>
      </c>
      <c r="Z48" s="16">
        <v>0.0</v>
      </c>
      <c r="AA48" s="16">
        <v>0.0</v>
      </c>
      <c r="AB48" s="17">
        <v>0.0</v>
      </c>
    </row>
    <row r="49" ht="15.75" customHeight="1">
      <c r="B49" s="15" t="s">
        <v>46</v>
      </c>
      <c r="C49" s="16">
        <v>0.0</v>
      </c>
      <c r="D49" s="16">
        <v>0.0</v>
      </c>
      <c r="E49" s="16">
        <v>0.0</v>
      </c>
      <c r="F49" s="16">
        <v>0.0</v>
      </c>
      <c r="G49" s="16">
        <v>0.0</v>
      </c>
      <c r="H49" s="16">
        <v>6765.59058621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9566059.417891886</v>
      </c>
      <c r="V49" s="16">
        <v>0.0</v>
      </c>
      <c r="W49" s="16">
        <v>0.0</v>
      </c>
      <c r="X49" s="16">
        <v>0.0</v>
      </c>
      <c r="Y49" s="16">
        <v>0.0</v>
      </c>
      <c r="Z49" s="16">
        <v>0.0</v>
      </c>
      <c r="AA49" s="16">
        <v>0.0</v>
      </c>
      <c r="AB49" s="17">
        <v>0.0</v>
      </c>
    </row>
    <row r="50" ht="15.75" customHeight="1">
      <c r="B50" s="15" t="s">
        <v>47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78895.676456399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  <c r="T50" s="16">
        <v>0.0</v>
      </c>
      <c r="U50" s="16">
        <v>4.362162080935264E7</v>
      </c>
      <c r="V50" s="16">
        <v>0.0</v>
      </c>
      <c r="W50" s="16">
        <v>0.0</v>
      </c>
      <c r="X50" s="16">
        <v>0.0</v>
      </c>
      <c r="Y50" s="16">
        <v>0.0</v>
      </c>
      <c r="Z50" s="16">
        <v>0.0</v>
      </c>
      <c r="AA50" s="16">
        <v>0.0</v>
      </c>
      <c r="AB50" s="17">
        <v>0.0</v>
      </c>
    </row>
    <row r="51" ht="15.75" customHeight="1">
      <c r="B51" s="20" t="s">
        <v>48</v>
      </c>
      <c r="C51" s="21">
        <v>9814.980799749621</v>
      </c>
      <c r="D51" s="21">
        <v>0.0</v>
      </c>
      <c r="E51" s="21">
        <v>15943.67515583468</v>
      </c>
      <c r="F51" s="21">
        <v>0.0</v>
      </c>
      <c r="G51" s="21">
        <v>0.0</v>
      </c>
      <c r="H51" s="21">
        <v>97254.683734609</v>
      </c>
      <c r="I51" s="21">
        <v>0.0</v>
      </c>
      <c r="J51" s="21">
        <v>0.0</v>
      </c>
      <c r="K51" s="21">
        <v>0.0</v>
      </c>
      <c r="L51" s="21">
        <v>0.0</v>
      </c>
      <c r="M51" s="21">
        <v>0.0</v>
      </c>
      <c r="N51" s="21">
        <v>0.0</v>
      </c>
      <c r="O51" s="21">
        <v>0.0</v>
      </c>
      <c r="P51" s="21">
        <v>9360265.002445161</v>
      </c>
      <c r="Q51" s="21">
        <v>0.0</v>
      </c>
      <c r="R51" s="21">
        <v>1.4101007195513168E7</v>
      </c>
      <c r="S51" s="21">
        <v>0.0</v>
      </c>
      <c r="T51" s="21">
        <v>0.0</v>
      </c>
      <c r="U51" s="21">
        <v>7.165357836279303E7</v>
      </c>
      <c r="V51" s="21">
        <v>0.0</v>
      </c>
      <c r="W51" s="21">
        <v>0.0</v>
      </c>
      <c r="X51" s="21">
        <v>0.0</v>
      </c>
      <c r="Y51" s="21">
        <v>0.0</v>
      </c>
      <c r="Z51" s="21">
        <v>0.0</v>
      </c>
      <c r="AA51" s="21">
        <v>0.0</v>
      </c>
      <c r="AB51" s="22">
        <v>0.0</v>
      </c>
    </row>
    <row r="52" ht="15.75" customHeight="1"/>
    <row r="53" ht="15.75" customHeight="1">
      <c r="B53" s="39" t="s">
        <v>49</v>
      </c>
    </row>
    <row r="54" ht="15.75" customHeight="1">
      <c r="B54" s="1" t="s">
        <v>0</v>
      </c>
      <c r="C54" s="2" t="s">
        <v>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2" t="s">
        <v>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4"/>
    </row>
    <row r="55" ht="15.75" customHeight="1">
      <c r="B55" s="8" t="s">
        <v>3</v>
      </c>
      <c r="C55" s="8" t="s">
        <v>4</v>
      </c>
      <c r="D55" s="8" t="s">
        <v>5</v>
      </c>
      <c r="E55" s="8" t="s">
        <v>6</v>
      </c>
      <c r="F55" s="8" t="s">
        <v>7</v>
      </c>
      <c r="G55" s="8" t="s">
        <v>8</v>
      </c>
      <c r="H55" s="8" t="s">
        <v>9</v>
      </c>
      <c r="I55" s="8" t="s">
        <v>10</v>
      </c>
      <c r="J55" s="8" t="s">
        <v>11</v>
      </c>
      <c r="K55" s="8" t="s">
        <v>12</v>
      </c>
      <c r="L55" s="8" t="s">
        <v>13</v>
      </c>
      <c r="M55" s="8" t="s">
        <v>14</v>
      </c>
      <c r="N55" s="8" t="s">
        <v>15</v>
      </c>
      <c r="O55" s="8" t="s">
        <v>16</v>
      </c>
      <c r="P55" s="8" t="s">
        <v>4</v>
      </c>
      <c r="Q55" s="8" t="s">
        <v>5</v>
      </c>
      <c r="R55" s="8" t="s">
        <v>6</v>
      </c>
      <c r="S55" s="8" t="s">
        <v>7</v>
      </c>
      <c r="T55" s="8" t="s">
        <v>8</v>
      </c>
      <c r="U55" s="8" t="s">
        <v>9</v>
      </c>
      <c r="V55" s="8" t="s">
        <v>10</v>
      </c>
      <c r="W55" s="8" t="s">
        <v>11</v>
      </c>
      <c r="X55" s="8" t="s">
        <v>12</v>
      </c>
      <c r="Y55" s="8" t="s">
        <v>13</v>
      </c>
      <c r="Z55" s="8" t="s">
        <v>14</v>
      </c>
      <c r="AA55" s="8" t="s">
        <v>15</v>
      </c>
      <c r="AB55" s="8" t="s">
        <v>16</v>
      </c>
    </row>
    <row r="56" ht="15.75" customHeight="1">
      <c r="A56" s="16" t="s">
        <v>50</v>
      </c>
      <c r="B56" s="30" t="s">
        <v>34</v>
      </c>
      <c r="C56" s="10">
        <f t="shared" ref="C56:AB56" si="9">C36/C$31</f>
        <v>394558.3431</v>
      </c>
      <c r="D56" s="10">
        <f t="shared" si="9"/>
        <v>35759.31713</v>
      </c>
      <c r="E56" s="10">
        <f t="shared" si="9"/>
        <v>330103.0601</v>
      </c>
      <c r="F56" s="10">
        <f t="shared" si="9"/>
        <v>56972.8144</v>
      </c>
      <c r="G56" s="10">
        <f t="shared" si="9"/>
        <v>82218.2544</v>
      </c>
      <c r="H56" s="10">
        <f t="shared" si="9"/>
        <v>193610.1663</v>
      </c>
      <c r="I56" s="10">
        <f t="shared" si="9"/>
        <v>113702.1386</v>
      </c>
      <c r="J56" s="10">
        <f t="shared" si="9"/>
        <v>47362.2193</v>
      </c>
      <c r="K56" s="10">
        <f t="shared" si="9"/>
        <v>171044.0988</v>
      </c>
      <c r="L56" s="10">
        <f t="shared" si="9"/>
        <v>20424.23351</v>
      </c>
      <c r="M56" s="10">
        <f t="shared" si="9"/>
        <v>64930.68618</v>
      </c>
      <c r="N56" s="10">
        <f t="shared" si="9"/>
        <v>5561.473042</v>
      </c>
      <c r="O56" s="10">
        <f t="shared" si="9"/>
        <v>41500.40503</v>
      </c>
      <c r="P56" s="10">
        <f t="shared" si="9"/>
        <v>187609.6483</v>
      </c>
      <c r="Q56" s="10">
        <f t="shared" si="9"/>
        <v>121648.8067</v>
      </c>
      <c r="R56" s="10">
        <f t="shared" si="9"/>
        <v>167107.087</v>
      </c>
      <c r="S56" s="10">
        <f t="shared" si="9"/>
        <v>236455.7291</v>
      </c>
      <c r="T56" s="10">
        <f t="shared" si="9"/>
        <v>329550.9476</v>
      </c>
      <c r="U56" s="10">
        <f t="shared" si="9"/>
        <v>282355.3204</v>
      </c>
      <c r="V56" s="10">
        <f t="shared" si="9"/>
        <v>211729.3103</v>
      </c>
      <c r="W56" s="10">
        <f t="shared" si="9"/>
        <v>495115.0082</v>
      </c>
      <c r="X56" s="10">
        <f t="shared" si="9"/>
        <v>600344.2307</v>
      </c>
      <c r="Y56" s="10">
        <f t="shared" si="9"/>
        <v>30663.0403</v>
      </c>
      <c r="Z56" s="10">
        <f t="shared" si="9"/>
        <v>251346.082</v>
      </c>
      <c r="AA56" s="10">
        <f t="shared" si="9"/>
        <v>99332.73948</v>
      </c>
      <c r="AB56" s="11">
        <f t="shared" si="9"/>
        <v>27924.2879</v>
      </c>
    </row>
    <row r="57" ht="15.75" customHeight="1">
      <c r="B57" s="31" t="s">
        <v>35</v>
      </c>
      <c r="C57" s="16">
        <f t="shared" ref="C57:AB57" si="10">C37/C$31</f>
        <v>3592.900671</v>
      </c>
      <c r="D57" s="16">
        <f t="shared" si="10"/>
        <v>128.6384762</v>
      </c>
      <c r="E57" s="16">
        <f t="shared" si="10"/>
        <v>6351.266636</v>
      </c>
      <c r="F57" s="16">
        <f t="shared" si="10"/>
        <v>228.7324931</v>
      </c>
      <c r="G57" s="16">
        <f t="shared" si="10"/>
        <v>556.9058348</v>
      </c>
      <c r="H57" s="16">
        <f t="shared" si="10"/>
        <v>3643.652517</v>
      </c>
      <c r="I57" s="16">
        <f t="shared" si="10"/>
        <v>322.5196557</v>
      </c>
      <c r="J57" s="16">
        <f t="shared" si="10"/>
        <v>228.9797589</v>
      </c>
      <c r="K57" s="16">
        <f t="shared" si="10"/>
        <v>602.435574</v>
      </c>
      <c r="L57" s="16">
        <f t="shared" si="10"/>
        <v>69.73906203</v>
      </c>
      <c r="M57" s="16">
        <f t="shared" si="10"/>
        <v>550.8057399</v>
      </c>
      <c r="N57" s="16">
        <f t="shared" si="10"/>
        <v>15.43698154</v>
      </c>
      <c r="O57" s="16">
        <f t="shared" si="10"/>
        <v>425.0564604</v>
      </c>
      <c r="P57" s="16">
        <f t="shared" si="10"/>
        <v>2284.488884</v>
      </c>
      <c r="Q57" s="16">
        <f t="shared" si="10"/>
        <v>567.1831403</v>
      </c>
      <c r="R57" s="16">
        <f t="shared" si="10"/>
        <v>2220.764765</v>
      </c>
      <c r="S57" s="16">
        <f t="shared" si="10"/>
        <v>1405.887467</v>
      </c>
      <c r="T57" s="16">
        <f t="shared" si="10"/>
        <v>996.5927234</v>
      </c>
      <c r="U57" s="16">
        <f t="shared" si="10"/>
        <v>762.6439575</v>
      </c>
      <c r="V57" s="16">
        <f t="shared" si="10"/>
        <v>529.0193301</v>
      </c>
      <c r="W57" s="16">
        <f t="shared" si="10"/>
        <v>1307.622637</v>
      </c>
      <c r="X57" s="16">
        <f t="shared" si="10"/>
        <v>656.4911787</v>
      </c>
      <c r="Y57" s="16">
        <f t="shared" si="10"/>
        <v>259.6293816</v>
      </c>
      <c r="Z57" s="16">
        <f t="shared" si="10"/>
        <v>1530.995943</v>
      </c>
      <c r="AA57" s="16">
        <f t="shared" si="10"/>
        <v>650.3331205</v>
      </c>
      <c r="AB57" s="17">
        <f t="shared" si="10"/>
        <v>507.8566173</v>
      </c>
    </row>
    <row r="58" ht="15.75" customHeight="1">
      <c r="B58" s="32" t="s">
        <v>36</v>
      </c>
      <c r="C58" s="16">
        <f t="shared" ref="C58:AB58" si="11">C38/C$31</f>
        <v>0</v>
      </c>
      <c r="D58" s="16">
        <f t="shared" si="11"/>
        <v>0</v>
      </c>
      <c r="E58" s="16">
        <f t="shared" si="11"/>
        <v>1293606.636</v>
      </c>
      <c r="F58" s="16">
        <f t="shared" si="11"/>
        <v>0</v>
      </c>
      <c r="G58" s="16">
        <f t="shared" si="11"/>
        <v>465505.4041</v>
      </c>
      <c r="H58" s="16">
        <f t="shared" si="11"/>
        <v>0</v>
      </c>
      <c r="I58" s="16">
        <f t="shared" si="11"/>
        <v>0</v>
      </c>
      <c r="J58" s="16">
        <f t="shared" si="11"/>
        <v>0</v>
      </c>
      <c r="K58" s="16">
        <f t="shared" si="11"/>
        <v>0</v>
      </c>
      <c r="L58" s="16">
        <f t="shared" si="11"/>
        <v>0</v>
      </c>
      <c r="M58" s="16">
        <f t="shared" si="11"/>
        <v>350543.8462</v>
      </c>
      <c r="N58" s="16">
        <f t="shared" si="11"/>
        <v>0</v>
      </c>
      <c r="O58" s="16">
        <f t="shared" si="11"/>
        <v>0</v>
      </c>
      <c r="P58" s="16">
        <f t="shared" si="11"/>
        <v>335866.4472</v>
      </c>
      <c r="Q58" s="16">
        <f t="shared" si="11"/>
        <v>0</v>
      </c>
      <c r="R58" s="16">
        <f t="shared" si="11"/>
        <v>1393398.376</v>
      </c>
      <c r="S58" s="16">
        <f t="shared" si="11"/>
        <v>0</v>
      </c>
      <c r="T58" s="16">
        <f t="shared" si="11"/>
        <v>10072510.25</v>
      </c>
      <c r="U58" s="16">
        <f t="shared" si="11"/>
        <v>0</v>
      </c>
      <c r="V58" s="16">
        <f t="shared" si="11"/>
        <v>0</v>
      </c>
      <c r="W58" s="16">
        <f t="shared" si="11"/>
        <v>0</v>
      </c>
      <c r="X58" s="16">
        <f t="shared" si="11"/>
        <v>0</v>
      </c>
      <c r="Y58" s="16">
        <f t="shared" si="11"/>
        <v>0</v>
      </c>
      <c r="Z58" s="16">
        <f t="shared" si="11"/>
        <v>2629763.509</v>
      </c>
      <c r="AA58" s="16">
        <f t="shared" si="11"/>
        <v>0</v>
      </c>
      <c r="AB58" s="17">
        <f t="shared" si="11"/>
        <v>0</v>
      </c>
    </row>
    <row r="59" ht="15.75" customHeight="1">
      <c r="B59" s="33" t="s">
        <v>37</v>
      </c>
      <c r="C59" s="16">
        <f t="shared" ref="C59:AB59" si="12">C39/C$31</f>
        <v>281351.9142</v>
      </c>
      <c r="D59" s="16">
        <f t="shared" si="12"/>
        <v>169.6740223</v>
      </c>
      <c r="E59" s="16">
        <f t="shared" si="12"/>
        <v>271256.015</v>
      </c>
      <c r="F59" s="16">
        <f t="shared" si="12"/>
        <v>302.1398115</v>
      </c>
      <c r="G59" s="16">
        <f t="shared" si="12"/>
        <v>856.4790957</v>
      </c>
      <c r="H59" s="16">
        <f t="shared" si="12"/>
        <v>1504.105885</v>
      </c>
      <c r="I59" s="16">
        <f t="shared" si="12"/>
        <v>623.796949</v>
      </c>
      <c r="J59" s="16">
        <f t="shared" si="12"/>
        <v>278.971215</v>
      </c>
      <c r="K59" s="16">
        <f t="shared" si="12"/>
        <v>816.4908865</v>
      </c>
      <c r="L59" s="16">
        <f t="shared" si="12"/>
        <v>154.330084</v>
      </c>
      <c r="M59" s="16">
        <f t="shared" si="12"/>
        <v>694.2823976</v>
      </c>
      <c r="N59" s="16">
        <f t="shared" si="12"/>
        <v>56.99527715</v>
      </c>
      <c r="O59" s="16">
        <f t="shared" si="12"/>
        <v>463.3774765</v>
      </c>
      <c r="P59" s="16">
        <f t="shared" si="12"/>
        <v>232847.2312</v>
      </c>
      <c r="Q59" s="16">
        <f t="shared" si="12"/>
        <v>816.0761191</v>
      </c>
      <c r="R59" s="16">
        <f t="shared" si="12"/>
        <v>607055.9871</v>
      </c>
      <c r="S59" s="16">
        <f t="shared" si="12"/>
        <v>1635.237</v>
      </c>
      <c r="T59" s="16">
        <f t="shared" si="12"/>
        <v>1510.514596</v>
      </c>
      <c r="U59" s="16">
        <f t="shared" si="12"/>
        <v>1541.376988</v>
      </c>
      <c r="V59" s="16">
        <f t="shared" si="12"/>
        <v>1044.297689</v>
      </c>
      <c r="W59" s="16">
        <f t="shared" si="12"/>
        <v>2148.662325</v>
      </c>
      <c r="X59" s="16">
        <f t="shared" si="12"/>
        <v>3922.425504</v>
      </c>
      <c r="Y59" s="16">
        <f t="shared" si="12"/>
        <v>269.0048971</v>
      </c>
      <c r="Z59" s="16">
        <f t="shared" si="12"/>
        <v>1058.956566</v>
      </c>
      <c r="AA59" s="16">
        <f t="shared" si="12"/>
        <v>440.9153666</v>
      </c>
      <c r="AB59" s="17">
        <f t="shared" si="12"/>
        <v>326.1996628</v>
      </c>
    </row>
    <row r="60" ht="15.75" customHeight="1">
      <c r="B60" s="34" t="s">
        <v>38</v>
      </c>
      <c r="C60" s="16">
        <f t="shared" ref="C60:AB60" si="13">C40/C$31</f>
        <v>9102.530791</v>
      </c>
      <c r="D60" s="16">
        <f t="shared" si="13"/>
        <v>765.6386926</v>
      </c>
      <c r="E60" s="16">
        <f t="shared" si="13"/>
        <v>1411.438693</v>
      </c>
      <c r="F60" s="16">
        <f t="shared" si="13"/>
        <v>419.1985741</v>
      </c>
      <c r="G60" s="16">
        <f t="shared" si="13"/>
        <v>32032.83369</v>
      </c>
      <c r="H60" s="16">
        <f t="shared" si="13"/>
        <v>17434.14846</v>
      </c>
      <c r="I60" s="16">
        <f t="shared" si="13"/>
        <v>465.0823852</v>
      </c>
      <c r="J60" s="16">
        <f t="shared" si="13"/>
        <v>2277.197288</v>
      </c>
      <c r="K60" s="16">
        <f t="shared" si="13"/>
        <v>0</v>
      </c>
      <c r="L60" s="16">
        <f t="shared" si="13"/>
        <v>0</v>
      </c>
      <c r="M60" s="16">
        <f t="shared" si="13"/>
        <v>18892.61253</v>
      </c>
      <c r="N60" s="16">
        <f t="shared" si="13"/>
        <v>0</v>
      </c>
      <c r="O60" s="16">
        <f t="shared" si="13"/>
        <v>0</v>
      </c>
      <c r="P60" s="16">
        <f t="shared" si="13"/>
        <v>5885.454732</v>
      </c>
      <c r="Q60" s="16">
        <f t="shared" si="13"/>
        <v>732.1334744</v>
      </c>
      <c r="R60" s="16">
        <f t="shared" si="13"/>
        <v>1174.646057</v>
      </c>
      <c r="S60" s="16">
        <f t="shared" si="13"/>
        <v>216.7334954</v>
      </c>
      <c r="T60" s="16">
        <f t="shared" si="13"/>
        <v>223842.4568</v>
      </c>
      <c r="U60" s="16">
        <f t="shared" si="13"/>
        <v>13251.13508</v>
      </c>
      <c r="V60" s="16">
        <f t="shared" si="13"/>
        <v>1589.562784</v>
      </c>
      <c r="W60" s="16">
        <f t="shared" si="13"/>
        <v>917.5601983</v>
      </c>
      <c r="X60" s="16">
        <f t="shared" si="13"/>
        <v>0</v>
      </c>
      <c r="Y60" s="16">
        <f t="shared" si="13"/>
        <v>0</v>
      </c>
      <c r="Z60" s="16">
        <f t="shared" si="13"/>
        <v>40252.43737</v>
      </c>
      <c r="AA60" s="16">
        <f t="shared" si="13"/>
        <v>0</v>
      </c>
      <c r="AB60" s="17">
        <f t="shared" si="13"/>
        <v>0</v>
      </c>
    </row>
    <row r="61" ht="15.75" customHeight="1">
      <c r="B61" s="20" t="s">
        <v>39</v>
      </c>
      <c r="C61" s="21">
        <f t="shared" ref="C61:AB61" si="14">C41/C$31</f>
        <v>688605.6887</v>
      </c>
      <c r="D61" s="21">
        <f t="shared" si="14"/>
        <v>36823.26832</v>
      </c>
      <c r="E61" s="21">
        <f t="shared" si="14"/>
        <v>1902728.416</v>
      </c>
      <c r="F61" s="21">
        <f t="shared" si="14"/>
        <v>57922.88528</v>
      </c>
      <c r="G61" s="21">
        <f t="shared" si="14"/>
        <v>581169.8771</v>
      </c>
      <c r="H61" s="21">
        <f t="shared" si="14"/>
        <v>216192.0732</v>
      </c>
      <c r="I61" s="21">
        <f t="shared" si="14"/>
        <v>115113.5376</v>
      </c>
      <c r="J61" s="21">
        <f t="shared" si="14"/>
        <v>50147.36756</v>
      </c>
      <c r="K61" s="21">
        <f t="shared" si="14"/>
        <v>172463.0253</v>
      </c>
      <c r="L61" s="21">
        <f t="shared" si="14"/>
        <v>20648.30266</v>
      </c>
      <c r="M61" s="21">
        <f t="shared" si="14"/>
        <v>435612.233</v>
      </c>
      <c r="N61" s="21">
        <f t="shared" si="14"/>
        <v>5633.905301</v>
      </c>
      <c r="O61" s="21">
        <f t="shared" si="14"/>
        <v>42388.83896</v>
      </c>
      <c r="P61" s="21">
        <f t="shared" si="14"/>
        <v>764493.2704</v>
      </c>
      <c r="Q61" s="21">
        <f t="shared" si="14"/>
        <v>123764.1994</v>
      </c>
      <c r="R61" s="21">
        <f t="shared" si="14"/>
        <v>2170956.861</v>
      </c>
      <c r="S61" s="21">
        <f t="shared" si="14"/>
        <v>239713.5871</v>
      </c>
      <c r="T61" s="21">
        <f t="shared" si="14"/>
        <v>10628410.76</v>
      </c>
      <c r="U61" s="21">
        <f t="shared" si="14"/>
        <v>297910.4765</v>
      </c>
      <c r="V61" s="21">
        <f t="shared" si="14"/>
        <v>214892.1901</v>
      </c>
      <c r="W61" s="21">
        <f t="shared" si="14"/>
        <v>499488.8533</v>
      </c>
      <c r="X61" s="21">
        <f t="shared" si="14"/>
        <v>604923.1474</v>
      </c>
      <c r="Y61" s="21">
        <f t="shared" si="14"/>
        <v>31191.67458</v>
      </c>
      <c r="Z61" s="21">
        <f t="shared" si="14"/>
        <v>2923951.981</v>
      </c>
      <c r="AA61" s="21">
        <f t="shared" si="14"/>
        <v>100423.988</v>
      </c>
      <c r="AB61" s="22">
        <f t="shared" si="14"/>
        <v>28758.34418</v>
      </c>
    </row>
    <row r="62" ht="15.75" customHeight="1">
      <c r="B62" s="35" t="s">
        <v>0</v>
      </c>
      <c r="C62" s="36" t="s">
        <v>1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8"/>
      <c r="P62" s="36" t="s">
        <v>2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8"/>
    </row>
    <row r="63" ht="15.75" customHeight="1">
      <c r="B63" s="8" t="s">
        <v>3</v>
      </c>
      <c r="C63" s="8" t="s">
        <v>4</v>
      </c>
      <c r="D63" s="8" t="s">
        <v>5</v>
      </c>
      <c r="E63" s="8" t="s">
        <v>6</v>
      </c>
      <c r="F63" s="8" t="s">
        <v>7</v>
      </c>
      <c r="G63" s="8" t="s">
        <v>8</v>
      </c>
      <c r="H63" s="8" t="s">
        <v>9</v>
      </c>
      <c r="I63" s="8" t="s">
        <v>10</v>
      </c>
      <c r="J63" s="8" t="s">
        <v>11</v>
      </c>
      <c r="K63" s="8" t="s">
        <v>12</v>
      </c>
      <c r="L63" s="8" t="s">
        <v>13</v>
      </c>
      <c r="M63" s="8" t="s">
        <v>14</v>
      </c>
      <c r="N63" s="8" t="s">
        <v>15</v>
      </c>
      <c r="O63" s="8" t="s">
        <v>16</v>
      </c>
      <c r="P63" s="8" t="s">
        <v>4</v>
      </c>
      <c r="Q63" s="8" t="s">
        <v>5</v>
      </c>
      <c r="R63" s="8" t="s">
        <v>6</v>
      </c>
      <c r="S63" s="8" t="s">
        <v>7</v>
      </c>
      <c r="T63" s="8" t="s">
        <v>8</v>
      </c>
      <c r="U63" s="8" t="s">
        <v>9</v>
      </c>
      <c r="V63" s="8" t="s">
        <v>10</v>
      </c>
      <c r="W63" s="8" t="s">
        <v>11</v>
      </c>
      <c r="X63" s="8" t="s">
        <v>12</v>
      </c>
      <c r="Y63" s="8" t="s">
        <v>13</v>
      </c>
      <c r="Z63" s="8" t="s">
        <v>14</v>
      </c>
      <c r="AA63" s="8" t="s">
        <v>15</v>
      </c>
      <c r="AB63" s="8" t="s">
        <v>16</v>
      </c>
    </row>
    <row r="64" ht="15.75" customHeight="1">
      <c r="A64" s="16" t="s">
        <v>50</v>
      </c>
      <c r="B64" s="9" t="s">
        <v>41</v>
      </c>
      <c r="C64" s="10">
        <f t="shared" ref="C64:AB64" si="15">C44/C$31</f>
        <v>2.421279035</v>
      </c>
      <c r="D64" s="10">
        <f t="shared" si="15"/>
        <v>0</v>
      </c>
      <c r="E64" s="10">
        <f t="shared" si="15"/>
        <v>0</v>
      </c>
      <c r="F64" s="10">
        <f t="shared" si="15"/>
        <v>0</v>
      </c>
      <c r="G64" s="10">
        <f t="shared" si="15"/>
        <v>0</v>
      </c>
      <c r="H64" s="10">
        <f t="shared" si="15"/>
        <v>0</v>
      </c>
      <c r="I64" s="10">
        <f t="shared" si="15"/>
        <v>0</v>
      </c>
      <c r="J64" s="10">
        <f t="shared" si="15"/>
        <v>0</v>
      </c>
      <c r="K64" s="10">
        <f t="shared" si="15"/>
        <v>0</v>
      </c>
      <c r="L64" s="10">
        <f t="shared" si="15"/>
        <v>0</v>
      </c>
      <c r="M64" s="10">
        <f t="shared" si="15"/>
        <v>0</v>
      </c>
      <c r="N64" s="10">
        <f t="shared" si="15"/>
        <v>0</v>
      </c>
      <c r="O64" s="10">
        <f t="shared" si="15"/>
        <v>0</v>
      </c>
      <c r="P64" s="10">
        <f t="shared" si="15"/>
        <v>2.61865566</v>
      </c>
      <c r="Q64" s="10">
        <f t="shared" si="15"/>
        <v>0</v>
      </c>
      <c r="R64" s="10">
        <f t="shared" si="15"/>
        <v>0</v>
      </c>
      <c r="S64" s="10">
        <f t="shared" si="15"/>
        <v>0</v>
      </c>
      <c r="T64" s="10">
        <f t="shared" si="15"/>
        <v>0</v>
      </c>
      <c r="U64" s="10">
        <f t="shared" si="15"/>
        <v>0</v>
      </c>
      <c r="V64" s="10">
        <f t="shared" si="15"/>
        <v>0</v>
      </c>
      <c r="W64" s="10">
        <f t="shared" si="15"/>
        <v>0</v>
      </c>
      <c r="X64" s="10">
        <f t="shared" si="15"/>
        <v>0</v>
      </c>
      <c r="Y64" s="10">
        <f t="shared" si="15"/>
        <v>0</v>
      </c>
      <c r="Z64" s="10">
        <f t="shared" si="15"/>
        <v>0</v>
      </c>
      <c r="AA64" s="10">
        <f t="shared" si="15"/>
        <v>0</v>
      </c>
      <c r="AB64" s="11">
        <f t="shared" si="15"/>
        <v>0</v>
      </c>
    </row>
    <row r="65" ht="15.75" customHeight="1">
      <c r="A65" s="16"/>
      <c r="B65" s="15" t="s">
        <v>42</v>
      </c>
      <c r="C65" s="16">
        <f t="shared" ref="C65:AB65" si="16">C45/C$31</f>
        <v>0</v>
      </c>
      <c r="D65" s="16">
        <f t="shared" si="16"/>
        <v>0</v>
      </c>
      <c r="E65" s="16">
        <f t="shared" si="16"/>
        <v>3.701035907</v>
      </c>
      <c r="F65" s="16">
        <f t="shared" si="16"/>
        <v>0</v>
      </c>
      <c r="G65" s="16">
        <f t="shared" si="16"/>
        <v>0</v>
      </c>
      <c r="H65" s="16">
        <f t="shared" si="16"/>
        <v>0</v>
      </c>
      <c r="I65" s="16">
        <f t="shared" si="16"/>
        <v>0</v>
      </c>
      <c r="J65" s="16">
        <f t="shared" si="16"/>
        <v>0</v>
      </c>
      <c r="K65" s="16">
        <f t="shared" si="16"/>
        <v>0</v>
      </c>
      <c r="L65" s="16">
        <f t="shared" si="16"/>
        <v>0</v>
      </c>
      <c r="M65" s="16">
        <f t="shared" si="16"/>
        <v>0</v>
      </c>
      <c r="N65" s="16">
        <f t="shared" si="16"/>
        <v>0</v>
      </c>
      <c r="O65" s="16">
        <f t="shared" si="16"/>
        <v>0</v>
      </c>
      <c r="P65" s="16">
        <f t="shared" si="16"/>
        <v>0</v>
      </c>
      <c r="Q65" s="16">
        <f t="shared" si="16"/>
        <v>0</v>
      </c>
      <c r="R65" s="16">
        <f t="shared" si="16"/>
        <v>6.597752347</v>
      </c>
      <c r="S65" s="16">
        <f t="shared" si="16"/>
        <v>0</v>
      </c>
      <c r="T65" s="16">
        <f t="shared" si="16"/>
        <v>0</v>
      </c>
      <c r="U65" s="16">
        <f t="shared" si="16"/>
        <v>0</v>
      </c>
      <c r="V65" s="16">
        <f t="shared" si="16"/>
        <v>0</v>
      </c>
      <c r="W65" s="16">
        <f t="shared" si="16"/>
        <v>0</v>
      </c>
      <c r="X65" s="16">
        <f t="shared" si="16"/>
        <v>0</v>
      </c>
      <c r="Y65" s="16">
        <f t="shared" si="16"/>
        <v>0</v>
      </c>
      <c r="Z65" s="16">
        <f t="shared" si="16"/>
        <v>0</v>
      </c>
      <c r="AA65" s="16">
        <f t="shared" si="16"/>
        <v>0</v>
      </c>
      <c r="AB65" s="17">
        <f t="shared" si="16"/>
        <v>0</v>
      </c>
    </row>
    <row r="66" ht="15.75" customHeight="1">
      <c r="B66" s="15" t="s">
        <v>43</v>
      </c>
      <c r="C66" s="16">
        <f t="shared" ref="C66:AB66" si="17">C46/C$31</f>
        <v>0</v>
      </c>
      <c r="D66" s="16">
        <f t="shared" si="17"/>
        <v>0</v>
      </c>
      <c r="E66" s="16">
        <f t="shared" si="17"/>
        <v>0</v>
      </c>
      <c r="F66" s="16">
        <f t="shared" si="17"/>
        <v>0</v>
      </c>
      <c r="G66" s="16">
        <f t="shared" si="17"/>
        <v>0</v>
      </c>
      <c r="H66" s="16">
        <f t="shared" si="17"/>
        <v>1.478224374</v>
      </c>
      <c r="I66" s="16">
        <f t="shared" si="17"/>
        <v>0</v>
      </c>
      <c r="J66" s="16">
        <f t="shared" si="17"/>
        <v>0</v>
      </c>
      <c r="K66" s="16">
        <f t="shared" si="17"/>
        <v>0</v>
      </c>
      <c r="L66" s="16">
        <f t="shared" si="17"/>
        <v>0</v>
      </c>
      <c r="M66" s="16">
        <f t="shared" si="17"/>
        <v>0</v>
      </c>
      <c r="N66" s="16">
        <f t="shared" si="17"/>
        <v>0</v>
      </c>
      <c r="O66" s="16">
        <f t="shared" si="17"/>
        <v>0</v>
      </c>
      <c r="P66" s="16">
        <f t="shared" si="17"/>
        <v>0</v>
      </c>
      <c r="Q66" s="16">
        <f t="shared" si="17"/>
        <v>0</v>
      </c>
      <c r="R66" s="16">
        <f t="shared" si="17"/>
        <v>0</v>
      </c>
      <c r="S66" s="16">
        <f t="shared" si="17"/>
        <v>0</v>
      </c>
      <c r="T66" s="16">
        <f t="shared" si="17"/>
        <v>0</v>
      </c>
      <c r="U66" s="16">
        <f t="shared" si="17"/>
        <v>0.5509743587</v>
      </c>
      <c r="V66" s="16">
        <f t="shared" si="17"/>
        <v>0</v>
      </c>
      <c r="W66" s="16">
        <f t="shared" si="17"/>
        <v>0</v>
      </c>
      <c r="X66" s="16">
        <f t="shared" si="17"/>
        <v>0</v>
      </c>
      <c r="Y66" s="16">
        <f t="shared" si="17"/>
        <v>0</v>
      </c>
      <c r="Z66" s="16">
        <f t="shared" si="17"/>
        <v>0</v>
      </c>
      <c r="AA66" s="16">
        <f t="shared" si="17"/>
        <v>0</v>
      </c>
      <c r="AB66" s="17">
        <f t="shared" si="17"/>
        <v>0</v>
      </c>
    </row>
    <row r="67" ht="15.75" customHeight="1">
      <c r="B67" s="15" t="s">
        <v>44</v>
      </c>
      <c r="C67" s="16">
        <f t="shared" ref="C67:AB67" si="18">C47/C$31</f>
        <v>0</v>
      </c>
      <c r="D67" s="16">
        <f t="shared" si="18"/>
        <v>0</v>
      </c>
      <c r="E67" s="16">
        <f t="shared" si="18"/>
        <v>0.00008124795517</v>
      </c>
      <c r="F67" s="16">
        <f t="shared" si="18"/>
        <v>0</v>
      </c>
      <c r="G67" s="16">
        <f t="shared" si="18"/>
        <v>0</v>
      </c>
      <c r="H67" s="16">
        <f t="shared" si="18"/>
        <v>0</v>
      </c>
      <c r="I67" s="16">
        <f t="shared" si="18"/>
        <v>0</v>
      </c>
      <c r="J67" s="16">
        <f t="shared" si="18"/>
        <v>0</v>
      </c>
      <c r="K67" s="16">
        <f t="shared" si="18"/>
        <v>0</v>
      </c>
      <c r="L67" s="16">
        <f t="shared" si="18"/>
        <v>0</v>
      </c>
      <c r="M67" s="16">
        <f t="shared" si="18"/>
        <v>0</v>
      </c>
      <c r="N67" s="16">
        <f t="shared" si="18"/>
        <v>0</v>
      </c>
      <c r="O67" s="16">
        <f t="shared" si="18"/>
        <v>0</v>
      </c>
      <c r="P67" s="16">
        <f t="shared" si="18"/>
        <v>0</v>
      </c>
      <c r="Q67" s="16">
        <f t="shared" si="18"/>
        <v>0</v>
      </c>
      <c r="R67" s="16">
        <f t="shared" si="18"/>
        <v>0.0346224016</v>
      </c>
      <c r="S67" s="16">
        <f t="shared" si="18"/>
        <v>0</v>
      </c>
      <c r="T67" s="16">
        <f t="shared" si="18"/>
        <v>0</v>
      </c>
      <c r="U67" s="16">
        <f t="shared" si="18"/>
        <v>0</v>
      </c>
      <c r="V67" s="16">
        <f t="shared" si="18"/>
        <v>0</v>
      </c>
      <c r="W67" s="16">
        <f t="shared" si="18"/>
        <v>0</v>
      </c>
      <c r="X67" s="16">
        <f t="shared" si="18"/>
        <v>0</v>
      </c>
      <c r="Y67" s="16">
        <f t="shared" si="18"/>
        <v>0</v>
      </c>
      <c r="Z67" s="16">
        <f t="shared" si="18"/>
        <v>0</v>
      </c>
      <c r="AA67" s="16">
        <f t="shared" si="18"/>
        <v>0</v>
      </c>
      <c r="AB67" s="17">
        <f t="shared" si="18"/>
        <v>0</v>
      </c>
    </row>
    <row r="68" ht="15.75" customHeight="1">
      <c r="B68" s="15" t="s">
        <v>45</v>
      </c>
      <c r="C68" s="16">
        <f t="shared" ref="C68:AB68" si="19">C48/C$31</f>
        <v>0</v>
      </c>
      <c r="D68" s="16">
        <f t="shared" si="19"/>
        <v>0</v>
      </c>
      <c r="E68" s="16">
        <f t="shared" si="19"/>
        <v>0</v>
      </c>
      <c r="F68" s="16">
        <f t="shared" si="19"/>
        <v>0</v>
      </c>
      <c r="G68" s="16">
        <f t="shared" si="19"/>
        <v>0</v>
      </c>
      <c r="H68" s="16">
        <f t="shared" si="19"/>
        <v>0.1859097977</v>
      </c>
      <c r="I68" s="16">
        <f t="shared" si="19"/>
        <v>0</v>
      </c>
      <c r="J68" s="16">
        <f t="shared" si="19"/>
        <v>0</v>
      </c>
      <c r="K68" s="16">
        <f t="shared" si="19"/>
        <v>0</v>
      </c>
      <c r="L68" s="16">
        <f t="shared" si="19"/>
        <v>0</v>
      </c>
      <c r="M68" s="16">
        <f t="shared" si="19"/>
        <v>0</v>
      </c>
      <c r="N68" s="16">
        <f t="shared" si="19"/>
        <v>0</v>
      </c>
      <c r="O68" s="16">
        <f t="shared" si="19"/>
        <v>0</v>
      </c>
      <c r="P68" s="16">
        <f t="shared" si="19"/>
        <v>0</v>
      </c>
      <c r="Q68" s="16">
        <f t="shared" si="19"/>
        <v>0</v>
      </c>
      <c r="R68" s="16">
        <f t="shared" si="19"/>
        <v>0</v>
      </c>
      <c r="S68" s="16">
        <f t="shared" si="19"/>
        <v>0</v>
      </c>
      <c r="T68" s="16">
        <f t="shared" si="19"/>
        <v>0</v>
      </c>
      <c r="U68" s="16">
        <f t="shared" si="19"/>
        <v>3.560443812</v>
      </c>
      <c r="V68" s="16">
        <f t="shared" si="19"/>
        <v>0</v>
      </c>
      <c r="W68" s="16">
        <f t="shared" si="19"/>
        <v>0</v>
      </c>
      <c r="X68" s="16">
        <f t="shared" si="19"/>
        <v>0</v>
      </c>
      <c r="Y68" s="16">
        <f t="shared" si="19"/>
        <v>0</v>
      </c>
      <c r="Z68" s="16">
        <f t="shared" si="19"/>
        <v>0</v>
      </c>
      <c r="AA68" s="16">
        <f t="shared" si="19"/>
        <v>0</v>
      </c>
      <c r="AB68" s="17">
        <f t="shared" si="19"/>
        <v>0</v>
      </c>
    </row>
    <row r="69" ht="15.75" customHeight="1">
      <c r="B69" s="15" t="s">
        <v>46</v>
      </c>
      <c r="C69" s="16">
        <f t="shared" ref="C69:AB69" si="20">C49/C$31</f>
        <v>0</v>
      </c>
      <c r="D69" s="16">
        <f t="shared" si="20"/>
        <v>0</v>
      </c>
      <c r="E69" s="16">
        <f t="shared" si="20"/>
        <v>0</v>
      </c>
      <c r="F69" s="16">
        <f t="shared" si="20"/>
        <v>0</v>
      </c>
      <c r="G69" s="16">
        <f t="shared" si="20"/>
        <v>0</v>
      </c>
      <c r="H69" s="16">
        <f t="shared" si="20"/>
        <v>0.9711417078</v>
      </c>
      <c r="I69" s="16">
        <f t="shared" si="20"/>
        <v>0</v>
      </c>
      <c r="J69" s="16">
        <f t="shared" si="20"/>
        <v>0</v>
      </c>
      <c r="K69" s="16">
        <f t="shared" si="20"/>
        <v>0</v>
      </c>
      <c r="L69" s="16">
        <f t="shared" si="20"/>
        <v>0</v>
      </c>
      <c r="M69" s="16">
        <f t="shared" si="20"/>
        <v>0</v>
      </c>
      <c r="N69" s="16">
        <f t="shared" si="20"/>
        <v>0</v>
      </c>
      <c r="O69" s="16">
        <f t="shared" si="20"/>
        <v>0</v>
      </c>
      <c r="P69" s="16">
        <f t="shared" si="20"/>
        <v>0</v>
      </c>
      <c r="Q69" s="16">
        <f t="shared" si="20"/>
        <v>0</v>
      </c>
      <c r="R69" s="16">
        <f t="shared" si="20"/>
        <v>0</v>
      </c>
      <c r="S69" s="16">
        <f t="shared" si="20"/>
        <v>0</v>
      </c>
      <c r="T69" s="16">
        <f t="shared" si="20"/>
        <v>0</v>
      </c>
      <c r="U69" s="16">
        <f t="shared" si="20"/>
        <v>2.129875851</v>
      </c>
      <c r="V69" s="16">
        <f t="shared" si="20"/>
        <v>0</v>
      </c>
      <c r="W69" s="16">
        <f t="shared" si="20"/>
        <v>0</v>
      </c>
      <c r="X69" s="16">
        <f t="shared" si="20"/>
        <v>0</v>
      </c>
      <c r="Y69" s="16">
        <f t="shared" si="20"/>
        <v>0</v>
      </c>
      <c r="Z69" s="16">
        <f t="shared" si="20"/>
        <v>0</v>
      </c>
      <c r="AA69" s="16">
        <f t="shared" si="20"/>
        <v>0</v>
      </c>
      <c r="AB69" s="17">
        <f t="shared" si="20"/>
        <v>0</v>
      </c>
    </row>
    <row r="70" ht="15.75" customHeight="1">
      <c r="B70" s="15" t="s">
        <v>47</v>
      </c>
      <c r="C70" s="16">
        <f t="shared" ref="C70:AB70" si="21">C50/C$31</f>
        <v>0</v>
      </c>
      <c r="D70" s="16">
        <f t="shared" si="21"/>
        <v>0</v>
      </c>
      <c r="E70" s="16">
        <f t="shared" si="21"/>
        <v>0</v>
      </c>
      <c r="F70" s="16">
        <f t="shared" si="21"/>
        <v>0</v>
      </c>
      <c r="G70" s="16">
        <f t="shared" si="21"/>
        <v>0</v>
      </c>
      <c r="H70" s="16">
        <f t="shared" si="21"/>
        <v>11.32478843</v>
      </c>
      <c r="I70" s="16">
        <f t="shared" si="21"/>
        <v>0</v>
      </c>
      <c r="J70" s="16">
        <f t="shared" si="21"/>
        <v>0</v>
      </c>
      <c r="K70" s="16">
        <f t="shared" si="21"/>
        <v>0</v>
      </c>
      <c r="L70" s="16">
        <f t="shared" si="21"/>
        <v>0</v>
      </c>
      <c r="M70" s="16">
        <f t="shared" si="21"/>
        <v>0</v>
      </c>
      <c r="N70" s="16">
        <f t="shared" si="21"/>
        <v>0</v>
      </c>
      <c r="O70" s="16">
        <f t="shared" si="21"/>
        <v>0</v>
      </c>
      <c r="P70" s="16">
        <f t="shared" si="21"/>
        <v>0</v>
      </c>
      <c r="Q70" s="16">
        <f t="shared" si="21"/>
        <v>0</v>
      </c>
      <c r="R70" s="16">
        <f t="shared" si="21"/>
        <v>0</v>
      </c>
      <c r="S70" s="16">
        <f t="shared" si="21"/>
        <v>0</v>
      </c>
      <c r="T70" s="16">
        <f t="shared" si="21"/>
        <v>0</v>
      </c>
      <c r="U70" s="16">
        <f t="shared" si="21"/>
        <v>9.712320684</v>
      </c>
      <c r="V70" s="16">
        <f t="shared" si="21"/>
        <v>0</v>
      </c>
      <c r="W70" s="16">
        <f t="shared" si="21"/>
        <v>0</v>
      </c>
      <c r="X70" s="16">
        <f t="shared" si="21"/>
        <v>0</v>
      </c>
      <c r="Y70" s="16">
        <f t="shared" si="21"/>
        <v>0</v>
      </c>
      <c r="Z70" s="16">
        <f t="shared" si="21"/>
        <v>0</v>
      </c>
      <c r="AA70" s="16">
        <f t="shared" si="21"/>
        <v>0</v>
      </c>
      <c r="AB70" s="17">
        <f t="shared" si="21"/>
        <v>0</v>
      </c>
    </row>
    <row r="71" ht="15.75" customHeight="1">
      <c r="B71" s="20" t="s">
        <v>48</v>
      </c>
      <c r="C71" s="21">
        <f t="shared" ref="C71:AB71" si="22">C51/C$31</f>
        <v>2.421279035</v>
      </c>
      <c r="D71" s="21">
        <f t="shared" si="22"/>
        <v>0</v>
      </c>
      <c r="E71" s="21">
        <f t="shared" si="22"/>
        <v>3.701117155</v>
      </c>
      <c r="F71" s="21">
        <f t="shared" si="22"/>
        <v>0</v>
      </c>
      <c r="G71" s="21">
        <f t="shared" si="22"/>
        <v>0</v>
      </c>
      <c r="H71" s="21">
        <f t="shared" si="22"/>
        <v>13.96006431</v>
      </c>
      <c r="I71" s="21">
        <f t="shared" si="22"/>
        <v>0</v>
      </c>
      <c r="J71" s="21">
        <f t="shared" si="22"/>
        <v>0</v>
      </c>
      <c r="K71" s="21">
        <f t="shared" si="22"/>
        <v>0</v>
      </c>
      <c r="L71" s="21">
        <f t="shared" si="22"/>
        <v>0</v>
      </c>
      <c r="M71" s="21">
        <f t="shared" si="22"/>
        <v>0</v>
      </c>
      <c r="N71" s="21">
        <f t="shared" si="22"/>
        <v>0</v>
      </c>
      <c r="O71" s="21">
        <f t="shared" si="22"/>
        <v>0</v>
      </c>
      <c r="P71" s="21">
        <f t="shared" si="22"/>
        <v>2.61865566</v>
      </c>
      <c r="Q71" s="21">
        <f t="shared" si="22"/>
        <v>0</v>
      </c>
      <c r="R71" s="21">
        <f t="shared" si="22"/>
        <v>6.632374748</v>
      </c>
      <c r="S71" s="21">
        <f t="shared" si="22"/>
        <v>0</v>
      </c>
      <c r="T71" s="21">
        <f t="shared" si="22"/>
        <v>0</v>
      </c>
      <c r="U71" s="21">
        <f t="shared" si="22"/>
        <v>15.95361471</v>
      </c>
      <c r="V71" s="21">
        <f t="shared" si="22"/>
        <v>0</v>
      </c>
      <c r="W71" s="21">
        <f t="shared" si="22"/>
        <v>0</v>
      </c>
      <c r="X71" s="21">
        <f t="shared" si="22"/>
        <v>0</v>
      </c>
      <c r="Y71" s="21">
        <f t="shared" si="22"/>
        <v>0</v>
      </c>
      <c r="Z71" s="21">
        <f t="shared" si="22"/>
        <v>0</v>
      </c>
      <c r="AA71" s="21">
        <f t="shared" si="22"/>
        <v>0</v>
      </c>
      <c r="AB71" s="22">
        <f t="shared" si="22"/>
        <v>0</v>
      </c>
    </row>
    <row r="72" ht="15.75" customHeight="1"/>
    <row r="73" ht="15.75" customHeight="1">
      <c r="B73" s="39" t="s">
        <v>51</v>
      </c>
      <c r="AE73" s="39" t="s">
        <v>52</v>
      </c>
    </row>
    <row r="74" ht="15.75" customHeight="1">
      <c r="B74" s="40"/>
      <c r="C74" s="41">
        <v>1.0</v>
      </c>
      <c r="D74" s="41">
        <v>2.0</v>
      </c>
      <c r="E74" s="41">
        <v>3.0</v>
      </c>
      <c r="F74" s="41">
        <v>4.0</v>
      </c>
      <c r="G74" s="41">
        <v>5.0</v>
      </c>
      <c r="H74" s="41">
        <v>6.0</v>
      </c>
      <c r="I74" s="41">
        <v>7.0</v>
      </c>
      <c r="J74" s="41">
        <v>8.0</v>
      </c>
      <c r="K74" s="41">
        <v>9.0</v>
      </c>
      <c r="L74" s="41">
        <v>10.0</v>
      </c>
      <c r="M74" s="41">
        <v>11.0</v>
      </c>
      <c r="N74" s="41">
        <v>12.0</v>
      </c>
      <c r="O74" s="41">
        <v>13.0</v>
      </c>
      <c r="P74" s="41">
        <v>14.0</v>
      </c>
      <c r="Q74" s="41">
        <v>15.0</v>
      </c>
      <c r="R74" s="41">
        <v>16.0</v>
      </c>
      <c r="S74" s="41">
        <v>17.0</v>
      </c>
      <c r="T74" s="41">
        <v>18.0</v>
      </c>
      <c r="U74" s="41">
        <v>19.0</v>
      </c>
      <c r="V74" s="41">
        <v>20.0</v>
      </c>
      <c r="W74" s="41">
        <v>21.0</v>
      </c>
      <c r="X74" s="41">
        <v>22.0</v>
      </c>
      <c r="Y74" s="41">
        <v>23.0</v>
      </c>
      <c r="Z74" s="41">
        <v>24.0</v>
      </c>
      <c r="AA74" s="41">
        <v>25.0</v>
      </c>
      <c r="AB74" s="41">
        <v>26.0</v>
      </c>
      <c r="AE74" s="40"/>
      <c r="AF74" s="41">
        <v>1.0</v>
      </c>
      <c r="AG74" s="41">
        <v>2.0</v>
      </c>
      <c r="AH74" s="41">
        <v>3.0</v>
      </c>
      <c r="AI74" s="41">
        <v>4.0</v>
      </c>
      <c r="AJ74" s="41">
        <v>5.0</v>
      </c>
      <c r="AK74" s="41">
        <v>6.0</v>
      </c>
      <c r="AL74" s="41">
        <v>7.0</v>
      </c>
      <c r="AM74" s="41">
        <v>8.0</v>
      </c>
      <c r="AN74" s="41">
        <v>9.0</v>
      </c>
      <c r="AO74" s="41">
        <v>10.0</v>
      </c>
      <c r="AP74" s="41">
        <v>11.0</v>
      </c>
      <c r="AQ74" s="41">
        <v>12.0</v>
      </c>
      <c r="AR74" s="41">
        <v>13.0</v>
      </c>
      <c r="AS74" s="41">
        <v>14.0</v>
      </c>
      <c r="AT74" s="41">
        <v>15.0</v>
      </c>
      <c r="AU74" s="41">
        <v>16.0</v>
      </c>
      <c r="AV74" s="41">
        <v>17.0</v>
      </c>
      <c r="AW74" s="41">
        <v>18.0</v>
      </c>
      <c r="AX74" s="41">
        <v>19.0</v>
      </c>
      <c r="AY74" s="41">
        <v>20.0</v>
      </c>
      <c r="AZ74" s="41">
        <v>21.0</v>
      </c>
      <c r="BA74" s="41">
        <v>22.0</v>
      </c>
      <c r="BB74" s="41">
        <v>23.0</v>
      </c>
      <c r="BC74" s="41">
        <v>24.0</v>
      </c>
      <c r="BD74" s="41">
        <v>25.0</v>
      </c>
      <c r="BE74" s="41">
        <v>26.0</v>
      </c>
    </row>
    <row r="75" ht="15.75" customHeight="1">
      <c r="B75" s="41">
        <v>1.0</v>
      </c>
      <c r="C75" s="41">
        <f>1/$AT3</f>
        <v>0.0002466921825</v>
      </c>
      <c r="D75" s="41">
        <v>0.0</v>
      </c>
      <c r="E75" s="41">
        <v>0.0</v>
      </c>
      <c r="F75" s="41">
        <v>0.0</v>
      </c>
      <c r="G75" s="41">
        <v>0.0</v>
      </c>
      <c r="H75" s="41">
        <v>0.0</v>
      </c>
      <c r="I75" s="41">
        <v>0.0</v>
      </c>
      <c r="J75" s="41">
        <v>0.0</v>
      </c>
      <c r="K75" s="41">
        <v>0.0</v>
      </c>
      <c r="L75" s="41">
        <v>0.0</v>
      </c>
      <c r="M75" s="41">
        <v>0.0</v>
      </c>
      <c r="N75" s="41">
        <v>0.0</v>
      </c>
      <c r="O75" s="41">
        <v>0.0</v>
      </c>
      <c r="P75" s="41">
        <v>0.0</v>
      </c>
      <c r="Q75" s="41">
        <v>0.0</v>
      </c>
      <c r="R75" s="41">
        <v>0.0</v>
      </c>
      <c r="S75" s="41">
        <v>0.0</v>
      </c>
      <c r="T75" s="41">
        <v>0.0</v>
      </c>
      <c r="U75" s="41">
        <v>0.0</v>
      </c>
      <c r="V75" s="41">
        <v>0.0</v>
      </c>
      <c r="W75" s="41">
        <v>0.0</v>
      </c>
      <c r="X75" s="41">
        <v>0.0</v>
      </c>
      <c r="Y75" s="41">
        <v>0.0</v>
      </c>
      <c r="Z75" s="41">
        <v>0.0</v>
      </c>
      <c r="AA75" s="41">
        <v>0.0</v>
      </c>
      <c r="AB75" s="41">
        <v>0.0</v>
      </c>
      <c r="AE75" s="41">
        <v>1.0</v>
      </c>
      <c r="AF75" s="41">
        <f>C$61</f>
        <v>688605.6887</v>
      </c>
      <c r="AG75" s="41">
        <v>0.0</v>
      </c>
      <c r="AH75" s="41">
        <v>0.0</v>
      </c>
      <c r="AI75" s="41">
        <v>0.0</v>
      </c>
      <c r="AJ75" s="41">
        <v>0.0</v>
      </c>
      <c r="AK75" s="41">
        <v>0.0</v>
      </c>
      <c r="AL75" s="41">
        <v>0.0</v>
      </c>
      <c r="AM75" s="41">
        <v>0.0</v>
      </c>
      <c r="AN75" s="41">
        <v>0.0</v>
      </c>
      <c r="AO75" s="41">
        <v>0.0</v>
      </c>
      <c r="AP75" s="41">
        <v>0.0</v>
      </c>
      <c r="AQ75" s="41">
        <v>0.0</v>
      </c>
      <c r="AR75" s="41">
        <v>0.0</v>
      </c>
      <c r="AS75" s="41">
        <v>0.0</v>
      </c>
      <c r="AT75" s="41">
        <v>0.0</v>
      </c>
      <c r="AU75" s="41">
        <v>0.0</v>
      </c>
      <c r="AV75" s="41">
        <v>0.0</v>
      </c>
      <c r="AW75" s="41">
        <v>0.0</v>
      </c>
      <c r="AX75" s="41">
        <v>0.0</v>
      </c>
      <c r="AY75" s="41">
        <v>0.0</v>
      </c>
      <c r="AZ75" s="41">
        <v>0.0</v>
      </c>
      <c r="BA75" s="41">
        <v>0.0</v>
      </c>
      <c r="BB75" s="41">
        <v>0.0</v>
      </c>
      <c r="BC75" s="41">
        <v>0.0</v>
      </c>
      <c r="BD75" s="41">
        <v>0.0</v>
      </c>
      <c r="BE75" s="41">
        <v>0.0</v>
      </c>
    </row>
    <row r="76" ht="15.75" customHeight="1">
      <c r="B76" s="41">
        <v>2.0</v>
      </c>
      <c r="C76" s="41">
        <v>0.0</v>
      </c>
      <c r="D76" s="41">
        <f>1/$AT4</f>
        <v>0.00003941271407</v>
      </c>
      <c r="E76" s="41">
        <v>0.0</v>
      </c>
      <c r="F76" s="41">
        <v>0.0</v>
      </c>
      <c r="G76" s="41">
        <v>0.0</v>
      </c>
      <c r="H76" s="41">
        <v>0.0</v>
      </c>
      <c r="I76" s="41">
        <v>0.0</v>
      </c>
      <c r="J76" s="41">
        <v>0.0</v>
      </c>
      <c r="K76" s="41">
        <v>0.0</v>
      </c>
      <c r="L76" s="41">
        <v>0.0</v>
      </c>
      <c r="M76" s="41">
        <v>0.0</v>
      </c>
      <c r="N76" s="41">
        <v>0.0</v>
      </c>
      <c r="O76" s="41">
        <v>0.0</v>
      </c>
      <c r="P76" s="41">
        <v>0.0</v>
      </c>
      <c r="Q76" s="41">
        <v>0.0</v>
      </c>
      <c r="R76" s="41">
        <v>0.0</v>
      </c>
      <c r="S76" s="41">
        <v>0.0</v>
      </c>
      <c r="T76" s="41">
        <v>0.0</v>
      </c>
      <c r="U76" s="41">
        <v>0.0</v>
      </c>
      <c r="V76" s="41">
        <v>0.0</v>
      </c>
      <c r="W76" s="41">
        <v>0.0</v>
      </c>
      <c r="X76" s="41">
        <v>0.0</v>
      </c>
      <c r="Y76" s="41">
        <v>0.0</v>
      </c>
      <c r="Z76" s="41">
        <v>0.0</v>
      </c>
      <c r="AA76" s="41">
        <v>0.0</v>
      </c>
      <c r="AB76" s="41">
        <v>0.0</v>
      </c>
      <c r="AE76" s="41">
        <v>2.0</v>
      </c>
      <c r="AF76" s="41">
        <v>0.0</v>
      </c>
      <c r="AG76" s="41">
        <f>D$61</f>
        <v>36823.26832</v>
      </c>
      <c r="AH76" s="41">
        <v>0.0</v>
      </c>
      <c r="AI76" s="41">
        <v>0.0</v>
      </c>
      <c r="AJ76" s="41">
        <v>0.0</v>
      </c>
      <c r="AK76" s="41">
        <v>0.0</v>
      </c>
      <c r="AL76" s="41">
        <v>0.0</v>
      </c>
      <c r="AM76" s="41">
        <v>0.0</v>
      </c>
      <c r="AN76" s="41">
        <v>0.0</v>
      </c>
      <c r="AO76" s="41">
        <v>0.0</v>
      </c>
      <c r="AP76" s="41">
        <v>0.0</v>
      </c>
      <c r="AQ76" s="41">
        <v>0.0</v>
      </c>
      <c r="AR76" s="41">
        <v>0.0</v>
      </c>
      <c r="AS76" s="41">
        <v>0.0</v>
      </c>
      <c r="AT76" s="41">
        <v>0.0</v>
      </c>
      <c r="AU76" s="41">
        <v>0.0</v>
      </c>
      <c r="AV76" s="41">
        <v>0.0</v>
      </c>
      <c r="AW76" s="41">
        <v>0.0</v>
      </c>
      <c r="AX76" s="41">
        <v>0.0</v>
      </c>
      <c r="AY76" s="41">
        <v>0.0</v>
      </c>
      <c r="AZ76" s="41">
        <v>0.0</v>
      </c>
      <c r="BA76" s="41">
        <v>0.0</v>
      </c>
      <c r="BB76" s="41">
        <v>0.0</v>
      </c>
      <c r="BC76" s="41">
        <v>0.0</v>
      </c>
      <c r="BD76" s="41">
        <v>0.0</v>
      </c>
      <c r="BE76" s="41">
        <v>0.0</v>
      </c>
    </row>
    <row r="77" ht="15.75" customHeight="1">
      <c r="B77" s="41">
        <v>3.0</v>
      </c>
      <c r="C77" s="41">
        <v>0.0</v>
      </c>
      <c r="D77" s="41">
        <v>0.0</v>
      </c>
      <c r="E77" s="41">
        <f>1/$AT5</f>
        <v>0.0002321370148</v>
      </c>
      <c r="F77" s="41">
        <v>0.0</v>
      </c>
      <c r="G77" s="41">
        <v>0.0</v>
      </c>
      <c r="H77" s="41">
        <v>0.0</v>
      </c>
      <c r="I77" s="41">
        <v>0.0</v>
      </c>
      <c r="J77" s="41">
        <v>0.0</v>
      </c>
      <c r="K77" s="41">
        <v>0.0</v>
      </c>
      <c r="L77" s="41">
        <v>0.0</v>
      </c>
      <c r="M77" s="41">
        <v>0.0</v>
      </c>
      <c r="N77" s="41">
        <v>0.0</v>
      </c>
      <c r="O77" s="41">
        <v>0.0</v>
      </c>
      <c r="P77" s="41">
        <v>0.0</v>
      </c>
      <c r="Q77" s="41">
        <v>0.0</v>
      </c>
      <c r="R77" s="41">
        <v>0.0</v>
      </c>
      <c r="S77" s="41">
        <v>0.0</v>
      </c>
      <c r="T77" s="41">
        <v>0.0</v>
      </c>
      <c r="U77" s="41">
        <v>0.0</v>
      </c>
      <c r="V77" s="41">
        <v>0.0</v>
      </c>
      <c r="W77" s="41">
        <v>0.0</v>
      </c>
      <c r="X77" s="41">
        <v>0.0</v>
      </c>
      <c r="Y77" s="41">
        <v>0.0</v>
      </c>
      <c r="Z77" s="41">
        <v>0.0</v>
      </c>
      <c r="AA77" s="41">
        <v>0.0</v>
      </c>
      <c r="AB77" s="41">
        <v>0.0</v>
      </c>
      <c r="AE77" s="41">
        <v>3.0</v>
      </c>
      <c r="AF77" s="41">
        <v>0.0</v>
      </c>
      <c r="AG77" s="41">
        <v>0.0</v>
      </c>
      <c r="AH77" s="41">
        <f>E$61</f>
        <v>1902728.416</v>
      </c>
      <c r="AI77" s="41">
        <v>0.0</v>
      </c>
      <c r="AJ77" s="41">
        <v>0.0</v>
      </c>
      <c r="AK77" s="41">
        <v>0.0</v>
      </c>
      <c r="AL77" s="41">
        <v>0.0</v>
      </c>
      <c r="AM77" s="41">
        <v>0.0</v>
      </c>
      <c r="AN77" s="41">
        <v>0.0</v>
      </c>
      <c r="AO77" s="41">
        <v>0.0</v>
      </c>
      <c r="AP77" s="41">
        <v>0.0</v>
      </c>
      <c r="AQ77" s="41">
        <v>0.0</v>
      </c>
      <c r="AR77" s="41">
        <v>0.0</v>
      </c>
      <c r="AS77" s="41">
        <v>0.0</v>
      </c>
      <c r="AT77" s="41">
        <v>0.0</v>
      </c>
      <c r="AU77" s="41">
        <v>0.0</v>
      </c>
      <c r="AV77" s="41">
        <v>0.0</v>
      </c>
      <c r="AW77" s="41">
        <v>0.0</v>
      </c>
      <c r="AX77" s="41">
        <v>0.0</v>
      </c>
      <c r="AY77" s="41">
        <v>0.0</v>
      </c>
      <c r="AZ77" s="41">
        <v>0.0</v>
      </c>
      <c r="BA77" s="41">
        <v>0.0</v>
      </c>
      <c r="BB77" s="41">
        <v>0.0</v>
      </c>
      <c r="BC77" s="41">
        <v>0.0</v>
      </c>
      <c r="BD77" s="41">
        <v>0.0</v>
      </c>
      <c r="BE77" s="41">
        <v>0.0</v>
      </c>
    </row>
    <row r="78" ht="15.75" customHeight="1">
      <c r="B78" s="41">
        <v>4.0</v>
      </c>
      <c r="C78" s="41">
        <v>0.0</v>
      </c>
      <c r="D78" s="41">
        <v>0.0</v>
      </c>
      <c r="E78" s="41">
        <v>0.0</v>
      </c>
      <c r="F78" s="41">
        <f>1/$AT6</f>
        <v>0.0001265747452</v>
      </c>
      <c r="G78" s="41">
        <v>0.0</v>
      </c>
      <c r="H78" s="41">
        <v>0.0</v>
      </c>
      <c r="I78" s="41">
        <v>0.0</v>
      </c>
      <c r="J78" s="41">
        <v>0.0</v>
      </c>
      <c r="K78" s="41">
        <v>0.0</v>
      </c>
      <c r="L78" s="41">
        <v>0.0</v>
      </c>
      <c r="M78" s="41">
        <v>0.0</v>
      </c>
      <c r="N78" s="41">
        <v>0.0</v>
      </c>
      <c r="O78" s="41">
        <v>0.0</v>
      </c>
      <c r="P78" s="41">
        <v>0.0</v>
      </c>
      <c r="Q78" s="41">
        <v>0.0</v>
      </c>
      <c r="R78" s="41">
        <v>0.0</v>
      </c>
      <c r="S78" s="41">
        <v>0.0</v>
      </c>
      <c r="T78" s="41">
        <v>0.0</v>
      </c>
      <c r="U78" s="41">
        <v>0.0</v>
      </c>
      <c r="V78" s="41">
        <v>0.0</v>
      </c>
      <c r="W78" s="41">
        <v>0.0</v>
      </c>
      <c r="X78" s="41">
        <v>0.0</v>
      </c>
      <c r="Y78" s="41">
        <v>0.0</v>
      </c>
      <c r="Z78" s="41">
        <v>0.0</v>
      </c>
      <c r="AA78" s="41">
        <v>0.0</v>
      </c>
      <c r="AB78" s="41">
        <v>0.0</v>
      </c>
      <c r="AE78" s="41">
        <v>4.0</v>
      </c>
      <c r="AF78" s="41">
        <v>0.0</v>
      </c>
      <c r="AG78" s="41">
        <v>0.0</v>
      </c>
      <c r="AH78" s="41">
        <v>0.0</v>
      </c>
      <c r="AI78" s="41">
        <f>F$61</f>
        <v>57922.88528</v>
      </c>
      <c r="AJ78" s="41">
        <v>0.0</v>
      </c>
      <c r="AK78" s="41">
        <v>0.0</v>
      </c>
      <c r="AL78" s="41">
        <v>0.0</v>
      </c>
      <c r="AM78" s="41">
        <v>0.0</v>
      </c>
      <c r="AN78" s="41">
        <v>0.0</v>
      </c>
      <c r="AO78" s="41">
        <v>0.0</v>
      </c>
      <c r="AP78" s="41">
        <v>0.0</v>
      </c>
      <c r="AQ78" s="41">
        <v>0.0</v>
      </c>
      <c r="AR78" s="41">
        <v>0.0</v>
      </c>
      <c r="AS78" s="41">
        <v>0.0</v>
      </c>
      <c r="AT78" s="41">
        <v>0.0</v>
      </c>
      <c r="AU78" s="41">
        <v>0.0</v>
      </c>
      <c r="AV78" s="41">
        <v>0.0</v>
      </c>
      <c r="AW78" s="41">
        <v>0.0</v>
      </c>
      <c r="AX78" s="41">
        <v>0.0</v>
      </c>
      <c r="AY78" s="41">
        <v>0.0</v>
      </c>
      <c r="AZ78" s="41">
        <v>0.0</v>
      </c>
      <c r="BA78" s="41">
        <v>0.0</v>
      </c>
      <c r="BB78" s="41">
        <v>0.0</v>
      </c>
      <c r="BC78" s="41">
        <v>0.0</v>
      </c>
      <c r="BD78" s="41">
        <v>0.0</v>
      </c>
      <c r="BE78" s="41">
        <v>0.0</v>
      </c>
    </row>
    <row r="79" ht="15.75" customHeight="1">
      <c r="B79" s="41">
        <v>5.0</v>
      </c>
      <c r="C79" s="41">
        <v>0.0</v>
      </c>
      <c r="D79" s="41">
        <v>0.0</v>
      </c>
      <c r="E79" s="41">
        <v>0.0</v>
      </c>
      <c r="F79" s="41">
        <v>0.0</v>
      </c>
      <c r="G79" s="41">
        <f>1/$AT7</f>
        <v>0.0004161917386</v>
      </c>
      <c r="H79" s="41">
        <v>0.0</v>
      </c>
      <c r="I79" s="41">
        <v>0.0</v>
      </c>
      <c r="J79" s="41">
        <v>0.0</v>
      </c>
      <c r="K79" s="41">
        <v>0.0</v>
      </c>
      <c r="L79" s="41">
        <v>0.0</v>
      </c>
      <c r="M79" s="41">
        <v>0.0</v>
      </c>
      <c r="N79" s="41">
        <v>0.0</v>
      </c>
      <c r="O79" s="41">
        <v>0.0</v>
      </c>
      <c r="P79" s="41">
        <v>0.0</v>
      </c>
      <c r="Q79" s="41">
        <v>0.0</v>
      </c>
      <c r="R79" s="41">
        <v>0.0</v>
      </c>
      <c r="S79" s="41">
        <v>0.0</v>
      </c>
      <c r="T79" s="41">
        <v>0.0</v>
      </c>
      <c r="U79" s="41">
        <v>0.0</v>
      </c>
      <c r="V79" s="41">
        <v>0.0</v>
      </c>
      <c r="W79" s="41">
        <v>0.0</v>
      </c>
      <c r="X79" s="41">
        <v>0.0</v>
      </c>
      <c r="Y79" s="41">
        <v>0.0</v>
      </c>
      <c r="Z79" s="41">
        <v>0.0</v>
      </c>
      <c r="AA79" s="41">
        <v>0.0</v>
      </c>
      <c r="AB79" s="41">
        <v>0.0</v>
      </c>
      <c r="AE79" s="41">
        <v>5.0</v>
      </c>
      <c r="AF79" s="41">
        <v>0.0</v>
      </c>
      <c r="AG79" s="41">
        <v>0.0</v>
      </c>
      <c r="AH79" s="41">
        <v>0.0</v>
      </c>
      <c r="AI79" s="41">
        <v>0.0</v>
      </c>
      <c r="AJ79" s="41">
        <f>G$61</f>
        <v>581169.8771</v>
      </c>
      <c r="AK79" s="41">
        <v>0.0</v>
      </c>
      <c r="AL79" s="41">
        <v>0.0</v>
      </c>
      <c r="AM79" s="41">
        <v>0.0</v>
      </c>
      <c r="AN79" s="41">
        <v>0.0</v>
      </c>
      <c r="AO79" s="41">
        <v>0.0</v>
      </c>
      <c r="AP79" s="41">
        <v>0.0</v>
      </c>
      <c r="AQ79" s="41">
        <v>0.0</v>
      </c>
      <c r="AR79" s="41">
        <v>0.0</v>
      </c>
      <c r="AS79" s="41">
        <v>0.0</v>
      </c>
      <c r="AT79" s="41">
        <v>0.0</v>
      </c>
      <c r="AU79" s="41">
        <v>0.0</v>
      </c>
      <c r="AV79" s="41">
        <v>0.0</v>
      </c>
      <c r="AW79" s="41">
        <v>0.0</v>
      </c>
      <c r="AX79" s="41">
        <v>0.0</v>
      </c>
      <c r="AY79" s="41">
        <v>0.0</v>
      </c>
      <c r="AZ79" s="41">
        <v>0.0</v>
      </c>
      <c r="BA79" s="41">
        <v>0.0</v>
      </c>
      <c r="BB79" s="41">
        <v>0.0</v>
      </c>
      <c r="BC79" s="41">
        <v>0.0</v>
      </c>
      <c r="BD79" s="41">
        <v>0.0</v>
      </c>
      <c r="BE79" s="41">
        <v>0.0</v>
      </c>
    </row>
    <row r="80" ht="15.75" customHeight="1">
      <c r="B80" s="41">
        <v>6.0</v>
      </c>
      <c r="C80" s="41">
        <v>0.0</v>
      </c>
      <c r="D80" s="41">
        <v>0.0</v>
      </c>
      <c r="E80" s="41">
        <v>0.0</v>
      </c>
      <c r="F80" s="41">
        <v>0.0</v>
      </c>
      <c r="G80" s="41">
        <v>0.0</v>
      </c>
      <c r="H80" s="41">
        <f>1/$AT8</f>
        <v>0.0001435413059</v>
      </c>
      <c r="I80" s="41">
        <v>0.0</v>
      </c>
      <c r="J80" s="41">
        <v>0.0</v>
      </c>
      <c r="K80" s="41">
        <v>0.0</v>
      </c>
      <c r="L80" s="41">
        <v>0.0</v>
      </c>
      <c r="M80" s="41">
        <v>0.0</v>
      </c>
      <c r="N80" s="41">
        <v>0.0</v>
      </c>
      <c r="O80" s="41">
        <v>0.0</v>
      </c>
      <c r="P80" s="41">
        <v>0.0</v>
      </c>
      <c r="Q80" s="41">
        <v>0.0</v>
      </c>
      <c r="R80" s="41">
        <v>0.0</v>
      </c>
      <c r="S80" s="41">
        <v>0.0</v>
      </c>
      <c r="T80" s="41">
        <v>0.0</v>
      </c>
      <c r="U80" s="41">
        <v>0.0</v>
      </c>
      <c r="V80" s="41">
        <v>0.0</v>
      </c>
      <c r="W80" s="41">
        <v>0.0</v>
      </c>
      <c r="X80" s="41">
        <v>0.0</v>
      </c>
      <c r="Y80" s="41">
        <v>0.0</v>
      </c>
      <c r="Z80" s="41">
        <v>0.0</v>
      </c>
      <c r="AA80" s="41">
        <v>0.0</v>
      </c>
      <c r="AB80" s="41">
        <v>0.0</v>
      </c>
      <c r="AE80" s="41">
        <v>6.0</v>
      </c>
      <c r="AF80" s="41">
        <v>0.0</v>
      </c>
      <c r="AG80" s="41">
        <v>0.0</v>
      </c>
      <c r="AH80" s="41">
        <v>0.0</v>
      </c>
      <c r="AI80" s="41">
        <v>0.0</v>
      </c>
      <c r="AJ80" s="41">
        <v>0.0</v>
      </c>
      <c r="AK80" s="41">
        <f>H$61</f>
        <v>216192.0732</v>
      </c>
      <c r="AL80" s="41">
        <v>0.0</v>
      </c>
      <c r="AM80" s="41">
        <v>0.0</v>
      </c>
      <c r="AN80" s="41">
        <v>0.0</v>
      </c>
      <c r="AO80" s="41">
        <v>0.0</v>
      </c>
      <c r="AP80" s="41">
        <v>0.0</v>
      </c>
      <c r="AQ80" s="41">
        <v>0.0</v>
      </c>
      <c r="AR80" s="41">
        <v>0.0</v>
      </c>
      <c r="AS80" s="41">
        <v>0.0</v>
      </c>
      <c r="AT80" s="41">
        <v>0.0</v>
      </c>
      <c r="AU80" s="41">
        <v>0.0</v>
      </c>
      <c r="AV80" s="41">
        <v>0.0</v>
      </c>
      <c r="AW80" s="41">
        <v>0.0</v>
      </c>
      <c r="AX80" s="41">
        <v>0.0</v>
      </c>
      <c r="AY80" s="41">
        <v>0.0</v>
      </c>
      <c r="AZ80" s="41">
        <v>0.0</v>
      </c>
      <c r="BA80" s="41">
        <v>0.0</v>
      </c>
      <c r="BB80" s="41">
        <v>0.0</v>
      </c>
      <c r="BC80" s="41">
        <v>0.0</v>
      </c>
      <c r="BD80" s="41">
        <v>0.0</v>
      </c>
      <c r="BE80" s="41">
        <v>0.0</v>
      </c>
    </row>
    <row r="81" ht="15.75" customHeight="1">
      <c r="B81" s="41">
        <v>7.0</v>
      </c>
      <c r="C81" s="41">
        <v>0.0</v>
      </c>
      <c r="D81" s="41">
        <v>0.0</v>
      </c>
      <c r="E81" s="41">
        <v>0.0</v>
      </c>
      <c r="F81" s="41">
        <v>0.0</v>
      </c>
      <c r="G81" s="41">
        <v>0.0</v>
      </c>
      <c r="H81" s="41">
        <v>0.0</v>
      </c>
      <c r="I81" s="41">
        <f>1/$AT9</f>
        <v>0.000004221669181</v>
      </c>
      <c r="J81" s="41">
        <v>0.0</v>
      </c>
      <c r="K81" s="41">
        <v>0.0</v>
      </c>
      <c r="L81" s="41">
        <v>0.0</v>
      </c>
      <c r="M81" s="41">
        <v>0.0</v>
      </c>
      <c r="N81" s="41">
        <v>0.0</v>
      </c>
      <c r="O81" s="41">
        <v>0.0</v>
      </c>
      <c r="P81" s="41">
        <v>0.0</v>
      </c>
      <c r="Q81" s="41">
        <v>0.0</v>
      </c>
      <c r="R81" s="41">
        <v>0.0</v>
      </c>
      <c r="S81" s="41">
        <v>0.0</v>
      </c>
      <c r="T81" s="41">
        <v>0.0</v>
      </c>
      <c r="U81" s="41">
        <v>0.0</v>
      </c>
      <c r="V81" s="41">
        <v>0.0</v>
      </c>
      <c r="W81" s="41">
        <v>0.0</v>
      </c>
      <c r="X81" s="41">
        <v>0.0</v>
      </c>
      <c r="Y81" s="41">
        <v>0.0</v>
      </c>
      <c r="Z81" s="41">
        <v>0.0</v>
      </c>
      <c r="AA81" s="41">
        <v>0.0</v>
      </c>
      <c r="AB81" s="41">
        <v>0.0</v>
      </c>
      <c r="AE81" s="41">
        <v>7.0</v>
      </c>
      <c r="AF81" s="41">
        <v>0.0</v>
      </c>
      <c r="AG81" s="41">
        <v>0.0</v>
      </c>
      <c r="AH81" s="41">
        <v>0.0</v>
      </c>
      <c r="AI81" s="41">
        <v>0.0</v>
      </c>
      <c r="AJ81" s="41">
        <v>0.0</v>
      </c>
      <c r="AK81" s="41">
        <v>0.0</v>
      </c>
      <c r="AL81" s="41">
        <f>I$61</f>
        <v>115113.5376</v>
      </c>
      <c r="AM81" s="41">
        <v>0.0</v>
      </c>
      <c r="AN81" s="41">
        <v>0.0</v>
      </c>
      <c r="AO81" s="41">
        <v>0.0</v>
      </c>
      <c r="AP81" s="41">
        <v>0.0</v>
      </c>
      <c r="AQ81" s="41">
        <v>0.0</v>
      </c>
      <c r="AR81" s="41">
        <v>0.0</v>
      </c>
      <c r="AS81" s="41">
        <v>0.0</v>
      </c>
      <c r="AT81" s="41">
        <v>0.0</v>
      </c>
      <c r="AU81" s="41">
        <v>0.0</v>
      </c>
      <c r="AV81" s="41">
        <v>0.0</v>
      </c>
      <c r="AW81" s="41">
        <v>0.0</v>
      </c>
      <c r="AX81" s="41">
        <v>0.0</v>
      </c>
      <c r="AY81" s="41">
        <v>0.0</v>
      </c>
      <c r="AZ81" s="41">
        <v>0.0</v>
      </c>
      <c r="BA81" s="41">
        <v>0.0</v>
      </c>
      <c r="BB81" s="41">
        <v>0.0</v>
      </c>
      <c r="BC81" s="41">
        <v>0.0</v>
      </c>
      <c r="BD81" s="41">
        <v>0.0</v>
      </c>
      <c r="BE81" s="41">
        <v>0.0</v>
      </c>
    </row>
    <row r="82" ht="15.75" customHeight="1">
      <c r="B82" s="41">
        <v>8.0</v>
      </c>
      <c r="C82" s="41">
        <v>0.0</v>
      </c>
      <c r="D82" s="41">
        <v>0.0</v>
      </c>
      <c r="E82" s="41">
        <v>0.0</v>
      </c>
      <c r="F82" s="41">
        <v>0.0</v>
      </c>
      <c r="G82" s="41">
        <v>0.0</v>
      </c>
      <c r="H82" s="41">
        <v>0.0</v>
      </c>
      <c r="I82" s="41">
        <v>0.0</v>
      </c>
      <c r="J82" s="41">
        <f>1/$AT10</f>
        <v>0.001863825124</v>
      </c>
      <c r="K82" s="41">
        <v>0.0</v>
      </c>
      <c r="L82" s="41">
        <v>0.0</v>
      </c>
      <c r="M82" s="41">
        <v>0.0</v>
      </c>
      <c r="N82" s="41">
        <v>0.0</v>
      </c>
      <c r="O82" s="41">
        <v>0.0</v>
      </c>
      <c r="P82" s="41">
        <v>0.0</v>
      </c>
      <c r="Q82" s="41">
        <v>0.0</v>
      </c>
      <c r="R82" s="41">
        <v>0.0</v>
      </c>
      <c r="S82" s="41">
        <v>0.0</v>
      </c>
      <c r="T82" s="41">
        <v>0.0</v>
      </c>
      <c r="U82" s="41">
        <v>0.0</v>
      </c>
      <c r="V82" s="41">
        <v>0.0</v>
      </c>
      <c r="W82" s="41">
        <v>0.0</v>
      </c>
      <c r="X82" s="41">
        <v>0.0</v>
      </c>
      <c r="Y82" s="41">
        <v>0.0</v>
      </c>
      <c r="Z82" s="41">
        <v>0.0</v>
      </c>
      <c r="AA82" s="41">
        <v>0.0</v>
      </c>
      <c r="AB82" s="41">
        <v>0.0</v>
      </c>
      <c r="AE82" s="41">
        <v>8.0</v>
      </c>
      <c r="AF82" s="41">
        <v>0.0</v>
      </c>
      <c r="AG82" s="41">
        <v>0.0</v>
      </c>
      <c r="AH82" s="41">
        <v>0.0</v>
      </c>
      <c r="AI82" s="41">
        <v>0.0</v>
      </c>
      <c r="AJ82" s="41">
        <v>0.0</v>
      </c>
      <c r="AK82" s="41">
        <v>0.0</v>
      </c>
      <c r="AL82" s="41">
        <v>0.0</v>
      </c>
      <c r="AM82" s="41">
        <f>J$61</f>
        <v>50147.36756</v>
      </c>
      <c r="AN82" s="41">
        <v>0.0</v>
      </c>
      <c r="AO82" s="41">
        <v>0.0</v>
      </c>
      <c r="AP82" s="41">
        <v>0.0</v>
      </c>
      <c r="AQ82" s="41">
        <v>0.0</v>
      </c>
      <c r="AR82" s="41">
        <v>0.0</v>
      </c>
      <c r="AS82" s="41">
        <v>0.0</v>
      </c>
      <c r="AT82" s="41">
        <v>0.0</v>
      </c>
      <c r="AU82" s="41">
        <v>0.0</v>
      </c>
      <c r="AV82" s="41">
        <v>0.0</v>
      </c>
      <c r="AW82" s="41">
        <v>0.0</v>
      </c>
      <c r="AX82" s="41">
        <v>0.0</v>
      </c>
      <c r="AY82" s="41">
        <v>0.0</v>
      </c>
      <c r="AZ82" s="41">
        <v>0.0</v>
      </c>
      <c r="BA82" s="41">
        <v>0.0</v>
      </c>
      <c r="BB82" s="41">
        <v>0.0</v>
      </c>
      <c r="BC82" s="41">
        <v>0.0</v>
      </c>
      <c r="BD82" s="41">
        <v>0.0</v>
      </c>
      <c r="BE82" s="41">
        <v>0.0</v>
      </c>
    </row>
    <row r="83" ht="15.75" customHeight="1">
      <c r="B83" s="41">
        <v>9.0</v>
      </c>
      <c r="C83" s="41">
        <v>0.0</v>
      </c>
      <c r="D83" s="41">
        <v>0.0</v>
      </c>
      <c r="E83" s="41">
        <v>0.0</v>
      </c>
      <c r="F83" s="41">
        <v>0.0</v>
      </c>
      <c r="G83" s="41">
        <v>0.0</v>
      </c>
      <c r="H83" s="41">
        <v>0.0</v>
      </c>
      <c r="I83" s="41">
        <v>0.0</v>
      </c>
      <c r="J83" s="41">
        <v>0.0</v>
      </c>
      <c r="K83" s="41">
        <f>1/$AT11</f>
        <v>0.000006842835747</v>
      </c>
      <c r="L83" s="41">
        <v>0.0</v>
      </c>
      <c r="M83" s="41">
        <v>0.0</v>
      </c>
      <c r="N83" s="41">
        <v>0.0</v>
      </c>
      <c r="O83" s="41">
        <v>0.0</v>
      </c>
      <c r="P83" s="41">
        <v>0.0</v>
      </c>
      <c r="Q83" s="41">
        <v>0.0</v>
      </c>
      <c r="R83" s="41">
        <v>0.0</v>
      </c>
      <c r="S83" s="41">
        <v>0.0</v>
      </c>
      <c r="T83" s="41">
        <v>0.0</v>
      </c>
      <c r="U83" s="41">
        <v>0.0</v>
      </c>
      <c r="V83" s="41">
        <v>0.0</v>
      </c>
      <c r="W83" s="41">
        <v>0.0</v>
      </c>
      <c r="X83" s="41">
        <v>0.0</v>
      </c>
      <c r="Y83" s="41">
        <v>0.0</v>
      </c>
      <c r="Z83" s="41">
        <v>0.0</v>
      </c>
      <c r="AA83" s="41">
        <v>0.0</v>
      </c>
      <c r="AB83" s="41">
        <v>0.0</v>
      </c>
      <c r="AE83" s="41">
        <v>9.0</v>
      </c>
      <c r="AF83" s="41">
        <v>0.0</v>
      </c>
      <c r="AG83" s="41">
        <v>0.0</v>
      </c>
      <c r="AH83" s="41">
        <v>0.0</v>
      </c>
      <c r="AI83" s="41">
        <v>0.0</v>
      </c>
      <c r="AJ83" s="41">
        <v>0.0</v>
      </c>
      <c r="AK83" s="41">
        <v>0.0</v>
      </c>
      <c r="AL83" s="41">
        <v>0.0</v>
      </c>
      <c r="AM83" s="41">
        <v>0.0</v>
      </c>
      <c r="AN83" s="41">
        <f>K$61</f>
        <v>172463.0253</v>
      </c>
      <c r="AO83" s="41">
        <v>0.0</v>
      </c>
      <c r="AP83" s="41">
        <v>0.0</v>
      </c>
      <c r="AQ83" s="41">
        <v>0.0</v>
      </c>
      <c r="AR83" s="41">
        <v>0.0</v>
      </c>
      <c r="AS83" s="41">
        <v>0.0</v>
      </c>
      <c r="AT83" s="41">
        <v>0.0</v>
      </c>
      <c r="AU83" s="41">
        <v>0.0</v>
      </c>
      <c r="AV83" s="41">
        <v>0.0</v>
      </c>
      <c r="AW83" s="41">
        <v>0.0</v>
      </c>
      <c r="AX83" s="41">
        <v>0.0</v>
      </c>
      <c r="AY83" s="41">
        <v>0.0</v>
      </c>
      <c r="AZ83" s="41">
        <v>0.0</v>
      </c>
      <c r="BA83" s="41">
        <v>0.0</v>
      </c>
      <c r="BB83" s="41">
        <v>0.0</v>
      </c>
      <c r="BC83" s="41">
        <v>0.0</v>
      </c>
      <c r="BD83" s="41">
        <v>0.0</v>
      </c>
      <c r="BE83" s="41">
        <v>0.0</v>
      </c>
    </row>
    <row r="84" ht="15.75" customHeight="1">
      <c r="B84" s="41">
        <v>10.0</v>
      </c>
      <c r="C84" s="41">
        <v>0.0</v>
      </c>
      <c r="D84" s="41">
        <v>0.0</v>
      </c>
      <c r="E84" s="41">
        <v>0.0</v>
      </c>
      <c r="F84" s="41">
        <v>0.0</v>
      </c>
      <c r="G84" s="41">
        <v>0.0</v>
      </c>
      <c r="H84" s="41">
        <v>0.0</v>
      </c>
      <c r="I84" s="41">
        <v>0.0</v>
      </c>
      <c r="J84" s="41">
        <v>0.0</v>
      </c>
      <c r="K84" s="41">
        <v>0.0</v>
      </c>
      <c r="L84" s="41">
        <f>1/$AT12</f>
        <v>0.00000351391668</v>
      </c>
      <c r="M84" s="41">
        <v>0.0</v>
      </c>
      <c r="N84" s="41">
        <v>0.0</v>
      </c>
      <c r="O84" s="41">
        <v>0.0</v>
      </c>
      <c r="P84" s="41">
        <v>0.0</v>
      </c>
      <c r="Q84" s="41">
        <v>0.0</v>
      </c>
      <c r="R84" s="41">
        <v>0.0</v>
      </c>
      <c r="S84" s="41">
        <v>0.0</v>
      </c>
      <c r="T84" s="41">
        <v>0.0</v>
      </c>
      <c r="U84" s="41">
        <v>0.0</v>
      </c>
      <c r="V84" s="41">
        <v>0.0</v>
      </c>
      <c r="W84" s="41">
        <v>0.0</v>
      </c>
      <c r="X84" s="41">
        <v>0.0</v>
      </c>
      <c r="Y84" s="41">
        <v>0.0</v>
      </c>
      <c r="Z84" s="41">
        <v>0.0</v>
      </c>
      <c r="AA84" s="41">
        <v>0.0</v>
      </c>
      <c r="AB84" s="41">
        <v>0.0</v>
      </c>
      <c r="AE84" s="41">
        <v>10.0</v>
      </c>
      <c r="AF84" s="41">
        <v>0.0</v>
      </c>
      <c r="AG84" s="41">
        <v>0.0</v>
      </c>
      <c r="AH84" s="41">
        <v>0.0</v>
      </c>
      <c r="AI84" s="41">
        <v>0.0</v>
      </c>
      <c r="AJ84" s="41">
        <v>0.0</v>
      </c>
      <c r="AK84" s="41">
        <v>0.0</v>
      </c>
      <c r="AL84" s="41">
        <v>0.0</v>
      </c>
      <c r="AM84" s="41">
        <v>0.0</v>
      </c>
      <c r="AN84" s="41">
        <v>0.0</v>
      </c>
      <c r="AO84" s="41">
        <f>L$61</f>
        <v>20648.30266</v>
      </c>
      <c r="AP84" s="41">
        <v>0.0</v>
      </c>
      <c r="AQ84" s="41">
        <v>0.0</v>
      </c>
      <c r="AR84" s="41">
        <v>0.0</v>
      </c>
      <c r="AS84" s="41">
        <v>0.0</v>
      </c>
      <c r="AT84" s="41">
        <v>0.0</v>
      </c>
      <c r="AU84" s="41">
        <v>0.0</v>
      </c>
      <c r="AV84" s="41">
        <v>0.0</v>
      </c>
      <c r="AW84" s="41">
        <v>0.0</v>
      </c>
      <c r="AX84" s="41">
        <v>0.0</v>
      </c>
      <c r="AY84" s="41">
        <v>0.0</v>
      </c>
      <c r="AZ84" s="41">
        <v>0.0</v>
      </c>
      <c r="BA84" s="41">
        <v>0.0</v>
      </c>
      <c r="BB84" s="41">
        <v>0.0</v>
      </c>
      <c r="BC84" s="41">
        <v>0.0</v>
      </c>
      <c r="BD84" s="41">
        <v>0.0</v>
      </c>
      <c r="BE84" s="41">
        <v>0.0</v>
      </c>
    </row>
    <row r="85" ht="15.75" customHeight="1">
      <c r="B85" s="41">
        <v>11.0</v>
      </c>
      <c r="C85" s="41">
        <v>0.0</v>
      </c>
      <c r="D85" s="41">
        <v>0.0</v>
      </c>
      <c r="E85" s="41">
        <v>0.0</v>
      </c>
      <c r="F85" s="41">
        <v>0.0</v>
      </c>
      <c r="G85" s="41">
        <v>0.0</v>
      </c>
      <c r="H85" s="41">
        <v>0.0</v>
      </c>
      <c r="I85" s="41">
        <v>0.0</v>
      </c>
      <c r="J85" s="41">
        <v>0.0</v>
      </c>
      <c r="K85" s="41">
        <v>0.0</v>
      </c>
      <c r="L85" s="41">
        <v>0.0</v>
      </c>
      <c r="M85" s="41">
        <f>1/$AT13</f>
        <v>0.0002132296632</v>
      </c>
      <c r="N85" s="41">
        <v>0.0</v>
      </c>
      <c r="O85" s="41">
        <v>0.0</v>
      </c>
      <c r="P85" s="41">
        <v>0.0</v>
      </c>
      <c r="Q85" s="41">
        <v>0.0</v>
      </c>
      <c r="R85" s="41">
        <v>0.0</v>
      </c>
      <c r="S85" s="41">
        <v>0.0</v>
      </c>
      <c r="T85" s="41">
        <v>0.0</v>
      </c>
      <c r="U85" s="41">
        <v>0.0</v>
      </c>
      <c r="V85" s="41">
        <v>0.0</v>
      </c>
      <c r="W85" s="41">
        <v>0.0</v>
      </c>
      <c r="X85" s="41">
        <v>0.0</v>
      </c>
      <c r="Y85" s="41">
        <v>0.0</v>
      </c>
      <c r="Z85" s="41">
        <v>0.0</v>
      </c>
      <c r="AA85" s="41">
        <v>0.0</v>
      </c>
      <c r="AB85" s="41">
        <v>0.0</v>
      </c>
      <c r="AE85" s="41">
        <v>11.0</v>
      </c>
      <c r="AF85" s="41">
        <v>0.0</v>
      </c>
      <c r="AG85" s="41">
        <v>0.0</v>
      </c>
      <c r="AH85" s="41">
        <v>0.0</v>
      </c>
      <c r="AI85" s="41">
        <v>0.0</v>
      </c>
      <c r="AJ85" s="41">
        <v>0.0</v>
      </c>
      <c r="AK85" s="41">
        <v>0.0</v>
      </c>
      <c r="AL85" s="41">
        <v>0.0</v>
      </c>
      <c r="AM85" s="41">
        <v>0.0</v>
      </c>
      <c r="AN85" s="41">
        <v>0.0</v>
      </c>
      <c r="AO85" s="41">
        <v>0.0</v>
      </c>
      <c r="AP85" s="41">
        <f>M$61</f>
        <v>435612.233</v>
      </c>
      <c r="AQ85" s="41">
        <v>0.0</v>
      </c>
      <c r="AR85" s="41">
        <v>0.0</v>
      </c>
      <c r="AS85" s="41">
        <v>0.0</v>
      </c>
      <c r="AT85" s="41">
        <v>0.0</v>
      </c>
      <c r="AU85" s="41">
        <v>0.0</v>
      </c>
      <c r="AV85" s="41">
        <v>0.0</v>
      </c>
      <c r="AW85" s="41">
        <v>0.0</v>
      </c>
      <c r="AX85" s="41">
        <v>0.0</v>
      </c>
      <c r="AY85" s="41">
        <v>0.0</v>
      </c>
      <c r="AZ85" s="41">
        <v>0.0</v>
      </c>
      <c r="BA85" s="41">
        <v>0.0</v>
      </c>
      <c r="BB85" s="41">
        <v>0.0</v>
      </c>
      <c r="BC85" s="41">
        <v>0.0</v>
      </c>
      <c r="BD85" s="41">
        <v>0.0</v>
      </c>
      <c r="BE85" s="41">
        <v>0.0</v>
      </c>
    </row>
    <row r="86" ht="15.75" customHeight="1">
      <c r="B86" s="41">
        <v>12.0</v>
      </c>
      <c r="C86" s="41">
        <v>0.0</v>
      </c>
      <c r="D86" s="41">
        <v>0.0</v>
      </c>
      <c r="E86" s="41">
        <v>0.0</v>
      </c>
      <c r="F86" s="41">
        <v>0.0</v>
      </c>
      <c r="G86" s="41">
        <v>0.0</v>
      </c>
      <c r="H86" s="41">
        <v>0.0</v>
      </c>
      <c r="I86" s="41">
        <v>0.0</v>
      </c>
      <c r="J86" s="41">
        <v>0.0</v>
      </c>
      <c r="K86" s="41">
        <v>0.0</v>
      </c>
      <c r="L86" s="41">
        <v>0.0</v>
      </c>
      <c r="M86" s="41">
        <v>0.0</v>
      </c>
      <c r="N86" s="41">
        <f>1/$AT14</f>
        <v>0.0008959208723</v>
      </c>
      <c r="O86" s="41">
        <v>0.0</v>
      </c>
      <c r="P86" s="41">
        <v>0.0</v>
      </c>
      <c r="Q86" s="41">
        <v>0.0</v>
      </c>
      <c r="R86" s="41">
        <v>0.0</v>
      </c>
      <c r="S86" s="41">
        <v>0.0</v>
      </c>
      <c r="T86" s="41">
        <v>0.0</v>
      </c>
      <c r="U86" s="41">
        <v>0.0</v>
      </c>
      <c r="V86" s="41">
        <v>0.0</v>
      </c>
      <c r="W86" s="41">
        <v>0.0</v>
      </c>
      <c r="X86" s="41">
        <v>0.0</v>
      </c>
      <c r="Y86" s="41">
        <v>0.0</v>
      </c>
      <c r="Z86" s="41">
        <v>0.0</v>
      </c>
      <c r="AA86" s="41">
        <v>0.0</v>
      </c>
      <c r="AB86" s="41">
        <v>0.0</v>
      </c>
      <c r="AE86" s="41">
        <v>12.0</v>
      </c>
      <c r="AF86" s="41">
        <v>0.0</v>
      </c>
      <c r="AG86" s="41">
        <v>0.0</v>
      </c>
      <c r="AH86" s="41">
        <v>0.0</v>
      </c>
      <c r="AI86" s="41">
        <v>0.0</v>
      </c>
      <c r="AJ86" s="41">
        <v>0.0</v>
      </c>
      <c r="AK86" s="41">
        <v>0.0</v>
      </c>
      <c r="AL86" s="41">
        <v>0.0</v>
      </c>
      <c r="AM86" s="41">
        <v>0.0</v>
      </c>
      <c r="AN86" s="41">
        <v>0.0</v>
      </c>
      <c r="AO86" s="41">
        <v>0.0</v>
      </c>
      <c r="AP86" s="41">
        <v>0.0</v>
      </c>
      <c r="AQ86" s="41">
        <f>N$61</f>
        <v>5633.905301</v>
      </c>
      <c r="AR86" s="41">
        <v>0.0</v>
      </c>
      <c r="AS86" s="41">
        <v>0.0</v>
      </c>
      <c r="AT86" s="41">
        <v>0.0</v>
      </c>
      <c r="AU86" s="41">
        <v>0.0</v>
      </c>
      <c r="AV86" s="41">
        <v>0.0</v>
      </c>
      <c r="AW86" s="41">
        <v>0.0</v>
      </c>
      <c r="AX86" s="41">
        <v>0.0</v>
      </c>
      <c r="AY86" s="41">
        <v>0.0</v>
      </c>
      <c r="AZ86" s="41">
        <v>0.0</v>
      </c>
      <c r="BA86" s="41">
        <v>0.0</v>
      </c>
      <c r="BB86" s="41">
        <v>0.0</v>
      </c>
      <c r="BC86" s="41">
        <v>0.0</v>
      </c>
      <c r="BD86" s="41">
        <v>0.0</v>
      </c>
      <c r="BE86" s="41">
        <v>0.0</v>
      </c>
    </row>
    <row r="87" ht="15.75" customHeight="1">
      <c r="B87" s="41">
        <v>13.0</v>
      </c>
      <c r="C87" s="41">
        <v>0.0</v>
      </c>
      <c r="D87" s="41">
        <v>0.0</v>
      </c>
      <c r="E87" s="41">
        <v>0.0</v>
      </c>
      <c r="F87" s="41">
        <v>0.0</v>
      </c>
      <c r="G87" s="41">
        <v>0.0</v>
      </c>
      <c r="H87" s="41">
        <v>0.0</v>
      </c>
      <c r="I87" s="41">
        <v>0.0</v>
      </c>
      <c r="J87" s="41">
        <v>0.0</v>
      </c>
      <c r="K87" s="41">
        <v>0.0</v>
      </c>
      <c r="L87" s="41">
        <v>0.0</v>
      </c>
      <c r="M87" s="41">
        <v>0.0</v>
      </c>
      <c r="N87" s="41">
        <v>0.0</v>
      </c>
      <c r="O87" s="41">
        <f>1/$AT15</f>
        <v>0.00003268911402</v>
      </c>
      <c r="P87" s="41">
        <v>0.0</v>
      </c>
      <c r="Q87" s="41">
        <v>0.0</v>
      </c>
      <c r="R87" s="41">
        <v>0.0</v>
      </c>
      <c r="S87" s="41">
        <v>0.0</v>
      </c>
      <c r="T87" s="41">
        <v>0.0</v>
      </c>
      <c r="U87" s="41">
        <v>0.0</v>
      </c>
      <c r="V87" s="41">
        <v>0.0</v>
      </c>
      <c r="W87" s="41">
        <v>0.0</v>
      </c>
      <c r="X87" s="41">
        <v>0.0</v>
      </c>
      <c r="Y87" s="41">
        <v>0.0</v>
      </c>
      <c r="Z87" s="41">
        <v>0.0</v>
      </c>
      <c r="AA87" s="41">
        <v>0.0</v>
      </c>
      <c r="AB87" s="41">
        <v>0.0</v>
      </c>
      <c r="AE87" s="41">
        <v>13.0</v>
      </c>
      <c r="AF87" s="41">
        <v>0.0</v>
      </c>
      <c r="AG87" s="41">
        <v>0.0</v>
      </c>
      <c r="AH87" s="41">
        <v>0.0</v>
      </c>
      <c r="AI87" s="41">
        <v>0.0</v>
      </c>
      <c r="AJ87" s="41">
        <v>0.0</v>
      </c>
      <c r="AK87" s="41">
        <v>0.0</v>
      </c>
      <c r="AL87" s="41">
        <v>0.0</v>
      </c>
      <c r="AM87" s="41">
        <v>0.0</v>
      </c>
      <c r="AN87" s="41">
        <v>0.0</v>
      </c>
      <c r="AO87" s="41">
        <v>0.0</v>
      </c>
      <c r="AP87" s="41">
        <v>0.0</v>
      </c>
      <c r="AQ87" s="41">
        <v>0.0</v>
      </c>
      <c r="AR87" s="41">
        <f>O$61</f>
        <v>42388.83896</v>
      </c>
      <c r="AS87" s="41">
        <v>0.0</v>
      </c>
      <c r="AT87" s="41">
        <v>0.0</v>
      </c>
      <c r="AU87" s="41">
        <v>0.0</v>
      </c>
      <c r="AV87" s="41">
        <v>0.0</v>
      </c>
      <c r="AW87" s="41">
        <v>0.0</v>
      </c>
      <c r="AX87" s="41">
        <v>0.0</v>
      </c>
      <c r="AY87" s="41">
        <v>0.0</v>
      </c>
      <c r="AZ87" s="41">
        <v>0.0</v>
      </c>
      <c r="BA87" s="41">
        <v>0.0</v>
      </c>
      <c r="BB87" s="41">
        <v>0.0</v>
      </c>
      <c r="BC87" s="41">
        <v>0.0</v>
      </c>
      <c r="BD87" s="41">
        <v>0.0</v>
      </c>
      <c r="BE87" s="41">
        <v>0.0</v>
      </c>
    </row>
    <row r="88" ht="15.75" customHeight="1">
      <c r="B88" s="41">
        <v>14.0</v>
      </c>
      <c r="C88" s="41">
        <v>0.0</v>
      </c>
      <c r="D88" s="41">
        <v>0.0</v>
      </c>
      <c r="E88" s="41">
        <v>0.0</v>
      </c>
      <c r="F88" s="41">
        <v>0.0</v>
      </c>
      <c r="G88" s="41">
        <v>0.0</v>
      </c>
      <c r="H88" s="41">
        <v>0.0</v>
      </c>
      <c r="I88" s="41">
        <v>0.0</v>
      </c>
      <c r="J88" s="41">
        <v>0.0</v>
      </c>
      <c r="K88" s="41">
        <v>0.0</v>
      </c>
      <c r="L88" s="41">
        <v>0.0</v>
      </c>
      <c r="M88" s="41">
        <v>0.0</v>
      </c>
      <c r="N88" s="41">
        <v>0.0</v>
      </c>
      <c r="O88" s="41">
        <v>0.0</v>
      </c>
      <c r="P88" s="41">
        <f>1/$AT16</f>
        <v>0.0000002797629831</v>
      </c>
      <c r="Q88" s="41">
        <v>0.0</v>
      </c>
      <c r="R88" s="41">
        <v>0.0</v>
      </c>
      <c r="S88" s="41">
        <v>0.0</v>
      </c>
      <c r="T88" s="41">
        <v>0.0</v>
      </c>
      <c r="U88" s="41">
        <v>0.0</v>
      </c>
      <c r="V88" s="41">
        <v>0.0</v>
      </c>
      <c r="W88" s="41">
        <v>0.0</v>
      </c>
      <c r="X88" s="41">
        <v>0.0</v>
      </c>
      <c r="Y88" s="41">
        <v>0.0</v>
      </c>
      <c r="Z88" s="41">
        <v>0.0</v>
      </c>
      <c r="AA88" s="41">
        <v>0.0</v>
      </c>
      <c r="AB88" s="41">
        <v>0.0</v>
      </c>
      <c r="AE88" s="41">
        <v>14.0</v>
      </c>
      <c r="AF88" s="41">
        <v>0.0</v>
      </c>
      <c r="AG88" s="41">
        <v>0.0</v>
      </c>
      <c r="AH88" s="41">
        <v>0.0</v>
      </c>
      <c r="AI88" s="41">
        <v>0.0</v>
      </c>
      <c r="AJ88" s="41">
        <v>0.0</v>
      </c>
      <c r="AK88" s="41">
        <v>0.0</v>
      </c>
      <c r="AL88" s="41">
        <v>0.0</v>
      </c>
      <c r="AM88" s="41">
        <v>0.0</v>
      </c>
      <c r="AN88" s="41">
        <v>0.0</v>
      </c>
      <c r="AO88" s="41">
        <v>0.0</v>
      </c>
      <c r="AP88" s="41">
        <v>0.0</v>
      </c>
      <c r="AQ88" s="41">
        <v>0.0</v>
      </c>
      <c r="AR88" s="41">
        <v>0.0</v>
      </c>
      <c r="AS88" s="41">
        <f>P$61</f>
        <v>764493.2704</v>
      </c>
      <c r="AT88" s="41">
        <v>0.0</v>
      </c>
      <c r="AU88" s="41">
        <v>0.0</v>
      </c>
      <c r="AV88" s="41">
        <v>0.0</v>
      </c>
      <c r="AW88" s="41">
        <v>0.0</v>
      </c>
      <c r="AX88" s="41">
        <v>0.0</v>
      </c>
      <c r="AY88" s="41">
        <v>0.0</v>
      </c>
      <c r="AZ88" s="41">
        <v>0.0</v>
      </c>
      <c r="BA88" s="41">
        <v>0.0</v>
      </c>
      <c r="BB88" s="41">
        <v>0.0</v>
      </c>
      <c r="BC88" s="41">
        <v>0.0</v>
      </c>
      <c r="BD88" s="41">
        <v>0.0</v>
      </c>
      <c r="BE88" s="41">
        <v>0.0</v>
      </c>
    </row>
    <row r="89" ht="15.75" customHeight="1">
      <c r="B89" s="41">
        <v>15.0</v>
      </c>
      <c r="C89" s="41">
        <v>0.0</v>
      </c>
      <c r="D89" s="41">
        <v>0.0</v>
      </c>
      <c r="E89" s="41">
        <v>0.0</v>
      </c>
      <c r="F89" s="41">
        <v>0.0</v>
      </c>
      <c r="G89" s="41">
        <v>0.0</v>
      </c>
      <c r="H89" s="41">
        <v>0.0</v>
      </c>
      <c r="I89" s="41">
        <v>0.0</v>
      </c>
      <c r="J89" s="41">
        <v>0.0</v>
      </c>
      <c r="K89" s="41">
        <v>0.0</v>
      </c>
      <c r="L89" s="41">
        <v>0.0</v>
      </c>
      <c r="M89" s="41">
        <v>0.0</v>
      </c>
      <c r="N89" s="41">
        <v>0.0</v>
      </c>
      <c r="O89" s="41">
        <v>0.0</v>
      </c>
      <c r="P89" s="41">
        <v>0.0</v>
      </c>
      <c r="Q89" s="41">
        <f>1/$AT17</f>
        <v>0.0000002637550497</v>
      </c>
      <c r="R89" s="41">
        <v>0.0</v>
      </c>
      <c r="S89" s="41">
        <v>0.0</v>
      </c>
      <c r="T89" s="41">
        <v>0.0</v>
      </c>
      <c r="U89" s="41">
        <v>0.0</v>
      </c>
      <c r="V89" s="41">
        <v>0.0</v>
      </c>
      <c r="W89" s="41">
        <v>0.0</v>
      </c>
      <c r="X89" s="41">
        <v>0.0</v>
      </c>
      <c r="Y89" s="41">
        <v>0.0</v>
      </c>
      <c r="Z89" s="41">
        <v>0.0</v>
      </c>
      <c r="AA89" s="41">
        <v>0.0</v>
      </c>
      <c r="AB89" s="41">
        <v>0.0</v>
      </c>
      <c r="AE89" s="41">
        <v>15.0</v>
      </c>
      <c r="AF89" s="41">
        <v>0.0</v>
      </c>
      <c r="AG89" s="41">
        <v>0.0</v>
      </c>
      <c r="AH89" s="41">
        <v>0.0</v>
      </c>
      <c r="AI89" s="41">
        <v>0.0</v>
      </c>
      <c r="AJ89" s="41">
        <v>0.0</v>
      </c>
      <c r="AK89" s="41">
        <v>0.0</v>
      </c>
      <c r="AL89" s="41">
        <v>0.0</v>
      </c>
      <c r="AM89" s="41">
        <v>0.0</v>
      </c>
      <c r="AN89" s="41">
        <v>0.0</v>
      </c>
      <c r="AO89" s="41">
        <v>0.0</v>
      </c>
      <c r="AP89" s="41">
        <v>0.0</v>
      </c>
      <c r="AQ89" s="41">
        <v>0.0</v>
      </c>
      <c r="AR89" s="41">
        <v>0.0</v>
      </c>
      <c r="AS89" s="41">
        <v>0.0</v>
      </c>
      <c r="AT89" s="41">
        <f>Q$61</f>
        <v>123764.1994</v>
      </c>
      <c r="AU89" s="41">
        <v>0.0</v>
      </c>
      <c r="AV89" s="41">
        <v>0.0</v>
      </c>
      <c r="AW89" s="41">
        <v>0.0</v>
      </c>
      <c r="AX89" s="41">
        <v>0.0</v>
      </c>
      <c r="AY89" s="41">
        <v>0.0</v>
      </c>
      <c r="AZ89" s="41">
        <v>0.0</v>
      </c>
      <c r="BA89" s="41">
        <v>0.0</v>
      </c>
      <c r="BB89" s="41">
        <v>0.0</v>
      </c>
      <c r="BC89" s="41">
        <v>0.0</v>
      </c>
      <c r="BD89" s="41">
        <v>0.0</v>
      </c>
      <c r="BE89" s="41">
        <v>0.0</v>
      </c>
    </row>
    <row r="90" ht="15.75" customHeight="1">
      <c r="B90" s="41">
        <v>16.0</v>
      </c>
      <c r="C90" s="41">
        <v>0.0</v>
      </c>
      <c r="D90" s="41">
        <v>0.0</v>
      </c>
      <c r="E90" s="41">
        <v>0.0</v>
      </c>
      <c r="F90" s="41">
        <v>0.0</v>
      </c>
      <c r="G90" s="41">
        <v>0.0</v>
      </c>
      <c r="H90" s="41">
        <v>0.0</v>
      </c>
      <c r="I90" s="41">
        <v>0.0</v>
      </c>
      <c r="J90" s="41">
        <v>0.0</v>
      </c>
      <c r="K90" s="41">
        <v>0.0</v>
      </c>
      <c r="L90" s="41">
        <v>0.0</v>
      </c>
      <c r="M90" s="41">
        <v>0.0</v>
      </c>
      <c r="N90" s="41">
        <v>0.0</v>
      </c>
      <c r="O90" s="41">
        <v>0.0</v>
      </c>
      <c r="P90" s="41">
        <v>0.0</v>
      </c>
      <c r="Q90" s="41">
        <v>0.0</v>
      </c>
      <c r="R90" s="41">
        <f>1/$AT18</f>
        <v>0.0000004703475898</v>
      </c>
      <c r="S90" s="41">
        <v>0.0</v>
      </c>
      <c r="T90" s="41">
        <v>0.0</v>
      </c>
      <c r="U90" s="41">
        <v>0.0</v>
      </c>
      <c r="V90" s="41">
        <v>0.0</v>
      </c>
      <c r="W90" s="41">
        <v>0.0</v>
      </c>
      <c r="X90" s="41">
        <v>0.0</v>
      </c>
      <c r="Y90" s="41">
        <v>0.0</v>
      </c>
      <c r="Z90" s="41">
        <v>0.0</v>
      </c>
      <c r="AA90" s="41">
        <v>0.0</v>
      </c>
      <c r="AB90" s="41">
        <v>0.0</v>
      </c>
      <c r="AE90" s="41">
        <v>16.0</v>
      </c>
      <c r="AF90" s="41">
        <v>0.0</v>
      </c>
      <c r="AG90" s="41">
        <v>0.0</v>
      </c>
      <c r="AH90" s="41">
        <v>0.0</v>
      </c>
      <c r="AI90" s="41">
        <v>0.0</v>
      </c>
      <c r="AJ90" s="41">
        <v>0.0</v>
      </c>
      <c r="AK90" s="41">
        <v>0.0</v>
      </c>
      <c r="AL90" s="41">
        <v>0.0</v>
      </c>
      <c r="AM90" s="41">
        <v>0.0</v>
      </c>
      <c r="AN90" s="41">
        <v>0.0</v>
      </c>
      <c r="AO90" s="41">
        <v>0.0</v>
      </c>
      <c r="AP90" s="41">
        <v>0.0</v>
      </c>
      <c r="AQ90" s="41">
        <v>0.0</v>
      </c>
      <c r="AR90" s="41">
        <v>0.0</v>
      </c>
      <c r="AS90" s="41">
        <v>0.0</v>
      </c>
      <c r="AT90" s="41">
        <v>0.0</v>
      </c>
      <c r="AU90" s="41">
        <f>R$61</f>
        <v>2170956.861</v>
      </c>
      <c r="AV90" s="41">
        <v>0.0</v>
      </c>
      <c r="AW90" s="41">
        <v>0.0</v>
      </c>
      <c r="AX90" s="41">
        <v>0.0</v>
      </c>
      <c r="AY90" s="41">
        <v>0.0</v>
      </c>
      <c r="AZ90" s="41">
        <v>0.0</v>
      </c>
      <c r="BA90" s="41">
        <v>0.0</v>
      </c>
      <c r="BB90" s="41">
        <v>0.0</v>
      </c>
      <c r="BC90" s="41">
        <v>0.0</v>
      </c>
      <c r="BD90" s="41">
        <v>0.0</v>
      </c>
      <c r="BE90" s="41">
        <v>0.0</v>
      </c>
    </row>
    <row r="91" ht="15.75" customHeight="1">
      <c r="B91" s="41">
        <v>17.0</v>
      </c>
      <c r="C91" s="41">
        <v>0.0</v>
      </c>
      <c r="D91" s="41">
        <v>0.0</v>
      </c>
      <c r="E91" s="41">
        <v>0.0</v>
      </c>
      <c r="F91" s="41">
        <v>0.0</v>
      </c>
      <c r="G91" s="41">
        <v>0.0</v>
      </c>
      <c r="H91" s="41">
        <v>0.0</v>
      </c>
      <c r="I91" s="41">
        <v>0.0</v>
      </c>
      <c r="J91" s="41">
        <v>0.0</v>
      </c>
      <c r="K91" s="41">
        <v>0.0</v>
      </c>
      <c r="L91" s="41">
        <v>0.0</v>
      </c>
      <c r="M91" s="41">
        <v>0.0</v>
      </c>
      <c r="N91" s="41">
        <v>0.0</v>
      </c>
      <c r="O91" s="41">
        <v>0.0</v>
      </c>
      <c r="P91" s="41">
        <v>0.0</v>
      </c>
      <c r="Q91" s="41">
        <v>0.0</v>
      </c>
      <c r="R91" s="41">
        <v>0.0</v>
      </c>
      <c r="S91" s="41">
        <f>1/$AT19</f>
        <v>0.0000004371865627</v>
      </c>
      <c r="T91" s="41">
        <v>0.0</v>
      </c>
      <c r="U91" s="41">
        <v>0.0</v>
      </c>
      <c r="V91" s="41">
        <v>0.0</v>
      </c>
      <c r="W91" s="41">
        <v>0.0</v>
      </c>
      <c r="X91" s="41">
        <v>0.0</v>
      </c>
      <c r="Y91" s="41">
        <v>0.0</v>
      </c>
      <c r="Z91" s="41">
        <v>0.0</v>
      </c>
      <c r="AA91" s="41">
        <v>0.0</v>
      </c>
      <c r="AB91" s="41">
        <v>0.0</v>
      </c>
      <c r="AE91" s="41">
        <v>17.0</v>
      </c>
      <c r="AF91" s="41">
        <v>0.0</v>
      </c>
      <c r="AG91" s="41">
        <v>0.0</v>
      </c>
      <c r="AH91" s="41">
        <v>0.0</v>
      </c>
      <c r="AI91" s="41">
        <v>0.0</v>
      </c>
      <c r="AJ91" s="41">
        <v>0.0</v>
      </c>
      <c r="AK91" s="41">
        <v>0.0</v>
      </c>
      <c r="AL91" s="41">
        <v>0.0</v>
      </c>
      <c r="AM91" s="41">
        <v>0.0</v>
      </c>
      <c r="AN91" s="41">
        <v>0.0</v>
      </c>
      <c r="AO91" s="41">
        <v>0.0</v>
      </c>
      <c r="AP91" s="41">
        <v>0.0</v>
      </c>
      <c r="AQ91" s="41">
        <v>0.0</v>
      </c>
      <c r="AR91" s="41">
        <v>0.0</v>
      </c>
      <c r="AS91" s="41">
        <v>0.0</v>
      </c>
      <c r="AT91" s="41">
        <v>0.0</v>
      </c>
      <c r="AU91" s="41">
        <v>0.0</v>
      </c>
      <c r="AV91" s="41">
        <f>S$61</f>
        <v>239713.5871</v>
      </c>
      <c r="AW91" s="41">
        <v>0.0</v>
      </c>
      <c r="AX91" s="41">
        <v>0.0</v>
      </c>
      <c r="AY91" s="41">
        <v>0.0</v>
      </c>
      <c r="AZ91" s="41">
        <v>0.0</v>
      </c>
      <c r="BA91" s="41">
        <v>0.0</v>
      </c>
      <c r="BB91" s="41">
        <v>0.0</v>
      </c>
      <c r="BC91" s="41">
        <v>0.0</v>
      </c>
      <c r="BD91" s="41">
        <v>0.0</v>
      </c>
      <c r="BE91" s="41">
        <v>0.0</v>
      </c>
    </row>
    <row r="92" ht="15.75" customHeight="1">
      <c r="B92" s="41">
        <v>18.0</v>
      </c>
      <c r="C92" s="41">
        <v>0.0</v>
      </c>
      <c r="D92" s="41">
        <v>0.0</v>
      </c>
      <c r="E92" s="41">
        <v>0.0</v>
      </c>
      <c r="F92" s="41">
        <v>0.0</v>
      </c>
      <c r="G92" s="41">
        <v>0.0</v>
      </c>
      <c r="H92" s="41">
        <v>0.0</v>
      </c>
      <c r="I92" s="41">
        <v>0.0</v>
      </c>
      <c r="J92" s="41">
        <v>0.0</v>
      </c>
      <c r="K92" s="41">
        <v>0.0</v>
      </c>
      <c r="L92" s="41">
        <v>0.0</v>
      </c>
      <c r="M92" s="41">
        <v>0.0</v>
      </c>
      <c r="N92" s="41">
        <v>0.0</v>
      </c>
      <c r="O92" s="41">
        <v>0.0</v>
      </c>
      <c r="P92" s="41">
        <v>0.0</v>
      </c>
      <c r="Q92" s="41">
        <v>0.0</v>
      </c>
      <c r="R92" s="41">
        <v>0.0</v>
      </c>
      <c r="S92" s="41">
        <v>0.0</v>
      </c>
      <c r="T92" s="41">
        <f>1/$AT20</f>
        <v>0.000006733671723</v>
      </c>
      <c r="U92" s="41">
        <v>0.0</v>
      </c>
      <c r="V92" s="41">
        <v>0.0</v>
      </c>
      <c r="W92" s="41">
        <v>0.0</v>
      </c>
      <c r="X92" s="41">
        <v>0.0</v>
      </c>
      <c r="Y92" s="41">
        <v>0.0</v>
      </c>
      <c r="Z92" s="41">
        <v>0.0</v>
      </c>
      <c r="AA92" s="41">
        <v>0.0</v>
      </c>
      <c r="AB92" s="41">
        <v>0.0</v>
      </c>
      <c r="AE92" s="41">
        <v>18.0</v>
      </c>
      <c r="AF92" s="41">
        <v>0.0</v>
      </c>
      <c r="AG92" s="41">
        <v>0.0</v>
      </c>
      <c r="AH92" s="41">
        <v>0.0</v>
      </c>
      <c r="AI92" s="41">
        <v>0.0</v>
      </c>
      <c r="AJ92" s="41">
        <v>0.0</v>
      </c>
      <c r="AK92" s="41">
        <v>0.0</v>
      </c>
      <c r="AL92" s="41">
        <v>0.0</v>
      </c>
      <c r="AM92" s="41">
        <v>0.0</v>
      </c>
      <c r="AN92" s="41">
        <v>0.0</v>
      </c>
      <c r="AO92" s="41">
        <v>0.0</v>
      </c>
      <c r="AP92" s="41">
        <v>0.0</v>
      </c>
      <c r="AQ92" s="41">
        <v>0.0</v>
      </c>
      <c r="AR92" s="41">
        <v>0.0</v>
      </c>
      <c r="AS92" s="41">
        <v>0.0</v>
      </c>
      <c r="AT92" s="41">
        <v>0.0</v>
      </c>
      <c r="AU92" s="41">
        <v>0.0</v>
      </c>
      <c r="AV92" s="41">
        <v>0.0</v>
      </c>
      <c r="AW92" s="41">
        <f>T$61</f>
        <v>10628410.76</v>
      </c>
      <c r="AX92" s="41">
        <v>0.0</v>
      </c>
      <c r="AY92" s="41">
        <v>0.0</v>
      </c>
      <c r="AZ92" s="41">
        <v>0.0</v>
      </c>
      <c r="BA92" s="41">
        <v>0.0</v>
      </c>
      <c r="BB92" s="41">
        <v>0.0</v>
      </c>
      <c r="BC92" s="41">
        <v>0.0</v>
      </c>
      <c r="BD92" s="41">
        <v>0.0</v>
      </c>
      <c r="BE92" s="41">
        <v>0.0</v>
      </c>
    </row>
    <row r="93" ht="15.75" customHeight="1">
      <c r="B93" s="41">
        <v>19.0</v>
      </c>
      <c r="C93" s="41">
        <v>0.0</v>
      </c>
      <c r="D93" s="41">
        <v>0.0</v>
      </c>
      <c r="E93" s="41">
        <v>0.0</v>
      </c>
      <c r="F93" s="41">
        <v>0.0</v>
      </c>
      <c r="G93" s="41">
        <v>0.0</v>
      </c>
      <c r="H93" s="41">
        <v>0.0</v>
      </c>
      <c r="I93" s="41">
        <v>0.0</v>
      </c>
      <c r="J93" s="41">
        <v>0.0</v>
      </c>
      <c r="K93" s="41">
        <v>0.0</v>
      </c>
      <c r="L93" s="41">
        <v>0.0</v>
      </c>
      <c r="M93" s="41">
        <v>0.0</v>
      </c>
      <c r="N93" s="41">
        <v>0.0</v>
      </c>
      <c r="O93" s="41">
        <v>0.0</v>
      </c>
      <c r="P93" s="41">
        <v>0.0</v>
      </c>
      <c r="Q93" s="41">
        <v>0.0</v>
      </c>
      <c r="R93" s="41">
        <v>0.0</v>
      </c>
      <c r="S93" s="41">
        <v>0.0</v>
      </c>
      <c r="T93" s="41">
        <v>0.0</v>
      </c>
      <c r="U93" s="41">
        <f>1/$AT21</f>
        <v>0.0000002226492392</v>
      </c>
      <c r="V93" s="41">
        <v>0.0</v>
      </c>
      <c r="W93" s="41">
        <v>0.0</v>
      </c>
      <c r="X93" s="41">
        <v>0.0</v>
      </c>
      <c r="Y93" s="41">
        <v>0.0</v>
      </c>
      <c r="Z93" s="41">
        <v>0.0</v>
      </c>
      <c r="AA93" s="41">
        <v>0.0</v>
      </c>
      <c r="AB93" s="41">
        <v>0.0</v>
      </c>
      <c r="AE93" s="41">
        <v>19.0</v>
      </c>
      <c r="AF93" s="41">
        <v>0.0</v>
      </c>
      <c r="AG93" s="41">
        <v>0.0</v>
      </c>
      <c r="AH93" s="41">
        <v>0.0</v>
      </c>
      <c r="AI93" s="41">
        <v>0.0</v>
      </c>
      <c r="AJ93" s="41">
        <v>0.0</v>
      </c>
      <c r="AK93" s="41">
        <v>0.0</v>
      </c>
      <c r="AL93" s="41">
        <v>0.0</v>
      </c>
      <c r="AM93" s="41">
        <v>0.0</v>
      </c>
      <c r="AN93" s="41">
        <v>0.0</v>
      </c>
      <c r="AO93" s="41">
        <v>0.0</v>
      </c>
      <c r="AP93" s="41">
        <v>0.0</v>
      </c>
      <c r="AQ93" s="41">
        <v>0.0</v>
      </c>
      <c r="AR93" s="41">
        <v>0.0</v>
      </c>
      <c r="AS93" s="41">
        <v>0.0</v>
      </c>
      <c r="AT93" s="41">
        <v>0.0</v>
      </c>
      <c r="AU93" s="41">
        <v>0.0</v>
      </c>
      <c r="AV93" s="41">
        <v>0.0</v>
      </c>
      <c r="AW93" s="41">
        <v>0.0</v>
      </c>
      <c r="AX93" s="41">
        <f>U$61</f>
        <v>297910.4765</v>
      </c>
      <c r="AY93" s="41">
        <v>0.0</v>
      </c>
      <c r="AZ93" s="41">
        <v>0.0</v>
      </c>
      <c r="BA93" s="41">
        <v>0.0</v>
      </c>
      <c r="BB93" s="41">
        <v>0.0</v>
      </c>
      <c r="BC93" s="41">
        <v>0.0</v>
      </c>
      <c r="BD93" s="41">
        <v>0.0</v>
      </c>
      <c r="BE93" s="41">
        <v>0.0</v>
      </c>
    </row>
    <row r="94" ht="15.75" customHeight="1">
      <c r="B94" s="41">
        <v>20.0</v>
      </c>
      <c r="C94" s="41">
        <v>0.0</v>
      </c>
      <c r="D94" s="41">
        <v>0.0</v>
      </c>
      <c r="E94" s="41">
        <v>0.0</v>
      </c>
      <c r="F94" s="41">
        <v>0.0</v>
      </c>
      <c r="G94" s="41">
        <v>0.0</v>
      </c>
      <c r="H94" s="41">
        <v>0.0</v>
      </c>
      <c r="I94" s="41">
        <v>0.0</v>
      </c>
      <c r="J94" s="41">
        <v>0.0</v>
      </c>
      <c r="K94" s="41">
        <v>0.0</v>
      </c>
      <c r="L94" s="41">
        <v>0.0</v>
      </c>
      <c r="M94" s="41">
        <v>0.0</v>
      </c>
      <c r="N94" s="41">
        <v>0.0</v>
      </c>
      <c r="O94" s="41">
        <v>0.0</v>
      </c>
      <c r="P94" s="41">
        <v>0.0</v>
      </c>
      <c r="Q94" s="41">
        <v>0.0</v>
      </c>
      <c r="R94" s="41">
        <v>0.0</v>
      </c>
      <c r="S94" s="41">
        <v>0.0</v>
      </c>
      <c r="T94" s="41">
        <v>0.0</v>
      </c>
      <c r="U94" s="41">
        <v>0.0</v>
      </c>
      <c r="V94" s="41">
        <f>1/$AT22</f>
        <v>0.00000001975599159</v>
      </c>
      <c r="W94" s="41">
        <v>0.0</v>
      </c>
      <c r="X94" s="41">
        <v>0.0</v>
      </c>
      <c r="Y94" s="41">
        <v>0.0</v>
      </c>
      <c r="Z94" s="41">
        <v>0.0</v>
      </c>
      <c r="AA94" s="41">
        <v>0.0</v>
      </c>
      <c r="AB94" s="41">
        <v>0.0</v>
      </c>
      <c r="AE94" s="41">
        <v>20.0</v>
      </c>
      <c r="AF94" s="41">
        <v>0.0</v>
      </c>
      <c r="AG94" s="41">
        <v>0.0</v>
      </c>
      <c r="AH94" s="41">
        <v>0.0</v>
      </c>
      <c r="AI94" s="41">
        <v>0.0</v>
      </c>
      <c r="AJ94" s="41">
        <v>0.0</v>
      </c>
      <c r="AK94" s="41">
        <v>0.0</v>
      </c>
      <c r="AL94" s="41">
        <v>0.0</v>
      </c>
      <c r="AM94" s="41">
        <v>0.0</v>
      </c>
      <c r="AN94" s="41">
        <v>0.0</v>
      </c>
      <c r="AO94" s="41">
        <v>0.0</v>
      </c>
      <c r="AP94" s="41">
        <v>0.0</v>
      </c>
      <c r="AQ94" s="41">
        <v>0.0</v>
      </c>
      <c r="AR94" s="41">
        <v>0.0</v>
      </c>
      <c r="AS94" s="41">
        <v>0.0</v>
      </c>
      <c r="AT94" s="41">
        <v>0.0</v>
      </c>
      <c r="AU94" s="41">
        <v>0.0</v>
      </c>
      <c r="AV94" s="41">
        <v>0.0</v>
      </c>
      <c r="AW94" s="41">
        <v>0.0</v>
      </c>
      <c r="AX94" s="41">
        <v>0.0</v>
      </c>
      <c r="AY94" s="41">
        <f>V$61</f>
        <v>214892.1901</v>
      </c>
      <c r="AZ94" s="41">
        <v>0.0</v>
      </c>
      <c r="BA94" s="41">
        <v>0.0</v>
      </c>
      <c r="BB94" s="41">
        <v>0.0</v>
      </c>
      <c r="BC94" s="41">
        <v>0.0</v>
      </c>
      <c r="BD94" s="41">
        <v>0.0</v>
      </c>
      <c r="BE94" s="41">
        <v>0.0</v>
      </c>
    </row>
    <row r="95" ht="15.75" customHeight="1">
      <c r="B95" s="41">
        <v>21.0</v>
      </c>
      <c r="C95" s="41">
        <v>0.0</v>
      </c>
      <c r="D95" s="41">
        <v>0.0</v>
      </c>
      <c r="E95" s="41">
        <v>0.0</v>
      </c>
      <c r="F95" s="41">
        <v>0.0</v>
      </c>
      <c r="G95" s="41">
        <v>0.0</v>
      </c>
      <c r="H95" s="41">
        <v>0.0</v>
      </c>
      <c r="I95" s="41">
        <v>0.0</v>
      </c>
      <c r="J95" s="41">
        <v>0.0</v>
      </c>
      <c r="K95" s="41">
        <v>0.0</v>
      </c>
      <c r="L95" s="41">
        <v>0.0</v>
      </c>
      <c r="M95" s="41">
        <v>0.0</v>
      </c>
      <c r="N95" s="41">
        <v>0.0</v>
      </c>
      <c r="O95" s="41">
        <v>0.0</v>
      </c>
      <c r="P95" s="41">
        <v>0.0</v>
      </c>
      <c r="Q95" s="41">
        <v>0.0</v>
      </c>
      <c r="R95" s="41">
        <v>0.0</v>
      </c>
      <c r="S95" s="41">
        <v>0.0</v>
      </c>
      <c r="T95" s="41">
        <v>0.0</v>
      </c>
      <c r="U95" s="41">
        <v>0.0</v>
      </c>
      <c r="V95" s="41">
        <v>0.0</v>
      </c>
      <c r="W95" s="41">
        <f>1/$AT23</f>
        <v>0.000001329416408</v>
      </c>
      <c r="X95" s="41">
        <v>0.0</v>
      </c>
      <c r="Y95" s="41">
        <v>0.0</v>
      </c>
      <c r="Z95" s="41">
        <v>0.0</v>
      </c>
      <c r="AA95" s="41">
        <v>0.0</v>
      </c>
      <c r="AB95" s="41">
        <v>0.0</v>
      </c>
      <c r="AE95" s="41">
        <v>21.0</v>
      </c>
      <c r="AF95" s="41">
        <v>0.0</v>
      </c>
      <c r="AG95" s="41">
        <v>0.0</v>
      </c>
      <c r="AH95" s="41">
        <v>0.0</v>
      </c>
      <c r="AI95" s="41">
        <v>0.0</v>
      </c>
      <c r="AJ95" s="41">
        <v>0.0</v>
      </c>
      <c r="AK95" s="41">
        <v>0.0</v>
      </c>
      <c r="AL95" s="41">
        <v>0.0</v>
      </c>
      <c r="AM95" s="41">
        <v>0.0</v>
      </c>
      <c r="AN95" s="41">
        <v>0.0</v>
      </c>
      <c r="AO95" s="41">
        <v>0.0</v>
      </c>
      <c r="AP95" s="41">
        <v>0.0</v>
      </c>
      <c r="AQ95" s="41">
        <v>0.0</v>
      </c>
      <c r="AR95" s="41">
        <v>0.0</v>
      </c>
      <c r="AS95" s="41">
        <v>0.0</v>
      </c>
      <c r="AT95" s="41">
        <v>0.0</v>
      </c>
      <c r="AU95" s="41">
        <v>0.0</v>
      </c>
      <c r="AV95" s="41">
        <v>0.0</v>
      </c>
      <c r="AW95" s="41">
        <v>0.0</v>
      </c>
      <c r="AX95" s="41">
        <v>0.0</v>
      </c>
      <c r="AY95" s="41">
        <v>0.0</v>
      </c>
      <c r="AZ95" s="41">
        <f>W$61</f>
        <v>499488.8533</v>
      </c>
      <c r="BA95" s="41">
        <v>0.0</v>
      </c>
      <c r="BB95" s="41">
        <v>0.0</v>
      </c>
      <c r="BC95" s="41">
        <v>0.0</v>
      </c>
      <c r="BD95" s="41">
        <v>0.0</v>
      </c>
      <c r="BE95" s="41">
        <v>0.0</v>
      </c>
    </row>
    <row r="96" ht="15.75" customHeight="1">
      <c r="B96" s="41">
        <v>22.0</v>
      </c>
      <c r="C96" s="41">
        <v>0.0</v>
      </c>
      <c r="D96" s="41">
        <v>0.0</v>
      </c>
      <c r="E96" s="41">
        <v>0.0</v>
      </c>
      <c r="F96" s="41">
        <v>0.0</v>
      </c>
      <c r="G96" s="41">
        <v>0.0</v>
      </c>
      <c r="H96" s="41">
        <v>0.0</v>
      </c>
      <c r="I96" s="41">
        <v>0.0</v>
      </c>
      <c r="J96" s="41">
        <v>0.0</v>
      </c>
      <c r="K96" s="41">
        <v>0.0</v>
      </c>
      <c r="L96" s="41">
        <v>0.0</v>
      </c>
      <c r="M96" s="41">
        <v>0.0</v>
      </c>
      <c r="N96" s="41">
        <v>0.0</v>
      </c>
      <c r="O96" s="41">
        <v>0.0</v>
      </c>
      <c r="P96" s="41">
        <v>0.0</v>
      </c>
      <c r="Q96" s="41">
        <v>0.0</v>
      </c>
      <c r="R96" s="41">
        <v>0.0</v>
      </c>
      <c r="S96" s="41">
        <v>0.0</v>
      </c>
      <c r="T96" s="41">
        <v>0.0</v>
      </c>
      <c r="U96" s="41">
        <v>0.0</v>
      </c>
      <c r="V96" s="41">
        <v>0.0</v>
      </c>
      <c r="W96" s="41">
        <v>0.0</v>
      </c>
      <c r="X96" s="41">
        <f>1/$AT24</f>
        <v>0.00000003678799163</v>
      </c>
      <c r="Y96" s="41">
        <v>0.0</v>
      </c>
      <c r="Z96" s="41">
        <v>0.0</v>
      </c>
      <c r="AA96" s="41">
        <v>0.0</v>
      </c>
      <c r="AB96" s="41">
        <v>0.0</v>
      </c>
      <c r="AE96" s="41">
        <v>22.0</v>
      </c>
      <c r="AF96" s="41">
        <v>0.0</v>
      </c>
      <c r="AG96" s="41">
        <v>0.0</v>
      </c>
      <c r="AH96" s="41">
        <v>0.0</v>
      </c>
      <c r="AI96" s="41">
        <v>0.0</v>
      </c>
      <c r="AJ96" s="41">
        <v>0.0</v>
      </c>
      <c r="AK96" s="41">
        <v>0.0</v>
      </c>
      <c r="AL96" s="41">
        <v>0.0</v>
      </c>
      <c r="AM96" s="41">
        <v>0.0</v>
      </c>
      <c r="AN96" s="41">
        <v>0.0</v>
      </c>
      <c r="AO96" s="41">
        <v>0.0</v>
      </c>
      <c r="AP96" s="41">
        <v>0.0</v>
      </c>
      <c r="AQ96" s="41">
        <v>0.0</v>
      </c>
      <c r="AR96" s="41">
        <v>0.0</v>
      </c>
      <c r="AS96" s="41">
        <v>0.0</v>
      </c>
      <c r="AT96" s="41">
        <v>0.0</v>
      </c>
      <c r="AU96" s="41">
        <v>0.0</v>
      </c>
      <c r="AV96" s="41">
        <v>0.0</v>
      </c>
      <c r="AW96" s="41">
        <v>0.0</v>
      </c>
      <c r="AX96" s="41">
        <v>0.0</v>
      </c>
      <c r="AY96" s="41">
        <v>0.0</v>
      </c>
      <c r="AZ96" s="41">
        <v>0.0</v>
      </c>
      <c r="BA96" s="41">
        <f>X$61</f>
        <v>604923.1474</v>
      </c>
      <c r="BB96" s="41">
        <v>0.0</v>
      </c>
      <c r="BC96" s="41">
        <v>0.0</v>
      </c>
      <c r="BD96" s="41">
        <v>0.0</v>
      </c>
      <c r="BE96" s="41">
        <v>0.0</v>
      </c>
    </row>
    <row r="97" ht="15.75" customHeight="1">
      <c r="B97" s="41">
        <v>23.0</v>
      </c>
      <c r="C97" s="41">
        <v>0.0</v>
      </c>
      <c r="D97" s="41">
        <v>0.0</v>
      </c>
      <c r="E97" s="41">
        <v>0.0</v>
      </c>
      <c r="F97" s="41">
        <v>0.0</v>
      </c>
      <c r="G97" s="41">
        <v>0.0</v>
      </c>
      <c r="H97" s="41">
        <v>0.0</v>
      </c>
      <c r="I97" s="41">
        <v>0.0</v>
      </c>
      <c r="J97" s="41">
        <v>0.0</v>
      </c>
      <c r="K97" s="41">
        <v>0.0</v>
      </c>
      <c r="L97" s="41">
        <v>0.0</v>
      </c>
      <c r="M97" s="41">
        <v>0.0</v>
      </c>
      <c r="N97" s="41">
        <v>0.0</v>
      </c>
      <c r="O97" s="41">
        <v>0.0</v>
      </c>
      <c r="P97" s="41">
        <v>0.0</v>
      </c>
      <c r="Q97" s="41">
        <v>0.0</v>
      </c>
      <c r="R97" s="41">
        <v>0.0</v>
      </c>
      <c r="S97" s="41">
        <v>0.0</v>
      </c>
      <c r="T97" s="41">
        <v>0.0</v>
      </c>
      <c r="U97" s="41">
        <v>0.0</v>
      </c>
      <c r="V97" s="41">
        <v>0.0</v>
      </c>
      <c r="W97" s="41">
        <v>0.0</v>
      </c>
      <c r="X97" s="41">
        <v>0.0</v>
      </c>
      <c r="Y97" s="41">
        <f>1/$AT25</f>
        <v>0.0000000180338072</v>
      </c>
      <c r="Z97" s="41">
        <v>0.0</v>
      </c>
      <c r="AA97" s="41">
        <v>0.0</v>
      </c>
      <c r="AB97" s="41">
        <v>0.0</v>
      </c>
      <c r="AE97" s="41">
        <v>23.0</v>
      </c>
      <c r="AF97" s="41">
        <v>0.0</v>
      </c>
      <c r="AG97" s="41">
        <v>0.0</v>
      </c>
      <c r="AH97" s="41">
        <v>0.0</v>
      </c>
      <c r="AI97" s="41">
        <v>0.0</v>
      </c>
      <c r="AJ97" s="41">
        <v>0.0</v>
      </c>
      <c r="AK97" s="41">
        <v>0.0</v>
      </c>
      <c r="AL97" s="41">
        <v>0.0</v>
      </c>
      <c r="AM97" s="41">
        <v>0.0</v>
      </c>
      <c r="AN97" s="41">
        <v>0.0</v>
      </c>
      <c r="AO97" s="41">
        <v>0.0</v>
      </c>
      <c r="AP97" s="41">
        <v>0.0</v>
      </c>
      <c r="AQ97" s="41">
        <v>0.0</v>
      </c>
      <c r="AR97" s="41">
        <v>0.0</v>
      </c>
      <c r="AS97" s="41">
        <v>0.0</v>
      </c>
      <c r="AT97" s="41">
        <v>0.0</v>
      </c>
      <c r="AU97" s="41">
        <v>0.0</v>
      </c>
      <c r="AV97" s="41">
        <v>0.0</v>
      </c>
      <c r="AW97" s="41">
        <v>0.0</v>
      </c>
      <c r="AX97" s="41">
        <v>0.0</v>
      </c>
      <c r="AY97" s="41">
        <v>0.0</v>
      </c>
      <c r="AZ97" s="41">
        <v>0.0</v>
      </c>
      <c r="BA97" s="41">
        <v>0.0</v>
      </c>
      <c r="BB97" s="41">
        <f>Y$61</f>
        <v>31191.67458</v>
      </c>
      <c r="BC97" s="41">
        <v>0.0</v>
      </c>
      <c r="BD97" s="41">
        <v>0.0</v>
      </c>
      <c r="BE97" s="41">
        <v>0.0</v>
      </c>
    </row>
    <row r="98" ht="15.75" customHeight="1">
      <c r="B98" s="41">
        <v>24.0</v>
      </c>
      <c r="C98" s="41">
        <v>0.0</v>
      </c>
      <c r="D98" s="41">
        <v>0.0</v>
      </c>
      <c r="E98" s="41">
        <v>0.0</v>
      </c>
      <c r="F98" s="41">
        <v>0.0</v>
      </c>
      <c r="G98" s="41">
        <v>0.0</v>
      </c>
      <c r="H98" s="41">
        <v>0.0</v>
      </c>
      <c r="I98" s="41">
        <v>0.0</v>
      </c>
      <c r="J98" s="41">
        <v>0.0</v>
      </c>
      <c r="K98" s="41">
        <v>0.0</v>
      </c>
      <c r="L98" s="41">
        <v>0.0</v>
      </c>
      <c r="M98" s="41">
        <v>0.0</v>
      </c>
      <c r="N98" s="41">
        <v>0.0</v>
      </c>
      <c r="O98" s="41">
        <v>0.0</v>
      </c>
      <c r="P98" s="41">
        <v>0.0</v>
      </c>
      <c r="Q98" s="41">
        <v>0.0</v>
      </c>
      <c r="R98" s="41">
        <v>0.0</v>
      </c>
      <c r="S98" s="41">
        <v>0.0</v>
      </c>
      <c r="T98" s="41">
        <v>0.0</v>
      </c>
      <c r="U98" s="41">
        <v>0.0</v>
      </c>
      <c r="V98" s="41">
        <v>0.0</v>
      </c>
      <c r="W98" s="41">
        <v>0.0</v>
      </c>
      <c r="X98" s="41">
        <v>0.0</v>
      </c>
      <c r="Y98" s="41">
        <v>0.0</v>
      </c>
      <c r="Z98" s="41">
        <f>1/$AT26</f>
        <v>0.000003006863532</v>
      </c>
      <c r="AA98" s="41">
        <v>0.0</v>
      </c>
      <c r="AB98" s="41">
        <v>0.0</v>
      </c>
      <c r="AE98" s="41">
        <v>24.0</v>
      </c>
      <c r="AF98" s="41">
        <v>0.0</v>
      </c>
      <c r="AG98" s="41">
        <v>0.0</v>
      </c>
      <c r="AH98" s="41">
        <v>0.0</v>
      </c>
      <c r="AI98" s="41">
        <v>0.0</v>
      </c>
      <c r="AJ98" s="41">
        <v>0.0</v>
      </c>
      <c r="AK98" s="41">
        <v>0.0</v>
      </c>
      <c r="AL98" s="41">
        <v>0.0</v>
      </c>
      <c r="AM98" s="41">
        <v>0.0</v>
      </c>
      <c r="AN98" s="41">
        <v>0.0</v>
      </c>
      <c r="AO98" s="41">
        <v>0.0</v>
      </c>
      <c r="AP98" s="41">
        <v>0.0</v>
      </c>
      <c r="AQ98" s="41">
        <v>0.0</v>
      </c>
      <c r="AR98" s="41">
        <v>0.0</v>
      </c>
      <c r="AS98" s="41">
        <v>0.0</v>
      </c>
      <c r="AT98" s="41">
        <v>0.0</v>
      </c>
      <c r="AU98" s="41">
        <v>0.0</v>
      </c>
      <c r="AV98" s="41">
        <v>0.0</v>
      </c>
      <c r="AW98" s="41">
        <v>0.0</v>
      </c>
      <c r="AX98" s="41">
        <v>0.0</v>
      </c>
      <c r="AY98" s="41">
        <v>0.0</v>
      </c>
      <c r="AZ98" s="41">
        <v>0.0</v>
      </c>
      <c r="BA98" s="41">
        <v>0.0</v>
      </c>
      <c r="BB98" s="41">
        <v>0.0</v>
      </c>
      <c r="BC98" s="41">
        <f>Z$61</f>
        <v>2923951.981</v>
      </c>
      <c r="BD98" s="41">
        <v>0.0</v>
      </c>
      <c r="BE98" s="41">
        <v>0.0</v>
      </c>
    </row>
    <row r="99" ht="15.75" customHeight="1">
      <c r="B99" s="41">
        <v>25.0</v>
      </c>
      <c r="C99" s="41">
        <v>0.0</v>
      </c>
      <c r="D99" s="41">
        <v>0.0</v>
      </c>
      <c r="E99" s="41">
        <v>0.0</v>
      </c>
      <c r="F99" s="41">
        <v>0.0</v>
      </c>
      <c r="G99" s="41">
        <v>0.0</v>
      </c>
      <c r="H99" s="41">
        <v>0.0</v>
      </c>
      <c r="I99" s="41">
        <v>0.0</v>
      </c>
      <c r="J99" s="41">
        <v>0.0</v>
      </c>
      <c r="K99" s="41">
        <v>0.0</v>
      </c>
      <c r="L99" s="41">
        <v>0.0</v>
      </c>
      <c r="M99" s="41">
        <v>0.0</v>
      </c>
      <c r="N99" s="41">
        <v>0.0</v>
      </c>
      <c r="O99" s="41">
        <v>0.0</v>
      </c>
      <c r="P99" s="41">
        <v>0.0</v>
      </c>
      <c r="Q99" s="41">
        <v>0.0</v>
      </c>
      <c r="R99" s="41">
        <v>0.0</v>
      </c>
      <c r="S99" s="41">
        <v>0.0</v>
      </c>
      <c r="T99" s="41">
        <v>0.0</v>
      </c>
      <c r="U99" s="41">
        <v>0.0</v>
      </c>
      <c r="V99" s="41">
        <v>0.0</v>
      </c>
      <c r="W99" s="41">
        <v>0.0</v>
      </c>
      <c r="X99" s="41">
        <v>0.0</v>
      </c>
      <c r="Y99" s="41">
        <v>0.0</v>
      </c>
      <c r="Z99" s="41">
        <v>0.0</v>
      </c>
      <c r="AA99" s="41">
        <f>1/$AT27</f>
        <v>0.000004178415515</v>
      </c>
      <c r="AB99" s="41">
        <v>0.0</v>
      </c>
      <c r="AE99" s="41">
        <v>25.0</v>
      </c>
      <c r="AF99" s="41">
        <v>0.0</v>
      </c>
      <c r="AG99" s="41">
        <v>0.0</v>
      </c>
      <c r="AH99" s="41">
        <v>0.0</v>
      </c>
      <c r="AI99" s="41">
        <v>0.0</v>
      </c>
      <c r="AJ99" s="41">
        <v>0.0</v>
      </c>
      <c r="AK99" s="41">
        <v>0.0</v>
      </c>
      <c r="AL99" s="41">
        <v>0.0</v>
      </c>
      <c r="AM99" s="41">
        <v>0.0</v>
      </c>
      <c r="AN99" s="41">
        <v>0.0</v>
      </c>
      <c r="AO99" s="41">
        <v>0.0</v>
      </c>
      <c r="AP99" s="41">
        <v>0.0</v>
      </c>
      <c r="AQ99" s="41">
        <v>0.0</v>
      </c>
      <c r="AR99" s="41">
        <v>0.0</v>
      </c>
      <c r="AS99" s="41">
        <v>0.0</v>
      </c>
      <c r="AT99" s="41">
        <v>0.0</v>
      </c>
      <c r="AU99" s="41">
        <v>0.0</v>
      </c>
      <c r="AV99" s="41">
        <v>0.0</v>
      </c>
      <c r="AW99" s="41">
        <v>0.0</v>
      </c>
      <c r="AX99" s="41">
        <v>0.0</v>
      </c>
      <c r="AY99" s="41">
        <v>0.0</v>
      </c>
      <c r="AZ99" s="41">
        <v>0.0</v>
      </c>
      <c r="BA99" s="41">
        <v>0.0</v>
      </c>
      <c r="BB99" s="41">
        <v>0.0</v>
      </c>
      <c r="BC99" s="41">
        <v>0.0</v>
      </c>
      <c r="BD99" s="41">
        <f>AA$61</f>
        <v>100423.988</v>
      </c>
      <c r="BE99" s="41">
        <v>0.0</v>
      </c>
    </row>
    <row r="100" ht="15.75" customHeight="1">
      <c r="B100" s="41">
        <v>26.0</v>
      </c>
      <c r="C100" s="41">
        <v>0.0</v>
      </c>
      <c r="D100" s="41">
        <v>0.0</v>
      </c>
      <c r="E100" s="41">
        <v>0.0</v>
      </c>
      <c r="F100" s="41">
        <v>0.0</v>
      </c>
      <c r="G100" s="41">
        <v>0.0</v>
      </c>
      <c r="H100" s="41">
        <v>0.0</v>
      </c>
      <c r="I100" s="41">
        <v>0.0</v>
      </c>
      <c r="J100" s="41">
        <v>0.0</v>
      </c>
      <c r="K100" s="41">
        <v>0.0</v>
      </c>
      <c r="L100" s="41">
        <v>0.0</v>
      </c>
      <c r="M100" s="41">
        <v>0.0</v>
      </c>
      <c r="N100" s="41">
        <v>0.0</v>
      </c>
      <c r="O100" s="41">
        <v>0.0</v>
      </c>
      <c r="P100" s="41">
        <v>0.0</v>
      </c>
      <c r="Q100" s="41">
        <v>0.0</v>
      </c>
      <c r="R100" s="41">
        <v>0.0</v>
      </c>
      <c r="S100" s="41">
        <v>0.0</v>
      </c>
      <c r="T100" s="41">
        <v>0.0</v>
      </c>
      <c r="U100" s="41">
        <v>0.0</v>
      </c>
      <c r="V100" s="41">
        <v>0.0</v>
      </c>
      <c r="W100" s="41">
        <v>0.0</v>
      </c>
      <c r="X100" s="41">
        <v>0.0</v>
      </c>
      <c r="Y100" s="41">
        <v>0.0</v>
      </c>
      <c r="Z100" s="41">
        <v>0.0</v>
      </c>
      <c r="AA100" s="41">
        <v>0.0</v>
      </c>
      <c r="AB100" s="41">
        <f>1/$AT28</f>
        <v>0.0000002327055513</v>
      </c>
      <c r="AE100" s="41">
        <v>26.0</v>
      </c>
      <c r="AF100" s="41">
        <v>0.0</v>
      </c>
      <c r="AG100" s="41">
        <v>0.0</v>
      </c>
      <c r="AH100" s="41">
        <v>0.0</v>
      </c>
      <c r="AI100" s="41">
        <v>0.0</v>
      </c>
      <c r="AJ100" s="41">
        <v>0.0</v>
      </c>
      <c r="AK100" s="41">
        <v>0.0</v>
      </c>
      <c r="AL100" s="41">
        <v>0.0</v>
      </c>
      <c r="AM100" s="41">
        <v>0.0</v>
      </c>
      <c r="AN100" s="41">
        <v>0.0</v>
      </c>
      <c r="AO100" s="41">
        <v>0.0</v>
      </c>
      <c r="AP100" s="41">
        <v>0.0</v>
      </c>
      <c r="AQ100" s="41">
        <v>0.0</v>
      </c>
      <c r="AR100" s="41">
        <v>0.0</v>
      </c>
      <c r="AS100" s="41">
        <v>0.0</v>
      </c>
      <c r="AT100" s="41">
        <v>0.0</v>
      </c>
      <c r="AU100" s="41">
        <v>0.0</v>
      </c>
      <c r="AV100" s="41">
        <v>0.0</v>
      </c>
      <c r="AW100" s="41">
        <v>0.0</v>
      </c>
      <c r="AX100" s="41">
        <v>0.0</v>
      </c>
      <c r="AY100" s="41">
        <v>0.0</v>
      </c>
      <c r="AZ100" s="41">
        <v>0.0</v>
      </c>
      <c r="BA100" s="41">
        <v>0.0</v>
      </c>
      <c r="BB100" s="41">
        <v>0.0</v>
      </c>
      <c r="BC100" s="41">
        <v>0.0</v>
      </c>
      <c r="BD100" s="41">
        <v>0.0</v>
      </c>
      <c r="BE100" s="41">
        <f>AB$61</f>
        <v>28758.34418</v>
      </c>
    </row>
    <row r="101" ht="15.75" customHeight="1"/>
    <row r="102" ht="15.75" customHeight="1">
      <c r="B102" s="39" t="s">
        <v>53</v>
      </c>
      <c r="AE102" s="39" t="s">
        <v>54</v>
      </c>
    </row>
    <row r="103" ht="15.75" customHeight="1">
      <c r="B103" s="40"/>
      <c r="C103" s="41">
        <v>1.0</v>
      </c>
      <c r="D103" s="41">
        <v>2.0</v>
      </c>
      <c r="E103" s="41">
        <v>3.0</v>
      </c>
      <c r="F103" s="41">
        <v>4.0</v>
      </c>
      <c r="G103" s="41">
        <v>5.0</v>
      </c>
      <c r="H103" s="41">
        <v>6.0</v>
      </c>
      <c r="I103" s="41">
        <v>7.0</v>
      </c>
      <c r="J103" s="41">
        <v>8.0</v>
      </c>
      <c r="K103" s="41">
        <v>9.0</v>
      </c>
      <c r="L103" s="41">
        <v>10.0</v>
      </c>
      <c r="M103" s="41">
        <v>11.0</v>
      </c>
      <c r="N103" s="41">
        <v>12.0</v>
      </c>
      <c r="O103" s="41">
        <v>13.0</v>
      </c>
      <c r="P103" s="41">
        <v>14.0</v>
      </c>
      <c r="Q103" s="41">
        <v>15.0</v>
      </c>
      <c r="R103" s="41">
        <v>16.0</v>
      </c>
      <c r="S103" s="41">
        <v>17.0</v>
      </c>
      <c r="T103" s="41">
        <v>18.0</v>
      </c>
      <c r="U103" s="41">
        <v>19.0</v>
      </c>
      <c r="V103" s="41">
        <v>20.0</v>
      </c>
      <c r="W103" s="41">
        <v>21.0</v>
      </c>
      <c r="X103" s="41">
        <v>22.0</v>
      </c>
      <c r="Y103" s="41">
        <v>23.0</v>
      </c>
      <c r="Z103" s="41">
        <v>24.0</v>
      </c>
      <c r="AA103" s="41">
        <v>25.0</v>
      </c>
      <c r="AB103" s="41">
        <v>26.0</v>
      </c>
      <c r="AE103" s="40"/>
      <c r="AF103" s="41">
        <v>1.0</v>
      </c>
      <c r="AG103" s="41">
        <v>2.0</v>
      </c>
      <c r="AH103" s="41">
        <v>3.0</v>
      </c>
      <c r="AI103" s="41">
        <v>4.0</v>
      </c>
      <c r="AJ103" s="41">
        <v>5.0</v>
      </c>
      <c r="AK103" s="41">
        <v>6.0</v>
      </c>
      <c r="AL103" s="41">
        <v>7.0</v>
      </c>
      <c r="AM103" s="41">
        <v>8.0</v>
      </c>
      <c r="AN103" s="41">
        <v>9.0</v>
      </c>
      <c r="AO103" s="41">
        <v>10.0</v>
      </c>
      <c r="AP103" s="41">
        <v>11.0</v>
      </c>
      <c r="AQ103" s="41">
        <v>12.0</v>
      </c>
      <c r="AR103" s="41">
        <v>13.0</v>
      </c>
      <c r="AS103" s="41">
        <v>14.0</v>
      </c>
      <c r="AT103" s="41">
        <v>15.0</v>
      </c>
      <c r="AU103" s="41">
        <v>16.0</v>
      </c>
      <c r="AV103" s="41">
        <v>17.0</v>
      </c>
      <c r="AW103" s="41">
        <v>18.0</v>
      </c>
      <c r="AX103" s="41">
        <v>19.0</v>
      </c>
      <c r="AY103" s="41">
        <v>20.0</v>
      </c>
      <c r="AZ103" s="41">
        <v>21.0</v>
      </c>
      <c r="BA103" s="41">
        <v>22.0</v>
      </c>
      <c r="BB103" s="41">
        <v>23.0</v>
      </c>
      <c r="BC103" s="41">
        <v>24.0</v>
      </c>
      <c r="BD103" s="41">
        <v>25.0</v>
      </c>
      <c r="BE103" s="41">
        <v>26.0</v>
      </c>
    </row>
    <row r="104" ht="15.75" customHeight="1">
      <c r="B104" s="41">
        <v>1.0</v>
      </c>
      <c r="C104" s="41">
        <f t="array" ref="C104:AB129">(MMULT(C3:AB28, C75:AB100))</f>
        <v>0.0569075839</v>
      </c>
      <c r="D104" s="41">
        <v>0.028432258988245283</v>
      </c>
      <c r="E104" s="41">
        <v>0.07601809044559897</v>
      </c>
      <c r="F104" s="41">
        <v>5.891126679841782E-6</v>
      </c>
      <c r="G104" s="41">
        <v>1.26140771325014E-6</v>
      </c>
      <c r="H104" s="41">
        <v>1.5973565293816386E-5</v>
      </c>
      <c r="I104" s="41">
        <v>2.3364003608591019E-4</v>
      </c>
      <c r="J104" s="41">
        <v>5.055879103938718E-5</v>
      </c>
      <c r="K104" s="41">
        <v>1.668841903671004E-4</v>
      </c>
      <c r="L104" s="41">
        <v>1.1282757713522501E-4</v>
      </c>
      <c r="M104" s="41">
        <v>1.1880935593770435E-6</v>
      </c>
      <c r="N104" s="41">
        <v>7.400836702149996E-6</v>
      </c>
      <c r="O104" s="41">
        <v>0.002558972397270261</v>
      </c>
      <c r="P104" s="41">
        <v>1.1276464581347905E-5</v>
      </c>
      <c r="Q104" s="41">
        <v>1.2822060321604893E-4</v>
      </c>
      <c r="R104" s="41">
        <v>9.96603938400145E-5</v>
      </c>
      <c r="S104" s="41">
        <v>2.0345637880447758E-6</v>
      </c>
      <c r="T104" s="41">
        <v>4.513101785394465E-6</v>
      </c>
      <c r="U104" s="41">
        <v>3.9791935568074535E-6</v>
      </c>
      <c r="V104" s="41">
        <v>3.2624914716003166E-6</v>
      </c>
      <c r="W104" s="41">
        <v>5.563816669293573E-6</v>
      </c>
      <c r="X104" s="41">
        <v>2.4567230195038955E-6</v>
      </c>
      <c r="Y104" s="41">
        <v>3.5249763599803547E-6</v>
      </c>
      <c r="Z104" s="41">
        <v>4.385627005958545E-6</v>
      </c>
      <c r="AA104" s="41">
        <v>1.8363428159943415E-7</v>
      </c>
      <c r="AB104" s="41">
        <v>1.5256258619402792E-5</v>
      </c>
      <c r="AE104" s="41">
        <v>1.0</v>
      </c>
      <c r="AF104" s="41">
        <f>C$64</f>
        <v>2.421279035</v>
      </c>
      <c r="AG104" s="41">
        <v>0.0</v>
      </c>
      <c r="AH104" s="41">
        <v>0.0</v>
      </c>
      <c r="AI104" s="41">
        <v>0.0</v>
      </c>
      <c r="AJ104" s="41">
        <v>0.0</v>
      </c>
      <c r="AK104" s="41">
        <v>0.0</v>
      </c>
      <c r="AL104" s="41">
        <v>0.0</v>
      </c>
      <c r="AM104" s="41">
        <v>0.0</v>
      </c>
      <c r="AN104" s="41">
        <v>0.0</v>
      </c>
      <c r="AO104" s="41">
        <v>0.0</v>
      </c>
      <c r="AP104" s="41">
        <v>0.0</v>
      </c>
      <c r="AQ104" s="41">
        <v>0.0</v>
      </c>
      <c r="AR104" s="41">
        <v>0.0</v>
      </c>
      <c r="AS104" s="41">
        <v>0.0</v>
      </c>
      <c r="AT104" s="41">
        <v>0.0</v>
      </c>
      <c r="AU104" s="41">
        <v>0.0</v>
      </c>
      <c r="AV104" s="41">
        <v>0.0</v>
      </c>
      <c r="AW104" s="41">
        <v>0.0</v>
      </c>
      <c r="AX104" s="41">
        <v>0.0</v>
      </c>
      <c r="AY104" s="41">
        <v>0.0</v>
      </c>
      <c r="AZ104" s="41">
        <v>0.0</v>
      </c>
      <c r="BA104" s="41">
        <v>0.0</v>
      </c>
      <c r="BB104" s="41">
        <v>0.0</v>
      </c>
      <c r="BC104" s="41">
        <v>0.0</v>
      </c>
      <c r="BD104" s="41">
        <v>0.0</v>
      </c>
      <c r="BE104" s="41">
        <v>0.0</v>
      </c>
    </row>
    <row r="105" ht="15.75" customHeight="1">
      <c r="B105" s="41">
        <v>2.0</v>
      </c>
      <c r="C105" s="41">
        <v>1.739766874856033E-4</v>
      </c>
      <c r="D105" s="41">
        <v>0.05985941771950218</v>
      </c>
      <c r="E105" s="41">
        <v>0.10385102497967583</v>
      </c>
      <c r="F105" s="41">
        <v>0.006049658039258802</v>
      </c>
      <c r="G105" s="41">
        <v>7.95543361550948E-4</v>
      </c>
      <c r="H105" s="41">
        <v>1.1528284394683998E-4</v>
      </c>
      <c r="I105" s="41">
        <v>5.903116968284897E-4</v>
      </c>
      <c r="J105" s="41">
        <v>1.427193976075353E-4</v>
      </c>
      <c r="K105" s="41">
        <v>7.671111895984259E-4</v>
      </c>
      <c r="L105" s="41">
        <v>0.001237497501207431</v>
      </c>
      <c r="M105" s="41">
        <v>7.928541638060601E-4</v>
      </c>
      <c r="N105" s="41">
        <v>1.4821716770070092E-4</v>
      </c>
      <c r="O105" s="41">
        <v>0.0339400758270815</v>
      </c>
      <c r="P105" s="41">
        <v>4.271937758094271E-6</v>
      </c>
      <c r="Q105" s="41">
        <v>3.9113170020047363E-4</v>
      </c>
      <c r="R105" s="41">
        <v>1.6282278323096882E-4</v>
      </c>
      <c r="S105" s="41">
        <v>1.0698213348486185E-4</v>
      </c>
      <c r="T105" s="41">
        <v>6.915429204810005E-6</v>
      </c>
      <c r="U105" s="41">
        <v>1.3986389899871698E-5</v>
      </c>
      <c r="V105" s="41">
        <v>1.1746035491813438E-5</v>
      </c>
      <c r="W105" s="41">
        <v>3.411835256110634E-5</v>
      </c>
      <c r="X105" s="41">
        <v>1.4037672972450352E-5</v>
      </c>
      <c r="Y105" s="41">
        <v>1.2333307117342666E-5</v>
      </c>
      <c r="Z105" s="41">
        <v>2.9968495721440014E-5</v>
      </c>
      <c r="AA105" s="41">
        <v>3.583838962187456E-6</v>
      </c>
      <c r="AB105" s="41">
        <v>2.4214840962388706E-4</v>
      </c>
      <c r="AE105" s="41">
        <v>2.0</v>
      </c>
      <c r="AF105" s="41">
        <v>0.0</v>
      </c>
      <c r="AG105" s="41">
        <f>D$64</f>
        <v>0</v>
      </c>
      <c r="AH105" s="41">
        <v>0.0</v>
      </c>
      <c r="AI105" s="41">
        <v>0.0</v>
      </c>
      <c r="AJ105" s="41">
        <v>0.0</v>
      </c>
      <c r="AK105" s="41">
        <v>0.0</v>
      </c>
      <c r="AL105" s="41">
        <v>0.0</v>
      </c>
      <c r="AM105" s="41">
        <v>0.0</v>
      </c>
      <c r="AN105" s="41">
        <v>0.0</v>
      </c>
      <c r="AO105" s="41">
        <v>0.0</v>
      </c>
      <c r="AP105" s="41">
        <v>0.0</v>
      </c>
      <c r="AQ105" s="41">
        <v>0.0</v>
      </c>
      <c r="AR105" s="41">
        <v>0.0</v>
      </c>
      <c r="AS105" s="41">
        <v>0.0</v>
      </c>
      <c r="AT105" s="41">
        <v>0.0</v>
      </c>
      <c r="AU105" s="41">
        <v>0.0</v>
      </c>
      <c r="AV105" s="41">
        <v>0.0</v>
      </c>
      <c r="AW105" s="41">
        <v>0.0</v>
      </c>
      <c r="AX105" s="41">
        <v>0.0</v>
      </c>
      <c r="AY105" s="41">
        <v>0.0</v>
      </c>
      <c r="AZ105" s="41">
        <v>0.0</v>
      </c>
      <c r="BA105" s="41">
        <v>0.0</v>
      </c>
      <c r="BB105" s="41">
        <v>0.0</v>
      </c>
      <c r="BC105" s="41">
        <v>0.0</v>
      </c>
      <c r="BD105" s="41">
        <v>0.0</v>
      </c>
      <c r="BE105" s="41">
        <v>0.0</v>
      </c>
    </row>
    <row r="106" ht="15.75" customHeight="1">
      <c r="B106" s="41">
        <v>3.0</v>
      </c>
      <c r="C106" s="41">
        <v>4.1816888830627894E-5</v>
      </c>
      <c r="D106" s="41">
        <v>0.011003124479573087</v>
      </c>
      <c r="E106" s="41">
        <v>0.002716279857865274</v>
      </c>
      <c r="F106" s="41">
        <v>0.10691659499301574</v>
      </c>
      <c r="G106" s="41">
        <v>8.151404029432572E-5</v>
      </c>
      <c r="H106" s="41">
        <v>3.63172237632534E-5</v>
      </c>
      <c r="I106" s="41">
        <v>1.2573769927452352E-4</v>
      </c>
      <c r="J106" s="41">
        <v>0.008573226511770553</v>
      </c>
      <c r="K106" s="41">
        <v>0.002684155406165946</v>
      </c>
      <c r="L106" s="41">
        <v>1.1067793496648944E-4</v>
      </c>
      <c r="M106" s="41">
        <v>8.162872267007896E-5</v>
      </c>
      <c r="N106" s="41">
        <v>1.4174210482383233E-4</v>
      </c>
      <c r="O106" s="41">
        <v>0.0018781653196575747</v>
      </c>
      <c r="P106" s="41">
        <v>1.3946117015143553E-7</v>
      </c>
      <c r="Q106" s="41">
        <v>7.404489346134995E-6</v>
      </c>
      <c r="R106" s="41">
        <v>5.645477761955073E-6</v>
      </c>
      <c r="S106" s="41">
        <v>3.551584979804053E-5</v>
      </c>
      <c r="T106" s="41">
        <v>5.671737922547439E-6</v>
      </c>
      <c r="U106" s="41">
        <v>4.2254728129428965E-7</v>
      </c>
      <c r="V106" s="41">
        <v>2.287147641908322E-6</v>
      </c>
      <c r="W106" s="41">
        <v>1.1581887173546954E-5</v>
      </c>
      <c r="X106" s="41">
        <v>2.302906356868217E-6</v>
      </c>
      <c r="Y106" s="41">
        <v>9.78057290998445E-7</v>
      </c>
      <c r="Z106" s="41">
        <v>9.361467751468356E-6</v>
      </c>
      <c r="AA106" s="41">
        <v>1.8326156694482576E-7</v>
      </c>
      <c r="AB106" s="41">
        <v>2.953003615979802E-6</v>
      </c>
      <c r="AE106" s="41">
        <v>3.0</v>
      </c>
      <c r="AF106" s="41">
        <v>0.0</v>
      </c>
      <c r="AG106" s="41">
        <v>0.0</v>
      </c>
      <c r="AH106" s="41">
        <f>E$64</f>
        <v>0</v>
      </c>
      <c r="AI106" s="41">
        <v>0.0</v>
      </c>
      <c r="AJ106" s="41">
        <v>0.0</v>
      </c>
      <c r="AK106" s="41">
        <v>0.0</v>
      </c>
      <c r="AL106" s="41">
        <v>0.0</v>
      </c>
      <c r="AM106" s="41">
        <v>0.0</v>
      </c>
      <c r="AN106" s="41">
        <v>0.0</v>
      </c>
      <c r="AO106" s="41">
        <v>0.0</v>
      </c>
      <c r="AP106" s="41">
        <v>0.0</v>
      </c>
      <c r="AQ106" s="41">
        <v>0.0</v>
      </c>
      <c r="AR106" s="41">
        <v>0.0</v>
      </c>
      <c r="AS106" s="41">
        <v>0.0</v>
      </c>
      <c r="AT106" s="41">
        <v>0.0</v>
      </c>
      <c r="AU106" s="41">
        <v>0.0</v>
      </c>
      <c r="AV106" s="41">
        <v>0.0</v>
      </c>
      <c r="AW106" s="41">
        <v>0.0</v>
      </c>
      <c r="AX106" s="41">
        <v>0.0</v>
      </c>
      <c r="AY106" s="41">
        <v>0.0</v>
      </c>
      <c r="AZ106" s="41">
        <v>0.0</v>
      </c>
      <c r="BA106" s="41">
        <v>0.0</v>
      </c>
      <c r="BB106" s="41">
        <v>0.0</v>
      </c>
      <c r="BC106" s="41">
        <v>0.0</v>
      </c>
      <c r="BD106" s="41">
        <v>0.0</v>
      </c>
      <c r="BE106" s="41">
        <v>0.0</v>
      </c>
    </row>
    <row r="107" ht="15.75" customHeight="1">
      <c r="B107" s="41">
        <v>4.0</v>
      </c>
      <c r="C107" s="41">
        <v>6.984953446039992E-4</v>
      </c>
      <c r="D107" s="41">
        <v>0.006515364666161234</v>
      </c>
      <c r="E107" s="41">
        <v>0.012333938018434116</v>
      </c>
      <c r="F107" s="41">
        <v>0.05411078752663511</v>
      </c>
      <c r="G107" s="41">
        <v>4.5210099234249305E-4</v>
      </c>
      <c r="H107" s="41">
        <v>2.526531665923495E-4</v>
      </c>
      <c r="I107" s="41">
        <v>5.344544920910653E-4</v>
      </c>
      <c r="J107" s="41">
        <v>7.855598074299621E-4</v>
      </c>
      <c r="K107" s="41">
        <v>7.678407695415915E-4</v>
      </c>
      <c r="L107" s="41">
        <v>0.0014556202964991559</v>
      </c>
      <c r="M107" s="41">
        <v>4.5627585191772855E-4</v>
      </c>
      <c r="N107" s="41">
        <v>3.735711324934112E-4</v>
      </c>
      <c r="O107" s="41">
        <v>0.015019886969890263</v>
      </c>
      <c r="P107" s="41">
        <v>5.803955161173379E-6</v>
      </c>
      <c r="Q107" s="41">
        <v>7.340994047500565E-5</v>
      </c>
      <c r="R107" s="41">
        <v>2.1258359335609596E-5</v>
      </c>
      <c r="S107" s="41">
        <v>2.5865378307789053E-4</v>
      </c>
      <c r="T107" s="41">
        <v>8.766475240073994E-6</v>
      </c>
      <c r="U107" s="41">
        <v>6.877960069058834E-6</v>
      </c>
      <c r="V107" s="41">
        <v>5.286827471619359E-6</v>
      </c>
      <c r="W107" s="41">
        <v>6.337115779974444E-6</v>
      </c>
      <c r="X107" s="41">
        <v>6.2450213831693605E-6</v>
      </c>
      <c r="Y107" s="41">
        <v>5.47587880666321E-6</v>
      </c>
      <c r="Z107" s="41">
        <v>7.114442719049122E-6</v>
      </c>
      <c r="AA107" s="41">
        <v>2.2929213313880377E-6</v>
      </c>
      <c r="AB107" s="41">
        <v>7.565496138877284E-5</v>
      </c>
      <c r="AE107" s="41">
        <v>4.0</v>
      </c>
      <c r="AF107" s="41">
        <v>0.0</v>
      </c>
      <c r="AG107" s="41">
        <v>0.0</v>
      </c>
      <c r="AH107" s="41">
        <v>0.0</v>
      </c>
      <c r="AI107" s="41">
        <f>F$64</f>
        <v>0</v>
      </c>
      <c r="AJ107" s="41">
        <v>0.0</v>
      </c>
      <c r="AK107" s="41">
        <v>0.0</v>
      </c>
      <c r="AL107" s="41">
        <v>0.0</v>
      </c>
      <c r="AM107" s="41">
        <v>0.0</v>
      </c>
      <c r="AN107" s="41">
        <v>0.0</v>
      </c>
      <c r="AO107" s="41">
        <v>0.0</v>
      </c>
      <c r="AP107" s="41">
        <v>0.0</v>
      </c>
      <c r="AQ107" s="41">
        <v>0.0</v>
      </c>
      <c r="AR107" s="41">
        <v>0.0</v>
      </c>
      <c r="AS107" s="41">
        <v>0.0</v>
      </c>
      <c r="AT107" s="41">
        <v>0.0</v>
      </c>
      <c r="AU107" s="41">
        <v>0.0</v>
      </c>
      <c r="AV107" s="41">
        <v>0.0</v>
      </c>
      <c r="AW107" s="41">
        <v>0.0</v>
      </c>
      <c r="AX107" s="41">
        <v>0.0</v>
      </c>
      <c r="AY107" s="41">
        <v>0.0</v>
      </c>
      <c r="AZ107" s="41">
        <v>0.0</v>
      </c>
      <c r="BA107" s="41">
        <v>0.0</v>
      </c>
      <c r="BB107" s="41">
        <v>0.0</v>
      </c>
      <c r="BC107" s="41">
        <v>0.0</v>
      </c>
      <c r="BD107" s="41">
        <v>0.0</v>
      </c>
      <c r="BE107" s="41">
        <v>0.0</v>
      </c>
    </row>
    <row r="108" ht="15.75" customHeight="1">
      <c r="B108" s="41">
        <v>5.0</v>
      </c>
      <c r="C108" s="41">
        <v>0.008284143752940065</v>
      </c>
      <c r="D108" s="41">
        <v>3.291398549421242E-4</v>
      </c>
      <c r="E108" s="41">
        <v>3.4935005843862233E-4</v>
      </c>
      <c r="F108" s="41">
        <v>0.0014635344557516825</v>
      </c>
      <c r="G108" s="41">
        <v>0.11681240063622024</v>
      </c>
      <c r="H108" s="41">
        <v>4.784396923147569E-4</v>
      </c>
      <c r="I108" s="41">
        <v>0.0010888900170915445</v>
      </c>
      <c r="J108" s="41">
        <v>5.432974908045125E-4</v>
      </c>
      <c r="K108" s="41">
        <v>0.0012754489939525717</v>
      </c>
      <c r="L108" s="41">
        <v>0.003178641506454067</v>
      </c>
      <c r="M108" s="41">
        <v>0.11764426879604796</v>
      </c>
      <c r="N108" s="41">
        <v>9.629858830660625E-4</v>
      </c>
      <c r="O108" s="41">
        <v>7.404438202053668E-4</v>
      </c>
      <c r="P108" s="41">
        <v>3.9795568711512435E-7</v>
      </c>
      <c r="Q108" s="41">
        <v>4.4490593837074877E-7</v>
      </c>
      <c r="R108" s="41">
        <v>1.2020870922735235E-6</v>
      </c>
      <c r="S108" s="41">
        <v>1.7259739925741704E-6</v>
      </c>
      <c r="T108" s="41">
        <v>9.50229792629231E-6</v>
      </c>
      <c r="U108" s="41">
        <v>2.610553992239503E-7</v>
      </c>
      <c r="V108" s="41">
        <v>5.586857459824156E-7</v>
      </c>
      <c r="W108" s="41">
        <v>4.733111171663264E-7</v>
      </c>
      <c r="X108" s="41">
        <v>4.0689353686445157E-7</v>
      </c>
      <c r="Y108" s="41">
        <v>2.1109935094996595E-7</v>
      </c>
      <c r="Z108" s="41">
        <v>1.2720120877775117E-5</v>
      </c>
      <c r="AA108" s="41">
        <v>8.312442376177184E-7</v>
      </c>
      <c r="AB108" s="41">
        <v>2.051007054704821E-7</v>
      </c>
      <c r="AE108" s="41">
        <v>5.0</v>
      </c>
      <c r="AF108" s="41">
        <v>0.0</v>
      </c>
      <c r="AG108" s="41">
        <v>0.0</v>
      </c>
      <c r="AH108" s="41">
        <v>0.0</v>
      </c>
      <c r="AI108" s="41">
        <v>0.0</v>
      </c>
      <c r="AJ108" s="41">
        <f>G$64</f>
        <v>0</v>
      </c>
      <c r="AK108" s="41">
        <v>0.0</v>
      </c>
      <c r="AL108" s="41">
        <v>0.0</v>
      </c>
      <c r="AM108" s="41">
        <v>0.0</v>
      </c>
      <c r="AN108" s="41">
        <v>0.0</v>
      </c>
      <c r="AO108" s="41">
        <v>0.0</v>
      </c>
      <c r="AP108" s="41">
        <v>0.0</v>
      </c>
      <c r="AQ108" s="41">
        <v>0.0</v>
      </c>
      <c r="AR108" s="41">
        <v>0.0</v>
      </c>
      <c r="AS108" s="41">
        <v>0.0</v>
      </c>
      <c r="AT108" s="41">
        <v>0.0</v>
      </c>
      <c r="AU108" s="41">
        <v>0.0</v>
      </c>
      <c r="AV108" s="41">
        <v>0.0</v>
      </c>
      <c r="AW108" s="41">
        <v>0.0</v>
      </c>
      <c r="AX108" s="41">
        <v>0.0</v>
      </c>
      <c r="AY108" s="41">
        <v>0.0</v>
      </c>
      <c r="AZ108" s="41">
        <v>0.0</v>
      </c>
      <c r="BA108" s="41">
        <v>0.0</v>
      </c>
      <c r="BB108" s="41">
        <v>0.0</v>
      </c>
      <c r="BC108" s="41">
        <v>0.0</v>
      </c>
      <c r="BD108" s="41">
        <v>0.0</v>
      </c>
      <c r="BE108" s="41">
        <v>0.0</v>
      </c>
    </row>
    <row r="109" ht="15.75" customHeight="1">
      <c r="B109" s="41">
        <v>6.0</v>
      </c>
      <c r="C109" s="41">
        <v>0.01119028126118722</v>
      </c>
      <c r="D109" s="41">
        <v>0.0014590016263165374</v>
      </c>
      <c r="E109" s="41">
        <v>0.00411711871854215</v>
      </c>
      <c r="F109" s="41">
        <v>0.0020805689886633067</v>
      </c>
      <c r="G109" s="41">
        <v>0.009629985260261277</v>
      </c>
      <c r="H109" s="41">
        <v>0.14798384161908126</v>
      </c>
      <c r="I109" s="41">
        <v>0.008515257610157118</v>
      </c>
      <c r="J109" s="41">
        <v>0.03577682474980917</v>
      </c>
      <c r="K109" s="41">
        <v>0.0035334823371326956</v>
      </c>
      <c r="L109" s="41">
        <v>0.0010288974603360904</v>
      </c>
      <c r="M109" s="41">
        <v>0.009194256167515414</v>
      </c>
      <c r="N109" s="41">
        <v>0.0015126896524209792</v>
      </c>
      <c r="O109" s="41">
        <v>0.005177985886947721</v>
      </c>
      <c r="P109" s="41">
        <v>2.6986460913126024E-5</v>
      </c>
      <c r="Q109" s="41">
        <v>1.2048926804124913E-5</v>
      </c>
      <c r="R109" s="41">
        <v>9.383902672967472E-6</v>
      </c>
      <c r="S109" s="41">
        <v>1.6518180353249208E-5</v>
      </c>
      <c r="T109" s="41">
        <v>1.5859999625002753E-5</v>
      </c>
      <c r="U109" s="41">
        <v>4.654609519970737E-6</v>
      </c>
      <c r="V109" s="41">
        <v>1.1442332657407237E-5</v>
      </c>
      <c r="W109" s="41">
        <v>9.702573278715653E-6</v>
      </c>
      <c r="X109" s="41">
        <v>7.1301924396026065E-6</v>
      </c>
      <c r="Y109" s="41">
        <v>1.5062227332701623E-6</v>
      </c>
      <c r="Z109" s="41">
        <v>2.2515255916052683E-5</v>
      </c>
      <c r="AA109" s="41">
        <v>1.1861229074899585E-5</v>
      </c>
      <c r="AB109" s="41">
        <v>1.4015516603676015E-5</v>
      </c>
      <c r="AE109" s="41">
        <v>6.0</v>
      </c>
      <c r="AF109" s="41">
        <v>0.0</v>
      </c>
      <c r="AG109" s="41">
        <v>0.0</v>
      </c>
      <c r="AH109" s="41">
        <v>0.0</v>
      </c>
      <c r="AI109" s="41">
        <v>0.0</v>
      </c>
      <c r="AJ109" s="41">
        <v>0.0</v>
      </c>
      <c r="AK109" s="41">
        <f>H$64</f>
        <v>0</v>
      </c>
      <c r="AL109" s="41">
        <v>0.0</v>
      </c>
      <c r="AM109" s="41">
        <v>0.0</v>
      </c>
      <c r="AN109" s="41">
        <v>0.0</v>
      </c>
      <c r="AO109" s="41">
        <v>0.0</v>
      </c>
      <c r="AP109" s="41">
        <v>0.0</v>
      </c>
      <c r="AQ109" s="41">
        <v>0.0</v>
      </c>
      <c r="AR109" s="41">
        <v>0.0</v>
      </c>
      <c r="AS109" s="41">
        <v>0.0</v>
      </c>
      <c r="AT109" s="41">
        <v>0.0</v>
      </c>
      <c r="AU109" s="41">
        <v>0.0</v>
      </c>
      <c r="AV109" s="41">
        <v>0.0</v>
      </c>
      <c r="AW109" s="41">
        <v>0.0</v>
      </c>
      <c r="AX109" s="41">
        <v>0.0</v>
      </c>
      <c r="AY109" s="41">
        <v>0.0</v>
      </c>
      <c r="AZ109" s="41">
        <v>0.0</v>
      </c>
      <c r="BA109" s="41">
        <v>0.0</v>
      </c>
      <c r="BB109" s="41">
        <v>0.0</v>
      </c>
      <c r="BC109" s="41">
        <v>0.0</v>
      </c>
      <c r="BD109" s="41">
        <v>0.0</v>
      </c>
      <c r="BE109" s="41">
        <v>0.0</v>
      </c>
    </row>
    <row r="110" ht="15.75" customHeight="1">
      <c r="B110" s="41">
        <v>7.0</v>
      </c>
      <c r="C110" s="41">
        <v>0.10338396982390925</v>
      </c>
      <c r="D110" s="41">
        <v>0.030778380856018334</v>
      </c>
      <c r="E110" s="41">
        <v>0.07654402042992782</v>
      </c>
      <c r="F110" s="41">
        <v>0.0526415573090094</v>
      </c>
      <c r="G110" s="41">
        <v>0.06152725518173884</v>
      </c>
      <c r="H110" s="41">
        <v>0.061176729381883545</v>
      </c>
      <c r="I110" s="41">
        <v>0.2145681328122196</v>
      </c>
      <c r="J110" s="41">
        <v>0.014165111145280794</v>
      </c>
      <c r="K110" s="41">
        <v>0.05189795928682206</v>
      </c>
      <c r="L110" s="41">
        <v>0.07317529978955822</v>
      </c>
      <c r="M110" s="41">
        <v>0.05515023600387037</v>
      </c>
      <c r="N110" s="41">
        <v>0.23476450605175095</v>
      </c>
      <c r="O110" s="41">
        <v>0.039869653140802264</v>
      </c>
      <c r="P110" s="41">
        <v>1.4449532560699546E-4</v>
      </c>
      <c r="Q110" s="41">
        <v>2.3951991664545607E-4</v>
      </c>
      <c r="R110" s="41">
        <v>1.6057285495196376E-4</v>
      </c>
      <c r="S110" s="41">
        <v>2.7605821835208357E-4</v>
      </c>
      <c r="T110" s="41">
        <v>3.2868913404816526E-4</v>
      </c>
      <c r="U110" s="41">
        <v>1.1871756148786233E-4</v>
      </c>
      <c r="V110" s="41">
        <v>9.988308392808432E-4</v>
      </c>
      <c r="W110" s="41">
        <v>3.3145281516142755E-4</v>
      </c>
      <c r="X110" s="41">
        <v>1.576300669375277E-4</v>
      </c>
      <c r="Y110" s="41">
        <v>8.563723393347422E-5</v>
      </c>
      <c r="Z110" s="41">
        <v>4.3642297894640317E-4</v>
      </c>
      <c r="AA110" s="41">
        <v>1.6392658033590718E-4</v>
      </c>
      <c r="AB110" s="41">
        <v>6.354847506511792E-5</v>
      </c>
      <c r="AE110" s="41">
        <v>7.0</v>
      </c>
      <c r="AF110" s="41">
        <v>0.0</v>
      </c>
      <c r="AG110" s="41">
        <v>0.0</v>
      </c>
      <c r="AH110" s="41">
        <v>0.0</v>
      </c>
      <c r="AI110" s="41">
        <v>0.0</v>
      </c>
      <c r="AJ110" s="41">
        <v>0.0</v>
      </c>
      <c r="AK110" s="41">
        <v>0.0</v>
      </c>
      <c r="AL110" s="41">
        <f>I$64</f>
        <v>0</v>
      </c>
      <c r="AM110" s="41">
        <v>0.0</v>
      </c>
      <c r="AN110" s="41">
        <v>0.0</v>
      </c>
      <c r="AO110" s="41">
        <v>0.0</v>
      </c>
      <c r="AP110" s="41">
        <v>0.0</v>
      </c>
      <c r="AQ110" s="41">
        <v>0.0</v>
      </c>
      <c r="AR110" s="41">
        <v>0.0</v>
      </c>
      <c r="AS110" s="41">
        <v>0.0</v>
      </c>
      <c r="AT110" s="41">
        <v>0.0</v>
      </c>
      <c r="AU110" s="41">
        <v>0.0</v>
      </c>
      <c r="AV110" s="41">
        <v>0.0</v>
      </c>
      <c r="AW110" s="41">
        <v>0.0</v>
      </c>
      <c r="AX110" s="41">
        <v>0.0</v>
      </c>
      <c r="AY110" s="41">
        <v>0.0</v>
      </c>
      <c r="AZ110" s="41">
        <v>0.0</v>
      </c>
      <c r="BA110" s="41">
        <v>0.0</v>
      </c>
      <c r="BB110" s="41">
        <v>0.0</v>
      </c>
      <c r="BC110" s="41">
        <v>0.0</v>
      </c>
      <c r="BD110" s="41">
        <v>0.0</v>
      </c>
      <c r="BE110" s="41">
        <v>0.0</v>
      </c>
    </row>
    <row r="111" ht="15.75" customHeight="1">
      <c r="B111" s="41">
        <v>8.0</v>
      </c>
      <c r="C111" s="41">
        <v>0.0010952430224876438</v>
      </c>
      <c r="D111" s="41">
        <v>0.002757864230330074</v>
      </c>
      <c r="E111" s="41">
        <v>0.010937325100785864</v>
      </c>
      <c r="F111" s="41">
        <v>2.306210151057451E-5</v>
      </c>
      <c r="G111" s="41">
        <v>8.495480386255558E-4</v>
      </c>
      <c r="H111" s="41">
        <v>4.407525638724272E-5</v>
      </c>
      <c r="I111" s="41">
        <v>5.693668941725709E-5</v>
      </c>
      <c r="J111" s="41">
        <v>9.660188845128407E-6</v>
      </c>
      <c r="K111" s="41">
        <v>3.392850934106349E-5</v>
      </c>
      <c r="L111" s="41">
        <v>7.818999808755814E-5</v>
      </c>
      <c r="M111" s="41">
        <v>8.408567475164053E-4</v>
      </c>
      <c r="N111" s="41">
        <v>2.844300108492816E-5</v>
      </c>
      <c r="O111" s="41">
        <v>0.002007898539035009</v>
      </c>
      <c r="P111" s="41">
        <v>6.872153648998717E-6</v>
      </c>
      <c r="Q111" s="41">
        <v>1.8696198582451825E-5</v>
      </c>
      <c r="R111" s="41">
        <v>6.2886088098642086E-6</v>
      </c>
      <c r="S111" s="41">
        <v>2.12662442296414E-6</v>
      </c>
      <c r="T111" s="41">
        <v>4.998051968112879E-7</v>
      </c>
      <c r="U111" s="41">
        <v>1.3358939576924191E-7</v>
      </c>
      <c r="V111" s="41">
        <v>8.697865054364425E-7</v>
      </c>
      <c r="W111" s="41">
        <v>7.979205431450765E-7</v>
      </c>
      <c r="X111" s="41">
        <v>2.390440643048486E-7</v>
      </c>
      <c r="Y111" s="41">
        <v>2.2005171123891462E-7</v>
      </c>
      <c r="Z111" s="41">
        <v>3.6909315698989246E-7</v>
      </c>
      <c r="AA111" s="41">
        <v>5.419565400939477E-8</v>
      </c>
      <c r="AB111" s="41">
        <v>3.1377128434792963E-6</v>
      </c>
      <c r="AE111" s="41">
        <v>8.0</v>
      </c>
      <c r="AF111" s="41">
        <v>0.0</v>
      </c>
      <c r="AG111" s="41">
        <v>0.0</v>
      </c>
      <c r="AH111" s="41">
        <v>0.0</v>
      </c>
      <c r="AI111" s="41">
        <v>0.0</v>
      </c>
      <c r="AJ111" s="41">
        <v>0.0</v>
      </c>
      <c r="AK111" s="41">
        <v>0.0</v>
      </c>
      <c r="AL111" s="41">
        <v>0.0</v>
      </c>
      <c r="AM111" s="41">
        <f>J$64</f>
        <v>0</v>
      </c>
      <c r="AN111" s="41">
        <v>0.0</v>
      </c>
      <c r="AO111" s="41">
        <v>0.0</v>
      </c>
      <c r="AP111" s="41">
        <v>0.0</v>
      </c>
      <c r="AQ111" s="41">
        <v>0.0</v>
      </c>
      <c r="AR111" s="41">
        <v>0.0</v>
      </c>
      <c r="AS111" s="41">
        <v>0.0</v>
      </c>
      <c r="AT111" s="41">
        <v>0.0</v>
      </c>
      <c r="AU111" s="41">
        <v>0.0</v>
      </c>
      <c r="AV111" s="41">
        <v>0.0</v>
      </c>
      <c r="AW111" s="41">
        <v>0.0</v>
      </c>
      <c r="AX111" s="41">
        <v>0.0</v>
      </c>
      <c r="AY111" s="41">
        <v>0.0</v>
      </c>
      <c r="AZ111" s="41">
        <v>0.0</v>
      </c>
      <c r="BA111" s="41">
        <v>0.0</v>
      </c>
      <c r="BB111" s="41">
        <v>0.0</v>
      </c>
      <c r="BC111" s="41">
        <v>0.0</v>
      </c>
      <c r="BD111" s="41">
        <v>0.0</v>
      </c>
      <c r="BE111" s="41">
        <v>0.0</v>
      </c>
    </row>
    <row r="112" ht="15.75" customHeight="1">
      <c r="B112" s="41">
        <v>9.0</v>
      </c>
      <c r="C112" s="41">
        <v>0.060122145788299775</v>
      </c>
      <c r="D112" s="41">
        <v>0.045477625295517056</v>
      </c>
      <c r="E112" s="41">
        <v>0.04932078170841679</v>
      </c>
      <c r="F112" s="41">
        <v>0.09649298683061414</v>
      </c>
      <c r="G112" s="41">
        <v>0.056365674064999316</v>
      </c>
      <c r="H112" s="41">
        <v>0.06723091594706526</v>
      </c>
      <c r="I112" s="41">
        <v>0.05221220655978744</v>
      </c>
      <c r="J112" s="41">
        <v>0.06350246278777874</v>
      </c>
      <c r="K112" s="41">
        <v>0.12425688914755988</v>
      </c>
      <c r="L112" s="41">
        <v>0.038253798167427654</v>
      </c>
      <c r="M112" s="41">
        <v>0.049972676902802896</v>
      </c>
      <c r="N112" s="41">
        <v>0.051506149849063224</v>
      </c>
      <c r="O112" s="41">
        <v>0.054334646717789294</v>
      </c>
      <c r="P112" s="41">
        <v>1.1067979168465803E-4</v>
      </c>
      <c r="Q112" s="41">
        <v>2.1685724968119723E-4</v>
      </c>
      <c r="R112" s="41">
        <v>1.5459469423948735E-4</v>
      </c>
      <c r="S112" s="41">
        <v>2.7687708846088784E-4</v>
      </c>
      <c r="T112" s="41">
        <v>0.0010101622575193672</v>
      </c>
      <c r="U112" s="41">
        <v>6.282344137848638E-5</v>
      </c>
      <c r="V112" s="41">
        <v>1.931933369668492E-4</v>
      </c>
      <c r="W112" s="41">
        <v>1.5573141238030166E-4</v>
      </c>
      <c r="X112" s="41">
        <v>3.7040397240048435E-4</v>
      </c>
      <c r="Y112" s="41">
        <v>6.971854690126256E-5</v>
      </c>
      <c r="Z112" s="41">
        <v>4.049090441338166E-4</v>
      </c>
      <c r="AA112" s="41">
        <v>1.9827797160961293E-4</v>
      </c>
      <c r="AB112" s="41">
        <v>6.229997938024286E-5</v>
      </c>
      <c r="AE112" s="41">
        <v>9.0</v>
      </c>
      <c r="AF112" s="41">
        <v>0.0</v>
      </c>
      <c r="AG112" s="41">
        <v>0.0</v>
      </c>
      <c r="AH112" s="41">
        <v>0.0</v>
      </c>
      <c r="AI112" s="41">
        <v>0.0</v>
      </c>
      <c r="AJ112" s="41">
        <v>0.0</v>
      </c>
      <c r="AK112" s="41">
        <v>0.0</v>
      </c>
      <c r="AL112" s="41">
        <v>0.0</v>
      </c>
      <c r="AM112" s="41">
        <v>0.0</v>
      </c>
      <c r="AN112" s="41">
        <f>K$64</f>
        <v>0</v>
      </c>
      <c r="AO112" s="41">
        <v>0.0</v>
      </c>
      <c r="AP112" s="41">
        <v>0.0</v>
      </c>
      <c r="AQ112" s="41">
        <v>0.0</v>
      </c>
      <c r="AR112" s="41">
        <v>0.0</v>
      </c>
      <c r="AS112" s="41">
        <v>0.0</v>
      </c>
      <c r="AT112" s="41">
        <v>0.0</v>
      </c>
      <c r="AU112" s="41">
        <v>0.0</v>
      </c>
      <c r="AV112" s="41">
        <v>0.0</v>
      </c>
      <c r="AW112" s="41">
        <v>0.0</v>
      </c>
      <c r="AX112" s="41">
        <v>0.0</v>
      </c>
      <c r="AY112" s="41">
        <v>0.0</v>
      </c>
      <c r="AZ112" s="41">
        <v>0.0</v>
      </c>
      <c r="BA112" s="41">
        <v>0.0</v>
      </c>
      <c r="BB112" s="41">
        <v>0.0</v>
      </c>
      <c r="BC112" s="41">
        <v>0.0</v>
      </c>
      <c r="BD112" s="41">
        <v>0.0</v>
      </c>
      <c r="BE112" s="41">
        <v>0.0</v>
      </c>
    </row>
    <row r="113" ht="15.75" customHeight="1">
      <c r="B113" s="41">
        <v>10.0</v>
      </c>
      <c r="C113" s="41">
        <v>0.07679356411720693</v>
      </c>
      <c r="D113" s="41">
        <v>0.06588824724419404</v>
      </c>
      <c r="E113" s="41">
        <v>0.07312237208404178</v>
      </c>
      <c r="F113" s="41">
        <v>0.11974129863970392</v>
      </c>
      <c r="G113" s="41">
        <v>0.07769508320500892</v>
      </c>
      <c r="H113" s="41">
        <v>0.04081763573597085</v>
      </c>
      <c r="I113" s="41">
        <v>0.06476973875251177</v>
      </c>
      <c r="J113" s="41">
        <v>0.011202123829668554</v>
      </c>
      <c r="K113" s="41">
        <v>0.13592693238490963</v>
      </c>
      <c r="L113" s="41">
        <v>0.18981978543440853</v>
      </c>
      <c r="M113" s="41">
        <v>0.08158478484509236</v>
      </c>
      <c r="N113" s="41">
        <v>0.073530225711252</v>
      </c>
      <c r="O113" s="41">
        <v>0.054438944540210046</v>
      </c>
      <c r="P113" s="41">
        <v>4.014581870306951E-5</v>
      </c>
      <c r="Q113" s="41">
        <v>8.503611328779783E-5</v>
      </c>
      <c r="R113" s="41">
        <v>4.725245576456305E-5</v>
      </c>
      <c r="S113" s="41">
        <v>8.561844871078915E-5</v>
      </c>
      <c r="T113" s="41">
        <v>2.3650222023259034E-4</v>
      </c>
      <c r="U113" s="41">
        <v>4.6153189203201734E-5</v>
      </c>
      <c r="V113" s="41">
        <v>8.53406443709934E-5</v>
      </c>
      <c r="W113" s="41">
        <v>6.651594914169549E-5</v>
      </c>
      <c r="X113" s="41">
        <v>7.505419715417149E-5</v>
      </c>
      <c r="Y113" s="41">
        <v>9.539101371264732E-5</v>
      </c>
      <c r="Z113" s="41">
        <v>3.150456430722523E-4</v>
      </c>
      <c r="AA113" s="41">
        <v>6.888721892325183E-5</v>
      </c>
      <c r="AB113" s="41">
        <v>3.641662681154273E-5</v>
      </c>
      <c r="AE113" s="41">
        <v>10.0</v>
      </c>
      <c r="AF113" s="41">
        <v>0.0</v>
      </c>
      <c r="AG113" s="41">
        <v>0.0</v>
      </c>
      <c r="AH113" s="41">
        <v>0.0</v>
      </c>
      <c r="AI113" s="41">
        <v>0.0</v>
      </c>
      <c r="AJ113" s="41">
        <v>0.0</v>
      </c>
      <c r="AK113" s="41">
        <v>0.0</v>
      </c>
      <c r="AL113" s="41">
        <v>0.0</v>
      </c>
      <c r="AM113" s="41">
        <v>0.0</v>
      </c>
      <c r="AN113" s="41">
        <v>0.0</v>
      </c>
      <c r="AO113" s="41">
        <f>L$64</f>
        <v>0</v>
      </c>
      <c r="AP113" s="41">
        <v>0.0</v>
      </c>
      <c r="AQ113" s="41">
        <v>0.0</v>
      </c>
      <c r="AR113" s="41">
        <v>0.0</v>
      </c>
      <c r="AS113" s="41">
        <v>0.0</v>
      </c>
      <c r="AT113" s="41">
        <v>0.0</v>
      </c>
      <c r="AU113" s="41">
        <v>0.0</v>
      </c>
      <c r="AV113" s="41">
        <v>0.0</v>
      </c>
      <c r="AW113" s="41">
        <v>0.0</v>
      </c>
      <c r="AX113" s="41">
        <v>0.0</v>
      </c>
      <c r="AY113" s="41">
        <v>0.0</v>
      </c>
      <c r="AZ113" s="41">
        <v>0.0</v>
      </c>
      <c r="BA113" s="41">
        <v>0.0</v>
      </c>
      <c r="BB113" s="41">
        <v>0.0</v>
      </c>
      <c r="BC113" s="41">
        <v>0.0</v>
      </c>
      <c r="BD113" s="41">
        <v>0.0</v>
      </c>
      <c r="BE113" s="41">
        <v>0.0</v>
      </c>
    </row>
    <row r="114" ht="15.75" customHeight="1">
      <c r="B114" s="41">
        <v>11.0</v>
      </c>
      <c r="C114" s="41">
        <v>0.003391091162067608</v>
      </c>
      <c r="D114" s="41">
        <v>6.357274820487076E-4</v>
      </c>
      <c r="E114" s="41">
        <v>9.010509438605669E-4</v>
      </c>
      <c r="F114" s="41">
        <v>0.00538038734704652</v>
      </c>
      <c r="G114" s="41">
        <v>0.22600042325787698</v>
      </c>
      <c r="H114" s="41">
        <v>9.548248364810309E-4</v>
      </c>
      <c r="I114" s="41">
        <v>0.002699126617370657</v>
      </c>
      <c r="J114" s="41">
        <v>0.001095696748583218</v>
      </c>
      <c r="K114" s="41">
        <v>0.002541511301689139</v>
      </c>
      <c r="L114" s="41">
        <v>0.005900005106891789</v>
      </c>
      <c r="M114" s="41">
        <v>0.22884433545285174</v>
      </c>
      <c r="N114" s="41">
        <v>0.0016254225283025422</v>
      </c>
      <c r="O114" s="41">
        <v>0.0013724030873902403</v>
      </c>
      <c r="P114" s="41">
        <v>9.471934774109731E-7</v>
      </c>
      <c r="Q114" s="41">
        <v>1.0662104091004596E-6</v>
      </c>
      <c r="R114" s="41">
        <v>2.5951102811776883E-6</v>
      </c>
      <c r="S114" s="41">
        <v>3.732732316190475E-6</v>
      </c>
      <c r="T114" s="41">
        <v>2.686272474582607E-5</v>
      </c>
      <c r="U114" s="41">
        <v>4.982253163617882E-7</v>
      </c>
      <c r="V114" s="41">
        <v>1.294061838802065E-6</v>
      </c>
      <c r="W114" s="41">
        <v>2.202677695486734E-6</v>
      </c>
      <c r="X114" s="41">
        <v>7.560667587838042E-7</v>
      </c>
      <c r="Y114" s="41">
        <v>4.892726266337791E-7</v>
      </c>
      <c r="Z114" s="41">
        <v>3.12691250695565E-5</v>
      </c>
      <c r="AA114" s="41">
        <v>1.9563915144507227E-6</v>
      </c>
      <c r="AB114" s="41">
        <v>4.153746630353766E-7</v>
      </c>
      <c r="AE114" s="41">
        <v>11.0</v>
      </c>
      <c r="AF114" s="41">
        <v>0.0</v>
      </c>
      <c r="AG114" s="41">
        <v>0.0</v>
      </c>
      <c r="AH114" s="41">
        <v>0.0</v>
      </c>
      <c r="AI114" s="41">
        <v>0.0</v>
      </c>
      <c r="AJ114" s="41">
        <v>0.0</v>
      </c>
      <c r="AK114" s="41">
        <v>0.0</v>
      </c>
      <c r="AL114" s="41">
        <v>0.0</v>
      </c>
      <c r="AM114" s="41">
        <v>0.0</v>
      </c>
      <c r="AN114" s="41">
        <v>0.0</v>
      </c>
      <c r="AO114" s="41">
        <v>0.0</v>
      </c>
      <c r="AP114" s="41">
        <f>M$64</f>
        <v>0</v>
      </c>
      <c r="AQ114" s="41">
        <v>0.0</v>
      </c>
      <c r="AR114" s="41">
        <v>0.0</v>
      </c>
      <c r="AS114" s="41">
        <v>0.0</v>
      </c>
      <c r="AT114" s="41">
        <v>0.0</v>
      </c>
      <c r="AU114" s="41">
        <v>0.0</v>
      </c>
      <c r="AV114" s="41">
        <v>0.0</v>
      </c>
      <c r="AW114" s="41">
        <v>0.0</v>
      </c>
      <c r="AX114" s="41">
        <v>0.0</v>
      </c>
      <c r="AY114" s="41">
        <v>0.0</v>
      </c>
      <c r="AZ114" s="41">
        <v>0.0</v>
      </c>
      <c r="BA114" s="41">
        <v>0.0</v>
      </c>
      <c r="BB114" s="41">
        <v>0.0</v>
      </c>
      <c r="BC114" s="41">
        <v>0.0</v>
      </c>
      <c r="BD114" s="41">
        <v>0.0</v>
      </c>
      <c r="BE114" s="41">
        <v>0.0</v>
      </c>
    </row>
    <row r="115" ht="15.75" customHeight="1">
      <c r="B115" s="41">
        <v>12.0</v>
      </c>
      <c r="C115" s="41">
        <v>0.0011581936979464709</v>
      </c>
      <c r="D115" s="41">
        <v>7.707325697360862E-4</v>
      </c>
      <c r="E115" s="41">
        <v>0.0012566434300548288</v>
      </c>
      <c r="F115" s="41">
        <v>3.9520174221448125E-4</v>
      </c>
      <c r="G115" s="41">
        <v>0.0021122980285957246</v>
      </c>
      <c r="H115" s="41">
        <v>2.2185209305741353E-4</v>
      </c>
      <c r="I115" s="41">
        <v>4.2354369393615986E-4</v>
      </c>
      <c r="J115" s="41">
        <v>3.4266317655539427E-4</v>
      </c>
      <c r="K115" s="41">
        <v>6.404430695240774E-4</v>
      </c>
      <c r="L115" s="41">
        <v>0.0027543989920070884</v>
      </c>
      <c r="M115" s="41">
        <v>0.0021338160974199195</v>
      </c>
      <c r="N115" s="41">
        <v>0.01989035538993594</v>
      </c>
      <c r="O115" s="41">
        <v>0.0016083663216629475</v>
      </c>
      <c r="P115" s="41">
        <v>4.95260967621966E-8</v>
      </c>
      <c r="Q115" s="41">
        <v>2.443901221853181E-8</v>
      </c>
      <c r="R115" s="41">
        <v>1.617907104591855E-8</v>
      </c>
      <c r="S115" s="41">
        <v>2.911650879085293E-8</v>
      </c>
      <c r="T115" s="41">
        <v>9.975263019244043E-8</v>
      </c>
      <c r="U115" s="41">
        <v>7.923923990588724E-9</v>
      </c>
      <c r="V115" s="41">
        <v>3.010402726085862E-8</v>
      </c>
      <c r="W115" s="41">
        <v>1.2387836374049973E-8</v>
      </c>
      <c r="X115" s="41">
        <v>3.8008764560101315E-8</v>
      </c>
      <c r="Y115" s="41">
        <v>2.386332294222385E-8</v>
      </c>
      <c r="Z115" s="41">
        <v>1.171450976341777E-7</v>
      </c>
      <c r="AA115" s="41">
        <v>1.3015129603015988E-7</v>
      </c>
      <c r="AB115" s="41">
        <v>8.99915544151879E-9</v>
      </c>
      <c r="AE115" s="41">
        <v>12.0</v>
      </c>
      <c r="AF115" s="41">
        <v>0.0</v>
      </c>
      <c r="AG115" s="41">
        <v>0.0</v>
      </c>
      <c r="AH115" s="41">
        <v>0.0</v>
      </c>
      <c r="AI115" s="41">
        <v>0.0</v>
      </c>
      <c r="AJ115" s="41">
        <v>0.0</v>
      </c>
      <c r="AK115" s="41">
        <v>0.0</v>
      </c>
      <c r="AL115" s="41">
        <v>0.0</v>
      </c>
      <c r="AM115" s="41">
        <v>0.0</v>
      </c>
      <c r="AN115" s="41">
        <v>0.0</v>
      </c>
      <c r="AO115" s="41">
        <v>0.0</v>
      </c>
      <c r="AP115" s="41">
        <v>0.0</v>
      </c>
      <c r="AQ115" s="41">
        <f>N$64</f>
        <v>0</v>
      </c>
      <c r="AR115" s="41">
        <v>0.0</v>
      </c>
      <c r="AS115" s="41">
        <v>0.0</v>
      </c>
      <c r="AT115" s="41">
        <v>0.0</v>
      </c>
      <c r="AU115" s="41">
        <v>0.0</v>
      </c>
      <c r="AV115" s="41">
        <v>0.0</v>
      </c>
      <c r="AW115" s="41">
        <v>0.0</v>
      </c>
      <c r="AX115" s="41">
        <v>0.0</v>
      </c>
      <c r="AY115" s="41">
        <v>0.0</v>
      </c>
      <c r="AZ115" s="41">
        <v>0.0</v>
      </c>
      <c r="BA115" s="41">
        <v>0.0</v>
      </c>
      <c r="BB115" s="41">
        <v>0.0</v>
      </c>
      <c r="BC115" s="41">
        <v>0.0</v>
      </c>
      <c r="BD115" s="41">
        <v>0.0</v>
      </c>
      <c r="BE115" s="41">
        <v>0.0</v>
      </c>
    </row>
    <row r="116" ht="15.75" customHeight="1">
      <c r="B116" s="41">
        <v>13.0</v>
      </c>
      <c r="C116" s="41">
        <v>0.0013108268397770367</v>
      </c>
      <c r="D116" s="41">
        <v>0.0033988172467180233</v>
      </c>
      <c r="E116" s="41">
        <v>0.0012994253291728178</v>
      </c>
      <c r="F116" s="41">
        <v>0.00609187071128225</v>
      </c>
      <c r="G116" s="41">
        <v>0.001775225417489171</v>
      </c>
      <c r="H116" s="41">
        <v>9.914529127317544E-4</v>
      </c>
      <c r="I116" s="41">
        <v>0.002314097176787502</v>
      </c>
      <c r="J116" s="41">
        <v>7.899339281105648E-4</v>
      </c>
      <c r="K116" s="41">
        <v>0.0060334250288124084</v>
      </c>
      <c r="L116" s="41">
        <v>0.0037744026914931063</v>
      </c>
      <c r="M116" s="41">
        <v>0.0017997113343553189</v>
      </c>
      <c r="N116" s="41">
        <v>0.0027441072945030734</v>
      </c>
      <c r="O116" s="41">
        <v>0.009901269563889627</v>
      </c>
      <c r="P116" s="41">
        <v>9.12152718159995E-6</v>
      </c>
      <c r="Q116" s="41">
        <v>1.8388877529068488E-5</v>
      </c>
      <c r="R116" s="41">
        <v>1.2697595901544273E-5</v>
      </c>
      <c r="S116" s="41">
        <v>9.75537952542063E-6</v>
      </c>
      <c r="T116" s="41">
        <v>6.454966833194774E-5</v>
      </c>
      <c r="U116" s="41">
        <v>1.0235939010631718E-5</v>
      </c>
      <c r="V116" s="41">
        <v>5.634733287780511E-5</v>
      </c>
      <c r="W116" s="41">
        <v>1.049474607825849E-4</v>
      </c>
      <c r="X116" s="41">
        <v>3.406577963250985E-4</v>
      </c>
      <c r="Y116" s="41">
        <v>6.322089126741102E-5</v>
      </c>
      <c r="Z116" s="41">
        <v>6.389716644737134E-5</v>
      </c>
      <c r="AA116" s="41">
        <v>1.736037384675583E-5</v>
      </c>
      <c r="AB116" s="41">
        <v>3.654581354566791E-5</v>
      </c>
      <c r="AE116" s="41">
        <v>13.0</v>
      </c>
      <c r="AF116" s="41">
        <v>0.0</v>
      </c>
      <c r="AG116" s="41">
        <v>0.0</v>
      </c>
      <c r="AH116" s="41">
        <v>0.0</v>
      </c>
      <c r="AI116" s="41">
        <v>0.0</v>
      </c>
      <c r="AJ116" s="41">
        <v>0.0</v>
      </c>
      <c r="AK116" s="41">
        <v>0.0</v>
      </c>
      <c r="AL116" s="41">
        <v>0.0</v>
      </c>
      <c r="AM116" s="41">
        <v>0.0</v>
      </c>
      <c r="AN116" s="41">
        <v>0.0</v>
      </c>
      <c r="AO116" s="41">
        <v>0.0</v>
      </c>
      <c r="AP116" s="41">
        <v>0.0</v>
      </c>
      <c r="AQ116" s="41">
        <v>0.0</v>
      </c>
      <c r="AR116" s="41">
        <f>O$64</f>
        <v>0</v>
      </c>
      <c r="AS116" s="41">
        <v>0.0</v>
      </c>
      <c r="AT116" s="41">
        <v>0.0</v>
      </c>
      <c r="AU116" s="41">
        <v>0.0</v>
      </c>
      <c r="AV116" s="41">
        <v>0.0</v>
      </c>
      <c r="AW116" s="41">
        <v>0.0</v>
      </c>
      <c r="AX116" s="41">
        <v>0.0</v>
      </c>
      <c r="AY116" s="41">
        <v>0.0</v>
      </c>
      <c r="AZ116" s="41">
        <v>0.0</v>
      </c>
      <c r="BA116" s="41">
        <v>0.0</v>
      </c>
      <c r="BB116" s="41">
        <v>0.0</v>
      </c>
      <c r="BC116" s="41">
        <v>0.0</v>
      </c>
      <c r="BD116" s="41">
        <v>0.0</v>
      </c>
      <c r="BE116" s="41">
        <v>0.0</v>
      </c>
    </row>
    <row r="117" ht="15.75" customHeight="1">
      <c r="B117" s="41">
        <v>14.0</v>
      </c>
      <c r="C117" s="41">
        <v>0.01550837377981542</v>
      </c>
      <c r="D117" s="41">
        <v>0.02850680795980143</v>
      </c>
      <c r="E117" s="41">
        <v>0.10882816153151892</v>
      </c>
      <c r="F117" s="41">
        <v>8.014600876712902E-5</v>
      </c>
      <c r="G117" s="41">
        <v>3.1830616032467054E-5</v>
      </c>
      <c r="H117" s="41">
        <v>6.631147079433284E-5</v>
      </c>
      <c r="I117" s="41">
        <v>7.175740932248039E-4</v>
      </c>
      <c r="J117" s="41">
        <v>2.2782803753770373E-4</v>
      </c>
      <c r="K117" s="41">
        <v>1.2998980669356235E-4</v>
      </c>
      <c r="L117" s="41">
        <v>1.6445277826150344E-4</v>
      </c>
      <c r="M117" s="41">
        <v>4.086041521691362E-5</v>
      </c>
      <c r="N117" s="41">
        <v>5.213173109985677E-6</v>
      </c>
      <c r="O117" s="41">
        <v>0.00569233381560643</v>
      </c>
      <c r="P117" s="41">
        <v>0.20032490043713755</v>
      </c>
      <c r="Q117" s="41">
        <v>0.23203924526258823</v>
      </c>
      <c r="R117" s="41">
        <v>0.04112155265556482</v>
      </c>
      <c r="S117" s="41">
        <v>0.0026139467474316025</v>
      </c>
      <c r="T117" s="41">
        <v>0.0013462561643038347</v>
      </c>
      <c r="U117" s="41">
        <v>0.0049736382309604815</v>
      </c>
      <c r="V117" s="41">
        <v>0.009165985802789774</v>
      </c>
      <c r="W117" s="41">
        <v>0.03945250960231445</v>
      </c>
      <c r="X117" s="41">
        <v>0.0017795865586565742</v>
      </c>
      <c r="Y117" s="41">
        <v>0.0027091286189354557</v>
      </c>
      <c r="Z117" s="41">
        <v>0.002522918517536209</v>
      </c>
      <c r="AA117" s="41">
        <v>0.002911466934187217</v>
      </c>
      <c r="AB117" s="41">
        <v>0.011036951042316617</v>
      </c>
      <c r="AE117" s="41">
        <v>14.0</v>
      </c>
      <c r="AF117" s="41">
        <v>0.0</v>
      </c>
      <c r="AG117" s="41">
        <v>0.0</v>
      </c>
      <c r="AH117" s="41">
        <v>0.0</v>
      </c>
      <c r="AI117" s="41">
        <v>0.0</v>
      </c>
      <c r="AJ117" s="41">
        <v>0.0</v>
      </c>
      <c r="AK117" s="41">
        <v>0.0</v>
      </c>
      <c r="AL117" s="41">
        <v>0.0</v>
      </c>
      <c r="AM117" s="41">
        <v>0.0</v>
      </c>
      <c r="AN117" s="41">
        <v>0.0</v>
      </c>
      <c r="AO117" s="41">
        <v>0.0</v>
      </c>
      <c r="AP117" s="41">
        <v>0.0</v>
      </c>
      <c r="AQ117" s="41">
        <v>0.0</v>
      </c>
      <c r="AR117" s="41">
        <v>0.0</v>
      </c>
      <c r="AS117" s="41">
        <f>P$64</f>
        <v>2.61865566</v>
      </c>
      <c r="AT117" s="41">
        <v>0.0</v>
      </c>
      <c r="AU117" s="41">
        <v>0.0</v>
      </c>
      <c r="AV117" s="41">
        <v>0.0</v>
      </c>
      <c r="AW117" s="41">
        <v>0.0</v>
      </c>
      <c r="AX117" s="41">
        <v>0.0</v>
      </c>
      <c r="AY117" s="41">
        <v>0.0</v>
      </c>
      <c r="AZ117" s="41">
        <v>0.0</v>
      </c>
      <c r="BA117" s="41">
        <v>0.0</v>
      </c>
      <c r="BB117" s="41">
        <v>0.0</v>
      </c>
      <c r="BC117" s="41">
        <v>0.0</v>
      </c>
      <c r="BD117" s="41">
        <v>0.0</v>
      </c>
      <c r="BE117" s="41">
        <v>0.0</v>
      </c>
    </row>
    <row r="118" ht="15.75" customHeight="1">
      <c r="B118" s="41">
        <v>15.0</v>
      </c>
      <c r="C118" s="41">
        <v>3.7182193645884557E-4</v>
      </c>
      <c r="D118" s="41">
        <v>0.03644136876533927</v>
      </c>
      <c r="E118" s="41">
        <v>0.017706320424694628</v>
      </c>
      <c r="F118" s="41">
        <v>0.007842273410460952</v>
      </c>
      <c r="G118" s="41">
        <v>1.2339191196817486E-5</v>
      </c>
      <c r="H118" s="41">
        <v>6.049136294603934E-5</v>
      </c>
      <c r="I118" s="41">
        <v>0.0020365803016228444</v>
      </c>
      <c r="J118" s="41">
        <v>2.7378197841576915E-4</v>
      </c>
      <c r="K118" s="41">
        <v>0.0011080217012318565</v>
      </c>
      <c r="L118" s="41">
        <v>3.8999969225881383E-4</v>
      </c>
      <c r="M118" s="41">
        <v>1.2815805550929262E-5</v>
      </c>
      <c r="N118" s="41">
        <v>3.618988875422616E-5</v>
      </c>
      <c r="O118" s="41">
        <v>0.012849167394896967</v>
      </c>
      <c r="P118" s="41">
        <v>0.0028254954211919714</v>
      </c>
      <c r="Q118" s="41">
        <v>0.13623988699976816</v>
      </c>
      <c r="R118" s="41">
        <v>0.07999938022835303</v>
      </c>
      <c r="S118" s="41">
        <v>0.03918642527576039</v>
      </c>
      <c r="T118" s="41">
        <v>0.003064406968102981</v>
      </c>
      <c r="U118" s="41">
        <v>0.0012946823747779753</v>
      </c>
      <c r="V118" s="41">
        <v>0.002316830815341308</v>
      </c>
      <c r="W118" s="41">
        <v>0.0169178472348923</v>
      </c>
      <c r="X118" s="41">
        <v>0.003115283212307202</v>
      </c>
      <c r="Y118" s="41">
        <v>0.0033545654255146724</v>
      </c>
      <c r="Z118" s="41">
        <v>0.004438510551991371</v>
      </c>
      <c r="AA118" s="41">
        <v>0.003078700057517754</v>
      </c>
      <c r="AB118" s="41">
        <v>0.07370158622228425</v>
      </c>
      <c r="AE118" s="41">
        <v>15.0</v>
      </c>
      <c r="AF118" s="41">
        <v>0.0</v>
      </c>
      <c r="AG118" s="41">
        <v>0.0</v>
      </c>
      <c r="AH118" s="41">
        <v>0.0</v>
      </c>
      <c r="AI118" s="41">
        <v>0.0</v>
      </c>
      <c r="AJ118" s="41">
        <v>0.0</v>
      </c>
      <c r="AK118" s="41">
        <v>0.0</v>
      </c>
      <c r="AL118" s="41">
        <v>0.0</v>
      </c>
      <c r="AM118" s="41">
        <v>0.0</v>
      </c>
      <c r="AN118" s="41">
        <v>0.0</v>
      </c>
      <c r="AO118" s="41">
        <v>0.0</v>
      </c>
      <c r="AP118" s="41">
        <v>0.0</v>
      </c>
      <c r="AQ118" s="41">
        <v>0.0</v>
      </c>
      <c r="AR118" s="41">
        <v>0.0</v>
      </c>
      <c r="AS118" s="41">
        <v>0.0</v>
      </c>
      <c r="AT118" s="41">
        <f>Q$64</f>
        <v>0</v>
      </c>
      <c r="AU118" s="41">
        <v>0.0</v>
      </c>
      <c r="AV118" s="41">
        <v>0.0</v>
      </c>
      <c r="AW118" s="41">
        <v>0.0</v>
      </c>
      <c r="AX118" s="41">
        <v>0.0</v>
      </c>
      <c r="AY118" s="41">
        <v>0.0</v>
      </c>
      <c r="AZ118" s="41">
        <v>0.0</v>
      </c>
      <c r="BA118" s="41">
        <v>0.0</v>
      </c>
      <c r="BB118" s="41">
        <v>0.0</v>
      </c>
      <c r="BC118" s="41">
        <v>0.0</v>
      </c>
      <c r="BD118" s="41">
        <v>0.0</v>
      </c>
      <c r="BE118" s="41">
        <v>0.0</v>
      </c>
    </row>
    <row r="119" ht="15.75" customHeight="1">
      <c r="B119" s="41">
        <v>16.0</v>
      </c>
      <c r="C119" s="41">
        <v>2.5428940003599357E-5</v>
      </c>
      <c r="D119" s="41">
        <v>1.9859359285005228E-4</v>
      </c>
      <c r="E119" s="41">
        <v>5.74028733857773E-4</v>
      </c>
      <c r="F119" s="41">
        <v>0.015994227665381566</v>
      </c>
      <c r="G119" s="41">
        <v>1.2762654709607831E-5</v>
      </c>
      <c r="H119" s="41">
        <v>1.22703887814895E-4</v>
      </c>
      <c r="I119" s="41">
        <v>1.4808892699326307E-4</v>
      </c>
      <c r="J119" s="41">
        <v>5.893933918068855E-5</v>
      </c>
      <c r="K119" s="41">
        <v>2.5386291882359397E-4</v>
      </c>
      <c r="L119" s="41">
        <v>1.101633711086574E-4</v>
      </c>
      <c r="M119" s="41">
        <v>1.460664523049346E-5</v>
      </c>
      <c r="N119" s="41">
        <v>6.476257244656776E-6</v>
      </c>
      <c r="O119" s="41">
        <v>5.6956197437774E-4</v>
      </c>
      <c r="P119" s="41">
        <v>0.0010708581661095862</v>
      </c>
      <c r="Q119" s="41">
        <v>0.006792947911631677</v>
      </c>
      <c r="R119" s="41">
        <v>0.07216130803817454</v>
      </c>
      <c r="S119" s="41">
        <v>0.3191939758370847</v>
      </c>
      <c r="T119" s="41">
        <v>0.0031208138379923557</v>
      </c>
      <c r="U119" s="41">
        <v>0.0012577883197893518</v>
      </c>
      <c r="V119" s="41">
        <v>0.0016248831642097267</v>
      </c>
      <c r="W119" s="41">
        <v>0.012589541183163784</v>
      </c>
      <c r="X119" s="41">
        <v>9.64725223650065E-4</v>
      </c>
      <c r="Y119" s="41">
        <v>6.439841189744528E-4</v>
      </c>
      <c r="Z119" s="41">
        <v>0.0011362601192917588</v>
      </c>
      <c r="AA119" s="41">
        <v>0.0038431958906280737</v>
      </c>
      <c r="AB119" s="41">
        <v>0.015125594806903316</v>
      </c>
      <c r="AE119" s="41">
        <v>16.0</v>
      </c>
      <c r="AF119" s="41">
        <v>0.0</v>
      </c>
      <c r="AG119" s="41">
        <v>0.0</v>
      </c>
      <c r="AH119" s="41">
        <v>0.0</v>
      </c>
      <c r="AI119" s="41">
        <v>0.0</v>
      </c>
      <c r="AJ119" s="41">
        <v>0.0</v>
      </c>
      <c r="AK119" s="41">
        <v>0.0</v>
      </c>
      <c r="AL119" s="41">
        <v>0.0</v>
      </c>
      <c r="AM119" s="41">
        <v>0.0</v>
      </c>
      <c r="AN119" s="41">
        <v>0.0</v>
      </c>
      <c r="AO119" s="41">
        <v>0.0</v>
      </c>
      <c r="AP119" s="41">
        <v>0.0</v>
      </c>
      <c r="AQ119" s="41">
        <v>0.0</v>
      </c>
      <c r="AR119" s="41">
        <v>0.0</v>
      </c>
      <c r="AS119" s="41">
        <v>0.0</v>
      </c>
      <c r="AT119" s="41">
        <v>0.0</v>
      </c>
      <c r="AU119" s="41">
        <f>R$64</f>
        <v>0</v>
      </c>
      <c r="AV119" s="41">
        <v>0.0</v>
      </c>
      <c r="AW119" s="41">
        <v>0.0</v>
      </c>
      <c r="AX119" s="41">
        <v>0.0</v>
      </c>
      <c r="AY119" s="41">
        <v>0.0</v>
      </c>
      <c r="AZ119" s="41">
        <v>0.0</v>
      </c>
      <c r="BA119" s="41">
        <v>0.0</v>
      </c>
      <c r="BB119" s="41">
        <v>0.0</v>
      </c>
      <c r="BC119" s="41">
        <v>0.0</v>
      </c>
      <c r="BD119" s="41">
        <v>0.0</v>
      </c>
      <c r="BE119" s="41">
        <v>0.0</v>
      </c>
    </row>
    <row r="120" ht="15.75" customHeight="1">
      <c r="B120" s="41">
        <v>17.0</v>
      </c>
      <c r="C120" s="41">
        <v>2.155323627362673E-4</v>
      </c>
      <c r="D120" s="41">
        <v>0.004228411092256605</v>
      </c>
      <c r="E120" s="41">
        <v>0.020251920850347545</v>
      </c>
      <c r="F120" s="41">
        <v>0.04443934019449023</v>
      </c>
      <c r="G120" s="41">
        <v>2.891100357795902E-5</v>
      </c>
      <c r="H120" s="41">
        <v>1.0345785220309849E-4</v>
      </c>
      <c r="I120" s="41">
        <v>8.348776858808112E-4</v>
      </c>
      <c r="J120" s="41">
        <v>5.178653381391283E-4</v>
      </c>
      <c r="K120" s="41">
        <v>0.003917697575349907</v>
      </c>
      <c r="L120" s="41">
        <v>4.714195926745436E-4</v>
      </c>
      <c r="M120" s="41">
        <v>3.0659834996810734E-5</v>
      </c>
      <c r="N120" s="41">
        <v>2.838204153717564E-5</v>
      </c>
      <c r="O120" s="41">
        <v>0.009583324118024672</v>
      </c>
      <c r="P120" s="41">
        <v>0.002136702190296009</v>
      </c>
      <c r="Q120" s="41">
        <v>0.03128989661373047</v>
      </c>
      <c r="R120" s="41">
        <v>0.016534247640195256</v>
      </c>
      <c r="S120" s="41">
        <v>0.07839938260116476</v>
      </c>
      <c r="T120" s="41">
        <v>0.0023457270519982175</v>
      </c>
      <c r="U120" s="41">
        <v>7.742545601822084E-4</v>
      </c>
      <c r="V120" s="41">
        <v>0.0016629545743820017</v>
      </c>
      <c r="W120" s="41">
        <v>0.007388326636595635</v>
      </c>
      <c r="X120" s="41">
        <v>0.0015880042286396886</v>
      </c>
      <c r="Y120" s="41">
        <v>0.0025933070597325882</v>
      </c>
      <c r="Z120" s="41">
        <v>0.004328494393078555</v>
      </c>
      <c r="AA120" s="41">
        <v>0.0024146264016032</v>
      </c>
      <c r="AB120" s="41">
        <v>0.04252483400796963</v>
      </c>
      <c r="AE120" s="41">
        <v>17.0</v>
      </c>
      <c r="AF120" s="41">
        <v>0.0</v>
      </c>
      <c r="AG120" s="41">
        <v>0.0</v>
      </c>
      <c r="AH120" s="41">
        <v>0.0</v>
      </c>
      <c r="AI120" s="41">
        <v>0.0</v>
      </c>
      <c r="AJ120" s="41">
        <v>0.0</v>
      </c>
      <c r="AK120" s="41">
        <v>0.0</v>
      </c>
      <c r="AL120" s="41">
        <v>0.0</v>
      </c>
      <c r="AM120" s="41">
        <v>0.0</v>
      </c>
      <c r="AN120" s="41">
        <v>0.0</v>
      </c>
      <c r="AO120" s="41">
        <v>0.0</v>
      </c>
      <c r="AP120" s="41">
        <v>0.0</v>
      </c>
      <c r="AQ120" s="41">
        <v>0.0</v>
      </c>
      <c r="AR120" s="41">
        <v>0.0</v>
      </c>
      <c r="AS120" s="41">
        <v>0.0</v>
      </c>
      <c r="AT120" s="41">
        <v>0.0</v>
      </c>
      <c r="AU120" s="41">
        <v>0.0</v>
      </c>
      <c r="AV120" s="41">
        <f>S$64</f>
        <v>0</v>
      </c>
      <c r="AW120" s="41">
        <v>0.0</v>
      </c>
      <c r="AX120" s="41">
        <v>0.0</v>
      </c>
      <c r="AY120" s="41">
        <v>0.0</v>
      </c>
      <c r="AZ120" s="41">
        <v>0.0</v>
      </c>
      <c r="BA120" s="41">
        <v>0.0</v>
      </c>
      <c r="BB120" s="41">
        <v>0.0</v>
      </c>
      <c r="BC120" s="41">
        <v>0.0</v>
      </c>
      <c r="BD120" s="41">
        <v>0.0</v>
      </c>
      <c r="BE120" s="41">
        <v>0.0</v>
      </c>
    </row>
    <row r="121" ht="15.75" customHeight="1">
      <c r="B121" s="41">
        <v>18.0</v>
      </c>
      <c r="C121" s="41">
        <v>3.101750551842199E-5</v>
      </c>
      <c r="D121" s="41">
        <v>5.408845054456892E-5</v>
      </c>
      <c r="E121" s="41">
        <v>3.1589917520815955E-5</v>
      </c>
      <c r="F121" s="41">
        <v>6.928642216127371E-5</v>
      </c>
      <c r="G121" s="41">
        <v>0.001064152217476879</v>
      </c>
      <c r="H121" s="41">
        <v>3.87537871869581E-6</v>
      </c>
      <c r="I121" s="41">
        <v>1.4290994977018623E-4</v>
      </c>
      <c r="J121" s="41">
        <v>3.773861258469787E-5</v>
      </c>
      <c r="K121" s="41">
        <v>5.817769368523622E-5</v>
      </c>
      <c r="L121" s="41">
        <v>1.1396844224045516E-5</v>
      </c>
      <c r="M121" s="41">
        <v>0.0010339531139170934</v>
      </c>
      <c r="N121" s="41">
        <v>1.2648946033940591E-5</v>
      </c>
      <c r="O121" s="41">
        <v>8.074232414048657E-6</v>
      </c>
      <c r="P121" s="41">
        <v>2.126291030554562E-4</v>
      </c>
      <c r="Q121" s="41">
        <v>4.161137462031214E-4</v>
      </c>
      <c r="R121" s="41">
        <v>3.8273721571297024E-4</v>
      </c>
      <c r="S121" s="41">
        <v>6.252552812301682E-4</v>
      </c>
      <c r="T121" s="41">
        <v>0.036677947473111205</v>
      </c>
      <c r="U121" s="41">
        <v>3.77328326195493E-4</v>
      </c>
      <c r="V121" s="41">
        <v>6.034669844633486E-4</v>
      </c>
      <c r="W121" s="41">
        <v>3.9888398585235846E-4</v>
      </c>
      <c r="X121" s="41">
        <v>3.4789642282038736E-4</v>
      </c>
      <c r="Y121" s="41">
        <v>4.7269826617951584E-4</v>
      </c>
      <c r="Z121" s="41">
        <v>0.03284023470945642</v>
      </c>
      <c r="AA121" s="41">
        <v>0.005960373615334196</v>
      </c>
      <c r="AB121" s="41">
        <v>4.613271069129367E-4</v>
      </c>
      <c r="AE121" s="41">
        <v>18.0</v>
      </c>
      <c r="AF121" s="41">
        <v>0.0</v>
      </c>
      <c r="AG121" s="41">
        <v>0.0</v>
      </c>
      <c r="AH121" s="41">
        <v>0.0</v>
      </c>
      <c r="AI121" s="41">
        <v>0.0</v>
      </c>
      <c r="AJ121" s="41">
        <v>0.0</v>
      </c>
      <c r="AK121" s="41">
        <v>0.0</v>
      </c>
      <c r="AL121" s="41">
        <v>0.0</v>
      </c>
      <c r="AM121" s="41">
        <v>0.0</v>
      </c>
      <c r="AN121" s="41">
        <v>0.0</v>
      </c>
      <c r="AO121" s="41">
        <v>0.0</v>
      </c>
      <c r="AP121" s="41">
        <v>0.0</v>
      </c>
      <c r="AQ121" s="41">
        <v>0.0</v>
      </c>
      <c r="AR121" s="41">
        <v>0.0</v>
      </c>
      <c r="AS121" s="41">
        <v>0.0</v>
      </c>
      <c r="AT121" s="41">
        <v>0.0</v>
      </c>
      <c r="AU121" s="41">
        <v>0.0</v>
      </c>
      <c r="AV121" s="41">
        <v>0.0</v>
      </c>
      <c r="AW121" s="41">
        <f>T$64</f>
        <v>0</v>
      </c>
      <c r="AX121" s="41">
        <v>0.0</v>
      </c>
      <c r="AY121" s="41">
        <v>0.0</v>
      </c>
      <c r="AZ121" s="41">
        <v>0.0</v>
      </c>
      <c r="BA121" s="41">
        <v>0.0</v>
      </c>
      <c r="BB121" s="41">
        <v>0.0</v>
      </c>
      <c r="BC121" s="41">
        <v>0.0</v>
      </c>
      <c r="BD121" s="41">
        <v>0.0</v>
      </c>
      <c r="BE121" s="41">
        <v>0.0</v>
      </c>
    </row>
    <row r="122" ht="15.75" customHeight="1">
      <c r="B122" s="41">
        <v>19.0</v>
      </c>
      <c r="C122" s="41">
        <v>0.0049568186816487305</v>
      </c>
      <c r="D122" s="41">
        <v>0.0016784607988609567</v>
      </c>
      <c r="E122" s="41">
        <v>0.018764424457045015</v>
      </c>
      <c r="F122" s="41">
        <v>8.448179710472014E-4</v>
      </c>
      <c r="G122" s="41">
        <v>4.0003865037811846E-4</v>
      </c>
      <c r="H122" s="41">
        <v>0.04727344628838833</v>
      </c>
      <c r="I122" s="41">
        <v>0.027612326440920976</v>
      </c>
      <c r="J122" s="41">
        <v>0.642642772514117</v>
      </c>
      <c r="K122" s="41">
        <v>0.0049140400772091156</v>
      </c>
      <c r="L122" s="41">
        <v>2.6970133054162756E-4</v>
      </c>
      <c r="M122" s="41">
        <v>4.8234031539888176E-4</v>
      </c>
      <c r="N122" s="41">
        <v>1.2376682673996174E-4</v>
      </c>
      <c r="O122" s="41">
        <v>6.414240186095136E-4</v>
      </c>
      <c r="P122" s="41">
        <v>0.004108888476046893</v>
      </c>
      <c r="Q122" s="41">
        <v>0.004656298881718411</v>
      </c>
      <c r="R122" s="41">
        <v>0.006126275439140416</v>
      </c>
      <c r="S122" s="41">
        <v>0.006815359136863487</v>
      </c>
      <c r="T122" s="41">
        <v>0.0052823083111952045</v>
      </c>
      <c r="U122" s="41">
        <v>0.1172722047928814</v>
      </c>
      <c r="V122" s="41">
        <v>0.05812158242983214</v>
      </c>
      <c r="W122" s="41">
        <v>0.045983849622403886</v>
      </c>
      <c r="X122" s="41">
        <v>0.02035334297068655</v>
      </c>
      <c r="Y122" s="41">
        <v>0.0012192112776631746</v>
      </c>
      <c r="Z122" s="41">
        <v>0.009728944219135382</v>
      </c>
      <c r="AA122" s="41">
        <v>0.010151384266069836</v>
      </c>
      <c r="AB122" s="41">
        <v>0.001530164088992992</v>
      </c>
      <c r="AE122" s="41">
        <v>19.0</v>
      </c>
      <c r="AF122" s="41">
        <v>0.0</v>
      </c>
      <c r="AG122" s="41">
        <v>0.0</v>
      </c>
      <c r="AH122" s="41">
        <v>0.0</v>
      </c>
      <c r="AI122" s="41">
        <v>0.0</v>
      </c>
      <c r="AJ122" s="41">
        <v>0.0</v>
      </c>
      <c r="AK122" s="41">
        <v>0.0</v>
      </c>
      <c r="AL122" s="41">
        <v>0.0</v>
      </c>
      <c r="AM122" s="41">
        <v>0.0</v>
      </c>
      <c r="AN122" s="41">
        <v>0.0</v>
      </c>
      <c r="AO122" s="41">
        <v>0.0</v>
      </c>
      <c r="AP122" s="41">
        <v>0.0</v>
      </c>
      <c r="AQ122" s="41">
        <v>0.0</v>
      </c>
      <c r="AR122" s="41">
        <v>0.0</v>
      </c>
      <c r="AS122" s="41">
        <v>0.0</v>
      </c>
      <c r="AT122" s="41">
        <v>0.0</v>
      </c>
      <c r="AU122" s="41">
        <v>0.0</v>
      </c>
      <c r="AV122" s="41">
        <v>0.0</v>
      </c>
      <c r="AW122" s="41">
        <v>0.0</v>
      </c>
      <c r="AX122" s="41">
        <f>U$64</f>
        <v>0</v>
      </c>
      <c r="AY122" s="41">
        <v>0.0</v>
      </c>
      <c r="AZ122" s="41">
        <v>0.0</v>
      </c>
      <c r="BA122" s="41">
        <v>0.0</v>
      </c>
      <c r="BB122" s="41">
        <v>0.0</v>
      </c>
      <c r="BC122" s="41">
        <v>0.0</v>
      </c>
      <c r="BD122" s="41">
        <v>0.0</v>
      </c>
      <c r="BE122" s="41">
        <v>0.0</v>
      </c>
    </row>
    <row r="123" ht="15.75" customHeight="1">
      <c r="B123" s="41">
        <v>20.0</v>
      </c>
      <c r="C123" s="41">
        <v>0.15249989743534711</v>
      </c>
      <c r="D123" s="41">
        <v>0.02982623644968592</v>
      </c>
      <c r="E123" s="41">
        <v>0.04204023341332074</v>
      </c>
      <c r="F123" s="41">
        <v>0.06401154902126327</v>
      </c>
      <c r="G123" s="41">
        <v>0.009514408279320753</v>
      </c>
      <c r="H123" s="41">
        <v>0.01637639726508956</v>
      </c>
      <c r="I123" s="41">
        <v>0.17530828927850448</v>
      </c>
      <c r="J123" s="41">
        <v>0.01934257138981706</v>
      </c>
      <c r="K123" s="41">
        <v>0.019178678470234488</v>
      </c>
      <c r="L123" s="41">
        <v>0.021220641681716036</v>
      </c>
      <c r="M123" s="41">
        <v>0.007031582266823814</v>
      </c>
      <c r="N123" s="41">
        <v>0.009721205770092773</v>
      </c>
      <c r="O123" s="41">
        <v>0.012306174819985468</v>
      </c>
      <c r="P123" s="41">
        <v>0.07912228860807566</v>
      </c>
      <c r="Q123" s="41">
        <v>0.08638539001207358</v>
      </c>
      <c r="R123" s="41">
        <v>0.07182869095683239</v>
      </c>
      <c r="S123" s="41">
        <v>0.09720568751834055</v>
      </c>
      <c r="T123" s="41">
        <v>0.12523130016735887</v>
      </c>
      <c r="U123" s="41">
        <v>0.12115530554684424</v>
      </c>
      <c r="V123" s="41">
        <v>0.40348025366137164</v>
      </c>
      <c r="W123" s="41">
        <v>0.23082262962825145</v>
      </c>
      <c r="X123" s="41">
        <v>0.09018987912053486</v>
      </c>
      <c r="Y123" s="41">
        <v>0.06934692854968195</v>
      </c>
      <c r="Z123" s="41">
        <v>0.12434015108855252</v>
      </c>
      <c r="AA123" s="41">
        <v>0.1121835321061253</v>
      </c>
      <c r="AB123" s="41">
        <v>0.04301739391619643</v>
      </c>
      <c r="AE123" s="41">
        <v>20.0</v>
      </c>
      <c r="AF123" s="41">
        <v>0.0</v>
      </c>
      <c r="AG123" s="41">
        <v>0.0</v>
      </c>
      <c r="AH123" s="41">
        <v>0.0</v>
      </c>
      <c r="AI123" s="41">
        <v>0.0</v>
      </c>
      <c r="AJ123" s="41">
        <v>0.0</v>
      </c>
      <c r="AK123" s="41">
        <v>0.0</v>
      </c>
      <c r="AL123" s="41">
        <v>0.0</v>
      </c>
      <c r="AM123" s="41">
        <v>0.0</v>
      </c>
      <c r="AN123" s="41">
        <v>0.0</v>
      </c>
      <c r="AO123" s="41">
        <v>0.0</v>
      </c>
      <c r="AP123" s="41">
        <v>0.0</v>
      </c>
      <c r="AQ123" s="41">
        <v>0.0</v>
      </c>
      <c r="AR123" s="41">
        <v>0.0</v>
      </c>
      <c r="AS123" s="41">
        <v>0.0</v>
      </c>
      <c r="AT123" s="41">
        <v>0.0</v>
      </c>
      <c r="AU123" s="41">
        <v>0.0</v>
      </c>
      <c r="AV123" s="41">
        <v>0.0</v>
      </c>
      <c r="AW123" s="41">
        <v>0.0</v>
      </c>
      <c r="AX123" s="41">
        <v>0.0</v>
      </c>
      <c r="AY123" s="41">
        <f>V$64</f>
        <v>0</v>
      </c>
      <c r="AZ123" s="41">
        <v>0.0</v>
      </c>
      <c r="BA123" s="41">
        <v>0.0</v>
      </c>
      <c r="BB123" s="41">
        <v>0.0</v>
      </c>
      <c r="BC123" s="41">
        <v>0.0</v>
      </c>
      <c r="BD123" s="41">
        <v>0.0</v>
      </c>
      <c r="BE123" s="41">
        <v>0.0</v>
      </c>
    </row>
    <row r="124" ht="15.75" customHeight="1">
      <c r="B124" s="41">
        <v>21.0</v>
      </c>
      <c r="C124" s="41">
        <v>0.0030004022763334766</v>
      </c>
      <c r="D124" s="41">
        <v>3.5179516467436326E-5</v>
      </c>
      <c r="E124" s="41">
        <v>3.8666553741719875E-4</v>
      </c>
      <c r="F124" s="41">
        <v>5.416074758797199E-5</v>
      </c>
      <c r="G124" s="41">
        <v>5.5214284119056505E-5</v>
      </c>
      <c r="H124" s="41">
        <v>6.642790544241501E-5</v>
      </c>
      <c r="I124" s="41">
        <v>4.717920312024202E-4</v>
      </c>
      <c r="J124" s="41">
        <v>3.4543817870369984E-4</v>
      </c>
      <c r="K124" s="41">
        <v>2.9251003949658924E-5</v>
      </c>
      <c r="L124" s="41">
        <v>2.70784436423204E-5</v>
      </c>
      <c r="M124" s="41">
        <v>5.679503977120073E-5</v>
      </c>
      <c r="N124" s="41">
        <v>1.0734262076776594E-5</v>
      </c>
      <c r="O124" s="41">
        <v>2.18970692906687E-5</v>
      </c>
      <c r="P124" s="41">
        <v>0.06431873415513925</v>
      </c>
      <c r="Q124" s="41">
        <v>6.012000911611824E-4</v>
      </c>
      <c r="R124" s="41">
        <v>0.002922547605936724</v>
      </c>
      <c r="S124" s="41">
        <v>0.0010916131141252064</v>
      </c>
      <c r="T124" s="41">
        <v>4.5161558225183897E-4</v>
      </c>
      <c r="U124" s="41">
        <v>0.0030942837283794134</v>
      </c>
      <c r="V124" s="41">
        <v>0.0013556646195658992</v>
      </c>
      <c r="W124" s="41">
        <v>0.156832499622298</v>
      </c>
      <c r="X124" s="41">
        <v>4.3015096966879157E-4</v>
      </c>
      <c r="Y124" s="41">
        <v>3.837593512705924E-4</v>
      </c>
      <c r="Z124" s="41">
        <v>4.069478294238067E-4</v>
      </c>
      <c r="AA124" s="41">
        <v>9.868896358171246E-4</v>
      </c>
      <c r="AB124" s="41">
        <v>2.979135395789855E-4</v>
      </c>
      <c r="AE124" s="41">
        <v>21.0</v>
      </c>
      <c r="AF124" s="41">
        <v>0.0</v>
      </c>
      <c r="AG124" s="41">
        <v>0.0</v>
      </c>
      <c r="AH124" s="41">
        <v>0.0</v>
      </c>
      <c r="AI124" s="41">
        <v>0.0</v>
      </c>
      <c r="AJ124" s="41">
        <v>0.0</v>
      </c>
      <c r="AK124" s="41">
        <v>0.0</v>
      </c>
      <c r="AL124" s="41">
        <v>0.0</v>
      </c>
      <c r="AM124" s="41">
        <v>0.0</v>
      </c>
      <c r="AN124" s="41">
        <v>0.0</v>
      </c>
      <c r="AO124" s="41">
        <v>0.0</v>
      </c>
      <c r="AP124" s="41">
        <v>0.0</v>
      </c>
      <c r="AQ124" s="41">
        <v>0.0</v>
      </c>
      <c r="AR124" s="41">
        <v>0.0</v>
      </c>
      <c r="AS124" s="41">
        <v>0.0</v>
      </c>
      <c r="AT124" s="41">
        <v>0.0</v>
      </c>
      <c r="AU124" s="41">
        <v>0.0</v>
      </c>
      <c r="AV124" s="41">
        <v>0.0</v>
      </c>
      <c r="AW124" s="41">
        <v>0.0</v>
      </c>
      <c r="AX124" s="41">
        <v>0.0</v>
      </c>
      <c r="AY124" s="41">
        <v>0.0</v>
      </c>
      <c r="AZ124" s="41">
        <f>W$64</f>
        <v>0</v>
      </c>
      <c r="BA124" s="41">
        <v>0.0</v>
      </c>
      <c r="BB124" s="41">
        <v>0.0</v>
      </c>
      <c r="BC124" s="41">
        <v>0.0</v>
      </c>
      <c r="BD124" s="41">
        <v>0.0</v>
      </c>
      <c r="BE124" s="41">
        <v>0.0</v>
      </c>
    </row>
    <row r="125" ht="15.75" customHeight="1">
      <c r="B125" s="41">
        <v>22.0</v>
      </c>
      <c r="C125" s="41">
        <v>0.0093183151798645</v>
      </c>
      <c r="D125" s="41">
        <v>0.025084072271553858</v>
      </c>
      <c r="E125" s="41">
        <v>0.021634891805507452</v>
      </c>
      <c r="F125" s="41">
        <v>0.08535530430573855</v>
      </c>
      <c r="G125" s="41">
        <v>0.010584634974260827</v>
      </c>
      <c r="H125" s="41">
        <v>0.025623093188770717</v>
      </c>
      <c r="I125" s="41">
        <v>0.03550638096422319</v>
      </c>
      <c r="J125" s="41">
        <v>0.08854859864081319</v>
      </c>
      <c r="K125" s="41">
        <v>0.04160223988820059</v>
      </c>
      <c r="L125" s="41">
        <v>0.0065232648801419255</v>
      </c>
      <c r="M125" s="41">
        <v>0.012767671508427844</v>
      </c>
      <c r="N125" s="41">
        <v>0.01313950471742556</v>
      </c>
      <c r="O125" s="41">
        <v>0.005484299924253309</v>
      </c>
      <c r="P125" s="41">
        <v>0.06697580072782638</v>
      </c>
      <c r="Q125" s="41">
        <v>0.1265250887788657</v>
      </c>
      <c r="R125" s="41">
        <v>0.11551594431194444</v>
      </c>
      <c r="S125" s="41">
        <v>0.13230786729146515</v>
      </c>
      <c r="T125" s="41">
        <v>0.09364600636065894</v>
      </c>
      <c r="U125" s="41">
        <v>0.08615636230417031</v>
      </c>
      <c r="V125" s="41">
        <v>0.10867438657984699</v>
      </c>
      <c r="W125" s="41">
        <v>0.20433592441620177</v>
      </c>
      <c r="X125" s="41">
        <v>0.16523935450762303</v>
      </c>
      <c r="Y125" s="41">
        <v>0.062036559316842294</v>
      </c>
      <c r="Z125" s="41">
        <v>0.09406529708460958</v>
      </c>
      <c r="AA125" s="41">
        <v>0.09221967695292058</v>
      </c>
      <c r="AB125" s="41">
        <v>0.10999683153857656</v>
      </c>
      <c r="AE125" s="41">
        <v>22.0</v>
      </c>
      <c r="AF125" s="41">
        <v>0.0</v>
      </c>
      <c r="AG125" s="41">
        <v>0.0</v>
      </c>
      <c r="AH125" s="41">
        <v>0.0</v>
      </c>
      <c r="AI125" s="41">
        <v>0.0</v>
      </c>
      <c r="AJ125" s="41">
        <v>0.0</v>
      </c>
      <c r="AK125" s="41">
        <v>0.0</v>
      </c>
      <c r="AL125" s="41">
        <v>0.0</v>
      </c>
      <c r="AM125" s="41">
        <v>0.0</v>
      </c>
      <c r="AN125" s="41">
        <v>0.0</v>
      </c>
      <c r="AO125" s="41">
        <v>0.0</v>
      </c>
      <c r="AP125" s="41">
        <v>0.0</v>
      </c>
      <c r="AQ125" s="41">
        <v>0.0</v>
      </c>
      <c r="AR125" s="41">
        <v>0.0</v>
      </c>
      <c r="AS125" s="41">
        <v>0.0</v>
      </c>
      <c r="AT125" s="41">
        <v>0.0</v>
      </c>
      <c r="AU125" s="41">
        <v>0.0</v>
      </c>
      <c r="AV125" s="41">
        <v>0.0</v>
      </c>
      <c r="AW125" s="41">
        <v>0.0</v>
      </c>
      <c r="AX125" s="41">
        <v>0.0</v>
      </c>
      <c r="AY125" s="41">
        <v>0.0</v>
      </c>
      <c r="AZ125" s="41">
        <v>0.0</v>
      </c>
      <c r="BA125" s="41">
        <f>X$64</f>
        <v>0</v>
      </c>
      <c r="BB125" s="41">
        <v>0.0</v>
      </c>
      <c r="BC125" s="41">
        <v>0.0</v>
      </c>
      <c r="BD125" s="41">
        <v>0.0</v>
      </c>
      <c r="BE125" s="41">
        <v>0.0</v>
      </c>
    </row>
    <row r="126" ht="15.75" customHeight="1">
      <c r="B126" s="41">
        <v>23.0</v>
      </c>
      <c r="C126" s="41">
        <v>0.005089102420018428</v>
      </c>
      <c r="D126" s="41">
        <v>0.011789690463267518</v>
      </c>
      <c r="E126" s="41">
        <v>0.00574662150661079</v>
      </c>
      <c r="F126" s="41">
        <v>0.061624395750773026</v>
      </c>
      <c r="G126" s="41">
        <v>0.0036722490484658193</v>
      </c>
      <c r="H126" s="41">
        <v>0.004668152300330861</v>
      </c>
      <c r="I126" s="41">
        <v>0.017455129877664798</v>
      </c>
      <c r="J126" s="41">
        <v>0.013323016632054381</v>
      </c>
      <c r="K126" s="41">
        <v>0.014365585900247084</v>
      </c>
      <c r="L126" s="41">
        <v>0.026384357922673587</v>
      </c>
      <c r="M126" s="41">
        <v>0.0037276818571432744</v>
      </c>
      <c r="N126" s="41">
        <v>0.0021157085860355716</v>
      </c>
      <c r="O126" s="41">
        <v>0.004890130009762322</v>
      </c>
      <c r="P126" s="41">
        <v>0.044326254785431736</v>
      </c>
      <c r="Q126" s="41">
        <v>0.06291693192977814</v>
      </c>
      <c r="R126" s="41">
        <v>0.04681823703715532</v>
      </c>
      <c r="S126" s="41">
        <v>0.04960956420608814</v>
      </c>
      <c r="T126" s="41">
        <v>0.17265692033009122</v>
      </c>
      <c r="U126" s="41">
        <v>0.080626176207801</v>
      </c>
      <c r="V126" s="41">
        <v>0.07466945558944317</v>
      </c>
      <c r="W126" s="41">
        <v>0.09112488407344436</v>
      </c>
      <c r="X126" s="41">
        <v>0.10823106805295889</v>
      </c>
      <c r="Y126" s="41">
        <v>0.21490182114680248</v>
      </c>
      <c r="Z126" s="41">
        <v>0.1513882394908021</v>
      </c>
      <c r="AA126" s="41">
        <v>0.12094887032650489</v>
      </c>
      <c r="AB126" s="41">
        <v>0.11153192403996168</v>
      </c>
      <c r="AE126" s="41">
        <v>23.0</v>
      </c>
      <c r="AF126" s="41">
        <v>0.0</v>
      </c>
      <c r="AG126" s="41">
        <v>0.0</v>
      </c>
      <c r="AH126" s="41">
        <v>0.0</v>
      </c>
      <c r="AI126" s="41">
        <v>0.0</v>
      </c>
      <c r="AJ126" s="41">
        <v>0.0</v>
      </c>
      <c r="AK126" s="41">
        <v>0.0</v>
      </c>
      <c r="AL126" s="41">
        <v>0.0</v>
      </c>
      <c r="AM126" s="41">
        <v>0.0</v>
      </c>
      <c r="AN126" s="41">
        <v>0.0</v>
      </c>
      <c r="AO126" s="41">
        <v>0.0</v>
      </c>
      <c r="AP126" s="41">
        <v>0.0</v>
      </c>
      <c r="AQ126" s="41">
        <v>0.0</v>
      </c>
      <c r="AR126" s="41">
        <v>0.0</v>
      </c>
      <c r="AS126" s="41">
        <v>0.0</v>
      </c>
      <c r="AT126" s="41">
        <v>0.0</v>
      </c>
      <c r="AU126" s="41">
        <v>0.0</v>
      </c>
      <c r="AV126" s="41">
        <v>0.0</v>
      </c>
      <c r="AW126" s="41">
        <v>0.0</v>
      </c>
      <c r="AX126" s="41">
        <v>0.0</v>
      </c>
      <c r="AY126" s="41">
        <v>0.0</v>
      </c>
      <c r="AZ126" s="41">
        <v>0.0</v>
      </c>
      <c r="BA126" s="41">
        <v>0.0</v>
      </c>
      <c r="BB126" s="41">
        <f>Y$64</f>
        <v>0</v>
      </c>
      <c r="BC126" s="41">
        <v>0.0</v>
      </c>
      <c r="BD126" s="41">
        <v>0.0</v>
      </c>
      <c r="BE126" s="41">
        <v>0.0</v>
      </c>
    </row>
    <row r="127" ht="15.75" customHeight="1">
      <c r="B127" s="41">
        <v>24.0</v>
      </c>
      <c r="C127" s="41">
        <v>2.0532503700517842E-5</v>
      </c>
      <c r="D127" s="41">
        <v>1.0273339334358885E-4</v>
      </c>
      <c r="E127" s="41">
        <v>2.649944239950989E-5</v>
      </c>
      <c r="F127" s="41">
        <v>1.6711880059209363E-4</v>
      </c>
      <c r="G127" s="41">
        <v>0.002351569584174145</v>
      </c>
      <c r="H127" s="41">
        <v>1.597366133626013E-5</v>
      </c>
      <c r="I127" s="41">
        <v>6.581049234107833E-4</v>
      </c>
      <c r="J127" s="41">
        <v>8.990833769686538E-5</v>
      </c>
      <c r="K127" s="41">
        <v>1.719238050492316E-4</v>
      </c>
      <c r="L127" s="41">
        <v>1.882006021715346E-5</v>
      </c>
      <c r="M127" s="41">
        <v>0.0032716828318732944</v>
      </c>
      <c r="N127" s="41">
        <v>3.126341117802467E-5</v>
      </c>
      <c r="O127" s="41">
        <v>1.667369123496527E-5</v>
      </c>
      <c r="P127" s="41">
        <v>6.003666240054762E-4</v>
      </c>
      <c r="Q127" s="41">
        <v>0.001208493349817258</v>
      </c>
      <c r="R127" s="41">
        <v>0.0014185039790351852</v>
      </c>
      <c r="S127" s="41">
        <v>0.0018879045182391512</v>
      </c>
      <c r="T127" s="41">
        <v>0.07727175275683772</v>
      </c>
      <c r="U127" s="41">
        <v>0.0013888362014424073</v>
      </c>
      <c r="V127" s="41">
        <v>0.0013182457366657028</v>
      </c>
      <c r="W127" s="41">
        <v>9.742685295666833E-4</v>
      </c>
      <c r="X127" s="41">
        <v>0.001007307371017391</v>
      </c>
      <c r="Y127" s="41">
        <v>0.001391852636277827</v>
      </c>
      <c r="Z127" s="41">
        <v>0.08362266345113491</v>
      </c>
      <c r="AA127" s="41">
        <v>0.011577635354793255</v>
      </c>
      <c r="AB127" s="41">
        <v>0.0017536683972054152</v>
      </c>
      <c r="AE127" s="41">
        <v>24.0</v>
      </c>
      <c r="AF127" s="41">
        <v>0.0</v>
      </c>
      <c r="AG127" s="41">
        <v>0.0</v>
      </c>
      <c r="AH127" s="41">
        <v>0.0</v>
      </c>
      <c r="AI127" s="41">
        <v>0.0</v>
      </c>
      <c r="AJ127" s="41">
        <v>0.0</v>
      </c>
      <c r="AK127" s="41">
        <v>0.0</v>
      </c>
      <c r="AL127" s="41">
        <v>0.0</v>
      </c>
      <c r="AM127" s="41">
        <v>0.0</v>
      </c>
      <c r="AN127" s="41">
        <v>0.0</v>
      </c>
      <c r="AO127" s="41">
        <v>0.0</v>
      </c>
      <c r="AP127" s="41">
        <v>0.0</v>
      </c>
      <c r="AQ127" s="41">
        <v>0.0</v>
      </c>
      <c r="AR127" s="41">
        <v>0.0</v>
      </c>
      <c r="AS127" s="41">
        <v>0.0</v>
      </c>
      <c r="AT127" s="41">
        <v>0.0</v>
      </c>
      <c r="AU127" s="41">
        <v>0.0</v>
      </c>
      <c r="AV127" s="41">
        <v>0.0</v>
      </c>
      <c r="AW127" s="41">
        <v>0.0</v>
      </c>
      <c r="AX127" s="41">
        <v>0.0</v>
      </c>
      <c r="AY127" s="41">
        <v>0.0</v>
      </c>
      <c r="AZ127" s="41">
        <v>0.0</v>
      </c>
      <c r="BA127" s="41">
        <v>0.0</v>
      </c>
      <c r="BB127" s="41">
        <v>0.0</v>
      </c>
      <c r="BC127" s="41">
        <f>Z$71</f>
        <v>0</v>
      </c>
      <c r="BD127" s="41">
        <v>0.0</v>
      </c>
      <c r="BE127" s="41">
        <v>0.0</v>
      </c>
    </row>
    <row r="128" ht="15.75" customHeight="1">
      <c r="B128" s="41">
        <v>25.0</v>
      </c>
      <c r="C128" s="41">
        <v>7.233435614588116E-6</v>
      </c>
      <c r="D128" s="41">
        <v>4.2415704606588434E-5</v>
      </c>
      <c r="E128" s="41">
        <v>1.3451706374475157E-5</v>
      </c>
      <c r="F128" s="41">
        <v>7.935522742043943E-5</v>
      </c>
      <c r="G128" s="41">
        <v>2.571060656871356E-4</v>
      </c>
      <c r="H128" s="41">
        <v>2.0435490785542486E-5</v>
      </c>
      <c r="I128" s="41">
        <v>6.103435790662812E-5</v>
      </c>
      <c r="J128" s="41">
        <v>4.990078884131465E-5</v>
      </c>
      <c r="K128" s="41">
        <v>1.4189285016768876E-4</v>
      </c>
      <c r="L128" s="41">
        <v>1.1474084818448284E-5</v>
      </c>
      <c r="M128" s="41">
        <v>2.852436981412241E-4</v>
      </c>
      <c r="N128" s="41">
        <v>4.57730236918823E-6</v>
      </c>
      <c r="O128" s="41">
        <v>8.487994679507018E-6</v>
      </c>
      <c r="P128" s="41">
        <v>0.0012829133658348157</v>
      </c>
      <c r="Q128" s="41">
        <v>8.116882429689645E-4</v>
      </c>
      <c r="R128" s="41">
        <v>5.962029268169204E-4</v>
      </c>
      <c r="S128" s="41">
        <v>6.618171106727962E-4</v>
      </c>
      <c r="T128" s="41">
        <v>0.00868084517877547</v>
      </c>
      <c r="U128" s="41">
        <v>7.496647544259989E-4</v>
      </c>
      <c r="V128" s="41">
        <v>5.426020490292357E-4</v>
      </c>
      <c r="W128" s="41">
        <v>0.0014794605461831076</v>
      </c>
      <c r="X128" s="41">
        <v>5.683555212421853E-4</v>
      </c>
      <c r="Y128" s="41">
        <v>7.70762999264894E-4</v>
      </c>
      <c r="Z128" s="41">
        <v>0.007850969943833257</v>
      </c>
      <c r="AA128" s="41">
        <v>0.04533659896287335</v>
      </c>
      <c r="AB128" s="41">
        <v>0.0012505782484606128</v>
      </c>
      <c r="AE128" s="41">
        <v>25.0</v>
      </c>
      <c r="AF128" s="41">
        <v>0.0</v>
      </c>
      <c r="AG128" s="41">
        <v>0.0</v>
      </c>
      <c r="AH128" s="41">
        <v>0.0</v>
      </c>
      <c r="AI128" s="41">
        <v>0.0</v>
      </c>
      <c r="AJ128" s="41">
        <v>0.0</v>
      </c>
      <c r="AK128" s="41">
        <v>0.0</v>
      </c>
      <c r="AL128" s="41">
        <v>0.0</v>
      </c>
      <c r="AM128" s="41">
        <v>0.0</v>
      </c>
      <c r="AN128" s="41">
        <v>0.0</v>
      </c>
      <c r="AO128" s="41">
        <v>0.0</v>
      </c>
      <c r="AP128" s="41">
        <v>0.0</v>
      </c>
      <c r="AQ128" s="41">
        <v>0.0</v>
      </c>
      <c r="AR128" s="41">
        <v>0.0</v>
      </c>
      <c r="AS128" s="41">
        <v>0.0</v>
      </c>
      <c r="AT128" s="41">
        <v>0.0</v>
      </c>
      <c r="AU128" s="41">
        <v>0.0</v>
      </c>
      <c r="AV128" s="41">
        <v>0.0</v>
      </c>
      <c r="AW128" s="41">
        <v>0.0</v>
      </c>
      <c r="AX128" s="41">
        <v>0.0</v>
      </c>
      <c r="AY128" s="41">
        <v>0.0</v>
      </c>
      <c r="AZ128" s="41">
        <v>0.0</v>
      </c>
      <c r="BA128" s="41">
        <v>0.0</v>
      </c>
      <c r="BB128" s="41">
        <v>0.0</v>
      </c>
      <c r="BC128" s="41">
        <v>0.0</v>
      </c>
      <c r="BD128" s="41">
        <f>AA$71</f>
        <v>0</v>
      </c>
      <c r="BE128" s="41">
        <v>0.0</v>
      </c>
    </row>
    <row r="129" ht="15.75" customHeight="1">
      <c r="B129" s="41">
        <v>26.0</v>
      </c>
      <c r="C129" s="41">
        <v>4.8461245969920176E-4</v>
      </c>
      <c r="D129" s="41">
        <v>0.0011349071260351247</v>
      </c>
      <c r="E129" s="41">
        <v>6.287997182236368E-4</v>
      </c>
      <c r="F129" s="41">
        <v>0.0017612303183167182</v>
      </c>
      <c r="G129" s="41">
        <v>5.826186503248799E-4</v>
      </c>
      <c r="H129" s="41">
        <v>3.760117190813501E-4</v>
      </c>
      <c r="I129" s="41">
        <v>0.0015706567036325749</v>
      </c>
      <c r="J129" s="41">
        <v>6.703853704648995E-4</v>
      </c>
      <c r="K129" s="41">
        <v>0.008922758630177254</v>
      </c>
      <c r="L129" s="41">
        <v>0.02547062673890843</v>
      </c>
      <c r="M129" s="41">
        <v>5.923028946901018E-4</v>
      </c>
      <c r="N129" s="41">
        <v>7.442409951909313E-4</v>
      </c>
      <c r="O129" s="41">
        <v>0.00249487409903046</v>
      </c>
      <c r="P129" s="41">
        <v>0.0022148683435329027</v>
      </c>
      <c r="Q129" s="41">
        <v>0.0032568238716704197</v>
      </c>
      <c r="R129" s="41">
        <v>0.0025683701261719487</v>
      </c>
      <c r="S129" s="41">
        <v>0.004898568761764132</v>
      </c>
      <c r="T129" s="41">
        <v>0.005289193914590344</v>
      </c>
      <c r="U129" s="41">
        <v>0.004275054894788701</v>
      </c>
      <c r="V129" s="41">
        <v>0.005263945279461918</v>
      </c>
      <c r="W129" s="41">
        <v>0.005708123557666072</v>
      </c>
      <c r="X129" s="41">
        <v>0.010121200539365152</v>
      </c>
      <c r="Y129" s="41">
        <v>0.013910517913931754</v>
      </c>
      <c r="Z129" s="41">
        <v>0.00681468534993723</v>
      </c>
      <c r="AA129" s="41">
        <v>0.004147729130332112</v>
      </c>
      <c r="AB129" s="41">
        <v>0.009326369149225149</v>
      </c>
      <c r="AE129" s="41">
        <v>26.0</v>
      </c>
      <c r="AF129" s="41">
        <v>0.0</v>
      </c>
      <c r="AG129" s="41">
        <v>0.0</v>
      </c>
      <c r="AH129" s="41">
        <v>0.0</v>
      </c>
      <c r="AI129" s="41">
        <v>0.0</v>
      </c>
      <c r="AJ129" s="41">
        <v>0.0</v>
      </c>
      <c r="AK129" s="41">
        <v>0.0</v>
      </c>
      <c r="AL129" s="41">
        <v>0.0</v>
      </c>
      <c r="AM129" s="41">
        <v>0.0</v>
      </c>
      <c r="AN129" s="41">
        <v>0.0</v>
      </c>
      <c r="AO129" s="41">
        <v>0.0</v>
      </c>
      <c r="AP129" s="41">
        <v>0.0</v>
      </c>
      <c r="AQ129" s="41">
        <v>0.0</v>
      </c>
      <c r="AR129" s="41">
        <v>0.0</v>
      </c>
      <c r="AS129" s="41">
        <v>0.0</v>
      </c>
      <c r="AT129" s="41">
        <v>0.0</v>
      </c>
      <c r="AU129" s="41">
        <v>0.0</v>
      </c>
      <c r="AV129" s="41">
        <v>0.0</v>
      </c>
      <c r="AW129" s="41">
        <v>0.0</v>
      </c>
      <c r="AX129" s="41">
        <v>0.0</v>
      </c>
      <c r="AY129" s="41">
        <v>0.0</v>
      </c>
      <c r="AZ129" s="41">
        <v>0.0</v>
      </c>
      <c r="BA129" s="41">
        <v>0.0</v>
      </c>
      <c r="BB129" s="41">
        <v>0.0</v>
      </c>
      <c r="BC129" s="41">
        <v>0.0</v>
      </c>
      <c r="BD129" s="41">
        <v>0.0</v>
      </c>
      <c r="BE129" s="41">
        <f>AB$71</f>
        <v>0</v>
      </c>
    </row>
    <row r="130" ht="15.75" customHeight="1"/>
    <row r="131" ht="15.75" customHeight="1">
      <c r="B131" s="39" t="s">
        <v>55</v>
      </c>
      <c r="AE131" s="39" t="s">
        <v>56</v>
      </c>
    </row>
    <row r="132" ht="15.75" customHeight="1">
      <c r="B132" s="40"/>
      <c r="C132" s="41">
        <v>1.0</v>
      </c>
      <c r="D132" s="41">
        <v>2.0</v>
      </c>
      <c r="E132" s="41">
        <v>3.0</v>
      </c>
      <c r="F132" s="41">
        <v>4.0</v>
      </c>
      <c r="G132" s="41">
        <v>5.0</v>
      </c>
      <c r="H132" s="41">
        <v>6.0</v>
      </c>
      <c r="I132" s="41">
        <v>7.0</v>
      </c>
      <c r="J132" s="41">
        <v>8.0</v>
      </c>
      <c r="K132" s="41">
        <v>9.0</v>
      </c>
      <c r="L132" s="41">
        <v>10.0</v>
      </c>
      <c r="M132" s="41">
        <v>11.0</v>
      </c>
      <c r="N132" s="41">
        <v>12.0</v>
      </c>
      <c r="O132" s="41">
        <v>13.0</v>
      </c>
      <c r="P132" s="41">
        <v>14.0</v>
      </c>
      <c r="Q132" s="41">
        <v>15.0</v>
      </c>
      <c r="R132" s="41">
        <v>16.0</v>
      </c>
      <c r="S132" s="41">
        <v>17.0</v>
      </c>
      <c r="T132" s="41">
        <v>18.0</v>
      </c>
      <c r="U132" s="41">
        <v>19.0</v>
      </c>
      <c r="V132" s="41">
        <v>20.0</v>
      </c>
      <c r="W132" s="41">
        <v>21.0</v>
      </c>
      <c r="X132" s="41">
        <v>22.0</v>
      </c>
      <c r="Y132" s="41">
        <v>23.0</v>
      </c>
      <c r="Z132" s="41">
        <v>24.0</v>
      </c>
      <c r="AA132" s="41">
        <v>25.0</v>
      </c>
      <c r="AB132" s="41">
        <v>26.0</v>
      </c>
      <c r="AE132" s="40"/>
      <c r="AF132" s="41">
        <v>1.0</v>
      </c>
      <c r="AG132" s="41">
        <v>2.0</v>
      </c>
      <c r="AH132" s="41">
        <v>3.0</v>
      </c>
      <c r="AI132" s="41">
        <v>4.0</v>
      </c>
      <c r="AJ132" s="41">
        <v>5.0</v>
      </c>
      <c r="AK132" s="41">
        <v>6.0</v>
      </c>
      <c r="AL132" s="41">
        <v>7.0</v>
      </c>
      <c r="AM132" s="41">
        <v>8.0</v>
      </c>
      <c r="AN132" s="41">
        <v>9.0</v>
      </c>
      <c r="AO132" s="41">
        <v>10.0</v>
      </c>
      <c r="AP132" s="41">
        <v>11.0</v>
      </c>
      <c r="AQ132" s="41">
        <v>12.0</v>
      </c>
      <c r="AR132" s="41">
        <v>13.0</v>
      </c>
      <c r="AS132" s="41">
        <v>14.0</v>
      </c>
      <c r="AT132" s="41">
        <v>15.0</v>
      </c>
      <c r="AU132" s="41">
        <v>16.0</v>
      </c>
      <c r="AV132" s="41">
        <v>17.0</v>
      </c>
      <c r="AW132" s="41">
        <v>18.0</v>
      </c>
      <c r="AX132" s="41">
        <v>19.0</v>
      </c>
      <c r="AY132" s="41">
        <v>20.0</v>
      </c>
      <c r="AZ132" s="41">
        <v>21.0</v>
      </c>
      <c r="BA132" s="41">
        <v>22.0</v>
      </c>
      <c r="BB132" s="41">
        <v>23.0</v>
      </c>
      <c r="BC132" s="41">
        <v>24.0</v>
      </c>
      <c r="BD132" s="41">
        <v>25.0</v>
      </c>
      <c r="BE132" s="41">
        <v>26.0</v>
      </c>
    </row>
    <row r="133" ht="15.75" customHeight="1">
      <c r="B133" s="41">
        <v>1.0</v>
      </c>
      <c r="C133" s="41">
        <v>1.0</v>
      </c>
      <c r="D133" s="41">
        <v>0.0</v>
      </c>
      <c r="E133" s="41">
        <v>0.0</v>
      </c>
      <c r="F133" s="41">
        <v>0.0</v>
      </c>
      <c r="G133" s="41">
        <v>0.0</v>
      </c>
      <c r="H133" s="41">
        <v>0.0</v>
      </c>
      <c r="I133" s="41">
        <v>0.0</v>
      </c>
      <c r="J133" s="41">
        <v>0.0</v>
      </c>
      <c r="K133" s="41">
        <v>0.0</v>
      </c>
      <c r="L133" s="41">
        <v>0.0</v>
      </c>
      <c r="M133" s="41">
        <v>0.0</v>
      </c>
      <c r="N133" s="41">
        <v>0.0</v>
      </c>
      <c r="O133" s="41">
        <v>0.0</v>
      </c>
      <c r="P133" s="41">
        <v>0.0</v>
      </c>
      <c r="Q133" s="41">
        <v>0.0</v>
      </c>
      <c r="R133" s="41">
        <v>0.0</v>
      </c>
      <c r="S133" s="41">
        <v>0.0</v>
      </c>
      <c r="T133" s="41">
        <v>0.0</v>
      </c>
      <c r="U133" s="41">
        <v>0.0</v>
      </c>
      <c r="V133" s="41">
        <v>0.0</v>
      </c>
      <c r="W133" s="41">
        <v>0.0</v>
      </c>
      <c r="X133" s="41">
        <v>0.0</v>
      </c>
      <c r="Y133" s="41">
        <v>0.0</v>
      </c>
      <c r="Z133" s="41">
        <v>0.0</v>
      </c>
      <c r="AA133" s="41">
        <v>0.0</v>
      </c>
      <c r="AB133" s="41">
        <v>0.0</v>
      </c>
      <c r="AE133" s="41">
        <v>1.0</v>
      </c>
      <c r="AF133" s="41">
        <f>C$65</f>
        <v>0</v>
      </c>
      <c r="AG133" s="41">
        <v>0.0</v>
      </c>
      <c r="AH133" s="41">
        <v>0.0</v>
      </c>
      <c r="AI133" s="41">
        <v>0.0</v>
      </c>
      <c r="AJ133" s="41">
        <v>0.0</v>
      </c>
      <c r="AK133" s="41">
        <v>0.0</v>
      </c>
      <c r="AL133" s="41">
        <v>0.0</v>
      </c>
      <c r="AM133" s="41">
        <v>0.0</v>
      </c>
      <c r="AN133" s="41">
        <v>0.0</v>
      </c>
      <c r="AO133" s="41">
        <v>0.0</v>
      </c>
      <c r="AP133" s="41">
        <v>0.0</v>
      </c>
      <c r="AQ133" s="41">
        <v>0.0</v>
      </c>
      <c r="AR133" s="41">
        <v>0.0</v>
      </c>
      <c r="AS133" s="41">
        <v>0.0</v>
      </c>
      <c r="AT133" s="41">
        <v>0.0</v>
      </c>
      <c r="AU133" s="41">
        <v>0.0</v>
      </c>
      <c r="AV133" s="41">
        <v>0.0</v>
      </c>
      <c r="AW133" s="41">
        <v>0.0</v>
      </c>
      <c r="AX133" s="41">
        <v>0.0</v>
      </c>
      <c r="AY133" s="41">
        <v>0.0</v>
      </c>
      <c r="AZ133" s="41">
        <v>0.0</v>
      </c>
      <c r="BA133" s="41">
        <v>0.0</v>
      </c>
      <c r="BB133" s="41">
        <v>0.0</v>
      </c>
      <c r="BC133" s="41">
        <v>0.0</v>
      </c>
      <c r="BD133" s="41">
        <v>0.0</v>
      </c>
      <c r="BE133" s="41">
        <v>0.0</v>
      </c>
    </row>
    <row r="134" ht="15.75" customHeight="1">
      <c r="B134" s="41">
        <v>2.0</v>
      </c>
      <c r="C134" s="41">
        <v>0.0</v>
      </c>
      <c r="D134" s="41">
        <v>1.0</v>
      </c>
      <c r="E134" s="41">
        <v>0.0</v>
      </c>
      <c r="F134" s="41">
        <v>0.0</v>
      </c>
      <c r="G134" s="41">
        <v>0.0</v>
      </c>
      <c r="H134" s="41">
        <v>0.0</v>
      </c>
      <c r="I134" s="41">
        <v>0.0</v>
      </c>
      <c r="J134" s="41">
        <v>0.0</v>
      </c>
      <c r="K134" s="41">
        <v>0.0</v>
      </c>
      <c r="L134" s="41">
        <v>0.0</v>
      </c>
      <c r="M134" s="41">
        <v>0.0</v>
      </c>
      <c r="N134" s="41">
        <v>0.0</v>
      </c>
      <c r="O134" s="41">
        <v>0.0</v>
      </c>
      <c r="P134" s="41">
        <v>0.0</v>
      </c>
      <c r="Q134" s="41">
        <v>0.0</v>
      </c>
      <c r="R134" s="41">
        <v>0.0</v>
      </c>
      <c r="S134" s="41">
        <v>0.0</v>
      </c>
      <c r="T134" s="41">
        <v>0.0</v>
      </c>
      <c r="U134" s="41">
        <v>0.0</v>
      </c>
      <c r="V134" s="41">
        <v>0.0</v>
      </c>
      <c r="W134" s="41">
        <v>0.0</v>
      </c>
      <c r="X134" s="41">
        <v>0.0</v>
      </c>
      <c r="Y134" s="41">
        <v>0.0</v>
      </c>
      <c r="Z134" s="41">
        <v>0.0</v>
      </c>
      <c r="AA134" s="41">
        <v>0.0</v>
      </c>
      <c r="AB134" s="41">
        <v>0.0</v>
      </c>
      <c r="AE134" s="41">
        <v>2.0</v>
      </c>
      <c r="AF134" s="41">
        <v>0.0</v>
      </c>
      <c r="AG134" s="41">
        <f>D$65</f>
        <v>0</v>
      </c>
      <c r="AH134" s="41">
        <v>0.0</v>
      </c>
      <c r="AI134" s="41">
        <v>0.0</v>
      </c>
      <c r="AJ134" s="41">
        <v>0.0</v>
      </c>
      <c r="AK134" s="41">
        <v>0.0</v>
      </c>
      <c r="AL134" s="41">
        <v>0.0</v>
      </c>
      <c r="AM134" s="41">
        <v>0.0</v>
      </c>
      <c r="AN134" s="41">
        <v>0.0</v>
      </c>
      <c r="AO134" s="41">
        <v>0.0</v>
      </c>
      <c r="AP134" s="41">
        <v>0.0</v>
      </c>
      <c r="AQ134" s="41">
        <v>0.0</v>
      </c>
      <c r="AR134" s="41">
        <v>0.0</v>
      </c>
      <c r="AS134" s="41">
        <v>0.0</v>
      </c>
      <c r="AT134" s="41">
        <v>0.0</v>
      </c>
      <c r="AU134" s="41">
        <v>0.0</v>
      </c>
      <c r="AV134" s="41">
        <v>0.0</v>
      </c>
      <c r="AW134" s="41">
        <v>0.0</v>
      </c>
      <c r="AX134" s="41">
        <v>0.0</v>
      </c>
      <c r="AY134" s="41">
        <v>0.0</v>
      </c>
      <c r="AZ134" s="41">
        <v>0.0</v>
      </c>
      <c r="BA134" s="41">
        <v>0.0</v>
      </c>
      <c r="BB134" s="41">
        <v>0.0</v>
      </c>
      <c r="BC134" s="41">
        <v>0.0</v>
      </c>
      <c r="BD134" s="41">
        <v>0.0</v>
      </c>
      <c r="BE134" s="41">
        <v>0.0</v>
      </c>
    </row>
    <row r="135" ht="15.75" customHeight="1">
      <c r="B135" s="41">
        <v>3.0</v>
      </c>
      <c r="C135" s="41">
        <v>0.0</v>
      </c>
      <c r="D135" s="41">
        <v>0.0</v>
      </c>
      <c r="E135" s="41">
        <v>1.0</v>
      </c>
      <c r="F135" s="41">
        <v>0.0</v>
      </c>
      <c r="G135" s="41">
        <v>0.0</v>
      </c>
      <c r="H135" s="41">
        <v>0.0</v>
      </c>
      <c r="I135" s="41">
        <v>0.0</v>
      </c>
      <c r="J135" s="41">
        <v>0.0</v>
      </c>
      <c r="K135" s="41">
        <v>0.0</v>
      </c>
      <c r="L135" s="41">
        <v>0.0</v>
      </c>
      <c r="M135" s="41">
        <v>0.0</v>
      </c>
      <c r="N135" s="41">
        <v>0.0</v>
      </c>
      <c r="O135" s="41">
        <v>0.0</v>
      </c>
      <c r="P135" s="41">
        <v>0.0</v>
      </c>
      <c r="Q135" s="41">
        <v>0.0</v>
      </c>
      <c r="R135" s="41">
        <v>0.0</v>
      </c>
      <c r="S135" s="41">
        <v>0.0</v>
      </c>
      <c r="T135" s="41">
        <v>0.0</v>
      </c>
      <c r="U135" s="41">
        <v>0.0</v>
      </c>
      <c r="V135" s="41">
        <v>0.0</v>
      </c>
      <c r="W135" s="41">
        <v>0.0</v>
      </c>
      <c r="X135" s="41">
        <v>0.0</v>
      </c>
      <c r="Y135" s="41">
        <v>0.0</v>
      </c>
      <c r="Z135" s="41">
        <v>0.0</v>
      </c>
      <c r="AA135" s="41">
        <v>0.0</v>
      </c>
      <c r="AB135" s="41">
        <v>0.0</v>
      </c>
      <c r="AE135" s="41">
        <v>3.0</v>
      </c>
      <c r="AF135" s="41">
        <v>0.0</v>
      </c>
      <c r="AG135" s="41">
        <v>0.0</v>
      </c>
      <c r="AH135" s="41">
        <f>E$65</f>
        <v>3.701035907</v>
      </c>
      <c r="AI135" s="41">
        <v>0.0</v>
      </c>
      <c r="AJ135" s="41">
        <v>0.0</v>
      </c>
      <c r="AK135" s="41">
        <v>0.0</v>
      </c>
      <c r="AL135" s="41">
        <v>0.0</v>
      </c>
      <c r="AM135" s="41">
        <v>0.0</v>
      </c>
      <c r="AN135" s="41">
        <v>0.0</v>
      </c>
      <c r="AO135" s="41">
        <v>0.0</v>
      </c>
      <c r="AP135" s="41">
        <v>0.0</v>
      </c>
      <c r="AQ135" s="41">
        <v>0.0</v>
      </c>
      <c r="AR135" s="41">
        <v>0.0</v>
      </c>
      <c r="AS135" s="41">
        <v>0.0</v>
      </c>
      <c r="AT135" s="41">
        <v>0.0</v>
      </c>
      <c r="AU135" s="41">
        <v>0.0</v>
      </c>
      <c r="AV135" s="41">
        <v>0.0</v>
      </c>
      <c r="AW135" s="41">
        <v>0.0</v>
      </c>
      <c r="AX135" s="41">
        <v>0.0</v>
      </c>
      <c r="AY135" s="41">
        <v>0.0</v>
      </c>
      <c r="AZ135" s="41">
        <v>0.0</v>
      </c>
      <c r="BA135" s="41">
        <v>0.0</v>
      </c>
      <c r="BB135" s="41">
        <v>0.0</v>
      </c>
      <c r="BC135" s="41">
        <v>0.0</v>
      </c>
      <c r="BD135" s="41">
        <v>0.0</v>
      </c>
      <c r="BE135" s="41">
        <v>0.0</v>
      </c>
    </row>
    <row r="136" ht="15.75" customHeight="1">
      <c r="B136" s="41">
        <v>4.0</v>
      </c>
      <c r="C136" s="41">
        <v>0.0</v>
      </c>
      <c r="D136" s="41">
        <v>0.0</v>
      </c>
      <c r="E136" s="41">
        <v>0.0</v>
      </c>
      <c r="F136" s="41">
        <v>1.0</v>
      </c>
      <c r="G136" s="41">
        <v>0.0</v>
      </c>
      <c r="H136" s="41">
        <v>0.0</v>
      </c>
      <c r="I136" s="41">
        <v>0.0</v>
      </c>
      <c r="J136" s="41">
        <v>0.0</v>
      </c>
      <c r="K136" s="41">
        <v>0.0</v>
      </c>
      <c r="L136" s="41">
        <v>0.0</v>
      </c>
      <c r="M136" s="41">
        <v>0.0</v>
      </c>
      <c r="N136" s="41">
        <v>0.0</v>
      </c>
      <c r="O136" s="41">
        <v>0.0</v>
      </c>
      <c r="P136" s="41">
        <v>0.0</v>
      </c>
      <c r="Q136" s="41">
        <v>0.0</v>
      </c>
      <c r="R136" s="41">
        <v>0.0</v>
      </c>
      <c r="S136" s="41">
        <v>0.0</v>
      </c>
      <c r="T136" s="41">
        <v>0.0</v>
      </c>
      <c r="U136" s="41">
        <v>0.0</v>
      </c>
      <c r="V136" s="41">
        <v>0.0</v>
      </c>
      <c r="W136" s="41">
        <v>0.0</v>
      </c>
      <c r="X136" s="41">
        <v>0.0</v>
      </c>
      <c r="Y136" s="41">
        <v>0.0</v>
      </c>
      <c r="Z136" s="41">
        <v>0.0</v>
      </c>
      <c r="AA136" s="41">
        <v>0.0</v>
      </c>
      <c r="AB136" s="41">
        <v>0.0</v>
      </c>
      <c r="AE136" s="41">
        <v>4.0</v>
      </c>
      <c r="AF136" s="41">
        <v>0.0</v>
      </c>
      <c r="AG136" s="41">
        <v>0.0</v>
      </c>
      <c r="AH136" s="41">
        <v>0.0</v>
      </c>
      <c r="AI136" s="41">
        <f>F$65</f>
        <v>0</v>
      </c>
      <c r="AJ136" s="41">
        <v>0.0</v>
      </c>
      <c r="AK136" s="41">
        <v>0.0</v>
      </c>
      <c r="AL136" s="41">
        <v>0.0</v>
      </c>
      <c r="AM136" s="41">
        <v>0.0</v>
      </c>
      <c r="AN136" s="41">
        <v>0.0</v>
      </c>
      <c r="AO136" s="41">
        <v>0.0</v>
      </c>
      <c r="AP136" s="41">
        <v>0.0</v>
      </c>
      <c r="AQ136" s="41">
        <v>0.0</v>
      </c>
      <c r="AR136" s="41">
        <v>0.0</v>
      </c>
      <c r="AS136" s="41">
        <v>0.0</v>
      </c>
      <c r="AT136" s="41">
        <v>0.0</v>
      </c>
      <c r="AU136" s="41">
        <v>0.0</v>
      </c>
      <c r="AV136" s="41">
        <v>0.0</v>
      </c>
      <c r="AW136" s="41">
        <v>0.0</v>
      </c>
      <c r="AX136" s="41">
        <v>0.0</v>
      </c>
      <c r="AY136" s="41">
        <v>0.0</v>
      </c>
      <c r="AZ136" s="41">
        <v>0.0</v>
      </c>
      <c r="BA136" s="41">
        <v>0.0</v>
      </c>
      <c r="BB136" s="41">
        <v>0.0</v>
      </c>
      <c r="BC136" s="41">
        <v>0.0</v>
      </c>
      <c r="BD136" s="41">
        <v>0.0</v>
      </c>
      <c r="BE136" s="41">
        <v>0.0</v>
      </c>
    </row>
    <row r="137" ht="15.75" customHeight="1">
      <c r="B137" s="41">
        <v>5.0</v>
      </c>
      <c r="C137" s="41">
        <v>0.0</v>
      </c>
      <c r="D137" s="41">
        <v>0.0</v>
      </c>
      <c r="E137" s="41">
        <v>0.0</v>
      </c>
      <c r="F137" s="41">
        <v>0.0</v>
      </c>
      <c r="G137" s="41">
        <v>1.0</v>
      </c>
      <c r="H137" s="41">
        <v>0.0</v>
      </c>
      <c r="I137" s="41">
        <v>0.0</v>
      </c>
      <c r="J137" s="41">
        <v>0.0</v>
      </c>
      <c r="K137" s="41">
        <v>0.0</v>
      </c>
      <c r="L137" s="41">
        <v>0.0</v>
      </c>
      <c r="M137" s="41">
        <v>0.0</v>
      </c>
      <c r="N137" s="41">
        <v>0.0</v>
      </c>
      <c r="O137" s="41">
        <v>0.0</v>
      </c>
      <c r="P137" s="41">
        <v>0.0</v>
      </c>
      <c r="Q137" s="41">
        <v>0.0</v>
      </c>
      <c r="R137" s="41">
        <v>0.0</v>
      </c>
      <c r="S137" s="41">
        <v>0.0</v>
      </c>
      <c r="T137" s="41">
        <v>0.0</v>
      </c>
      <c r="U137" s="41">
        <v>0.0</v>
      </c>
      <c r="V137" s="41">
        <v>0.0</v>
      </c>
      <c r="W137" s="41">
        <v>0.0</v>
      </c>
      <c r="X137" s="41">
        <v>0.0</v>
      </c>
      <c r="Y137" s="41">
        <v>0.0</v>
      </c>
      <c r="Z137" s="41">
        <v>0.0</v>
      </c>
      <c r="AA137" s="41">
        <v>0.0</v>
      </c>
      <c r="AB137" s="41">
        <v>0.0</v>
      </c>
      <c r="AE137" s="41">
        <v>5.0</v>
      </c>
      <c r="AF137" s="41">
        <v>0.0</v>
      </c>
      <c r="AG137" s="41">
        <v>0.0</v>
      </c>
      <c r="AH137" s="41">
        <v>0.0</v>
      </c>
      <c r="AI137" s="41">
        <v>0.0</v>
      </c>
      <c r="AJ137" s="41">
        <f>G$65</f>
        <v>0</v>
      </c>
      <c r="AK137" s="41">
        <v>0.0</v>
      </c>
      <c r="AL137" s="41">
        <v>0.0</v>
      </c>
      <c r="AM137" s="41">
        <v>0.0</v>
      </c>
      <c r="AN137" s="41">
        <v>0.0</v>
      </c>
      <c r="AO137" s="41">
        <v>0.0</v>
      </c>
      <c r="AP137" s="41">
        <v>0.0</v>
      </c>
      <c r="AQ137" s="41">
        <v>0.0</v>
      </c>
      <c r="AR137" s="41">
        <v>0.0</v>
      </c>
      <c r="AS137" s="41">
        <v>0.0</v>
      </c>
      <c r="AT137" s="41">
        <v>0.0</v>
      </c>
      <c r="AU137" s="41">
        <v>0.0</v>
      </c>
      <c r="AV137" s="41">
        <v>0.0</v>
      </c>
      <c r="AW137" s="41">
        <v>0.0</v>
      </c>
      <c r="AX137" s="41">
        <v>0.0</v>
      </c>
      <c r="AY137" s="41">
        <v>0.0</v>
      </c>
      <c r="AZ137" s="41">
        <v>0.0</v>
      </c>
      <c r="BA137" s="41">
        <v>0.0</v>
      </c>
      <c r="BB137" s="41">
        <v>0.0</v>
      </c>
      <c r="BC137" s="41">
        <v>0.0</v>
      </c>
      <c r="BD137" s="41">
        <v>0.0</v>
      </c>
      <c r="BE137" s="41">
        <v>0.0</v>
      </c>
    </row>
    <row r="138" ht="15.75" customHeight="1">
      <c r="B138" s="41">
        <v>6.0</v>
      </c>
      <c r="C138" s="41">
        <v>0.0</v>
      </c>
      <c r="D138" s="41">
        <v>0.0</v>
      </c>
      <c r="E138" s="41">
        <v>0.0</v>
      </c>
      <c r="F138" s="41">
        <v>0.0</v>
      </c>
      <c r="G138" s="41">
        <v>0.0</v>
      </c>
      <c r="H138" s="41">
        <v>1.0</v>
      </c>
      <c r="I138" s="41">
        <v>0.0</v>
      </c>
      <c r="J138" s="41">
        <v>0.0</v>
      </c>
      <c r="K138" s="41">
        <v>0.0</v>
      </c>
      <c r="L138" s="41">
        <v>0.0</v>
      </c>
      <c r="M138" s="41">
        <v>0.0</v>
      </c>
      <c r="N138" s="41">
        <v>0.0</v>
      </c>
      <c r="O138" s="41">
        <v>0.0</v>
      </c>
      <c r="P138" s="41">
        <v>0.0</v>
      </c>
      <c r="Q138" s="41">
        <v>0.0</v>
      </c>
      <c r="R138" s="41">
        <v>0.0</v>
      </c>
      <c r="S138" s="41">
        <v>0.0</v>
      </c>
      <c r="T138" s="41">
        <v>0.0</v>
      </c>
      <c r="U138" s="41">
        <v>0.0</v>
      </c>
      <c r="V138" s="41">
        <v>0.0</v>
      </c>
      <c r="W138" s="41">
        <v>0.0</v>
      </c>
      <c r="X138" s="41">
        <v>0.0</v>
      </c>
      <c r="Y138" s="41">
        <v>0.0</v>
      </c>
      <c r="Z138" s="41">
        <v>0.0</v>
      </c>
      <c r="AA138" s="41">
        <v>0.0</v>
      </c>
      <c r="AB138" s="41">
        <v>0.0</v>
      </c>
      <c r="AE138" s="41">
        <v>6.0</v>
      </c>
      <c r="AF138" s="41">
        <v>0.0</v>
      </c>
      <c r="AG138" s="41">
        <v>0.0</v>
      </c>
      <c r="AH138" s="41">
        <v>0.0</v>
      </c>
      <c r="AI138" s="41">
        <v>0.0</v>
      </c>
      <c r="AJ138" s="41">
        <v>0.0</v>
      </c>
      <c r="AK138" s="41">
        <f>H$65</f>
        <v>0</v>
      </c>
      <c r="AL138" s="41">
        <v>0.0</v>
      </c>
      <c r="AM138" s="41">
        <v>0.0</v>
      </c>
      <c r="AN138" s="41">
        <v>0.0</v>
      </c>
      <c r="AO138" s="41">
        <v>0.0</v>
      </c>
      <c r="AP138" s="41">
        <v>0.0</v>
      </c>
      <c r="AQ138" s="41">
        <v>0.0</v>
      </c>
      <c r="AR138" s="41">
        <v>0.0</v>
      </c>
      <c r="AS138" s="41">
        <v>0.0</v>
      </c>
      <c r="AT138" s="41">
        <v>0.0</v>
      </c>
      <c r="AU138" s="41">
        <v>0.0</v>
      </c>
      <c r="AV138" s="41">
        <v>0.0</v>
      </c>
      <c r="AW138" s="41">
        <v>0.0</v>
      </c>
      <c r="AX138" s="41">
        <v>0.0</v>
      </c>
      <c r="AY138" s="41">
        <v>0.0</v>
      </c>
      <c r="AZ138" s="41">
        <v>0.0</v>
      </c>
      <c r="BA138" s="41">
        <v>0.0</v>
      </c>
      <c r="BB138" s="41">
        <v>0.0</v>
      </c>
      <c r="BC138" s="41">
        <v>0.0</v>
      </c>
      <c r="BD138" s="41">
        <v>0.0</v>
      </c>
      <c r="BE138" s="41">
        <v>0.0</v>
      </c>
    </row>
    <row r="139" ht="15.75" customHeight="1">
      <c r="B139" s="41">
        <v>7.0</v>
      </c>
      <c r="C139" s="41">
        <v>0.0</v>
      </c>
      <c r="D139" s="41">
        <v>0.0</v>
      </c>
      <c r="E139" s="41">
        <v>0.0</v>
      </c>
      <c r="F139" s="41">
        <v>0.0</v>
      </c>
      <c r="G139" s="41">
        <v>0.0</v>
      </c>
      <c r="H139" s="41">
        <v>0.0</v>
      </c>
      <c r="I139" s="41">
        <v>1.0</v>
      </c>
      <c r="J139" s="41">
        <v>0.0</v>
      </c>
      <c r="K139" s="41">
        <v>0.0</v>
      </c>
      <c r="L139" s="41">
        <v>0.0</v>
      </c>
      <c r="M139" s="41">
        <v>0.0</v>
      </c>
      <c r="N139" s="41">
        <v>0.0</v>
      </c>
      <c r="O139" s="41">
        <v>0.0</v>
      </c>
      <c r="P139" s="41">
        <v>0.0</v>
      </c>
      <c r="Q139" s="41">
        <v>0.0</v>
      </c>
      <c r="R139" s="41">
        <v>0.0</v>
      </c>
      <c r="S139" s="41">
        <v>0.0</v>
      </c>
      <c r="T139" s="41">
        <v>0.0</v>
      </c>
      <c r="U139" s="41">
        <v>0.0</v>
      </c>
      <c r="V139" s="41">
        <v>0.0</v>
      </c>
      <c r="W139" s="41">
        <v>0.0</v>
      </c>
      <c r="X139" s="41">
        <v>0.0</v>
      </c>
      <c r="Y139" s="41">
        <v>0.0</v>
      </c>
      <c r="Z139" s="41">
        <v>0.0</v>
      </c>
      <c r="AA139" s="41">
        <v>0.0</v>
      </c>
      <c r="AB139" s="41">
        <v>0.0</v>
      </c>
      <c r="AE139" s="41">
        <v>7.0</v>
      </c>
      <c r="AF139" s="41">
        <v>0.0</v>
      </c>
      <c r="AG139" s="41">
        <v>0.0</v>
      </c>
      <c r="AH139" s="41">
        <v>0.0</v>
      </c>
      <c r="AI139" s="41">
        <v>0.0</v>
      </c>
      <c r="AJ139" s="41">
        <v>0.0</v>
      </c>
      <c r="AK139" s="41">
        <v>0.0</v>
      </c>
      <c r="AL139" s="41">
        <f>I$65</f>
        <v>0</v>
      </c>
      <c r="AM139" s="41">
        <v>0.0</v>
      </c>
      <c r="AN139" s="41">
        <v>0.0</v>
      </c>
      <c r="AO139" s="41">
        <v>0.0</v>
      </c>
      <c r="AP139" s="41">
        <v>0.0</v>
      </c>
      <c r="AQ139" s="41">
        <v>0.0</v>
      </c>
      <c r="AR139" s="41">
        <v>0.0</v>
      </c>
      <c r="AS139" s="41">
        <v>0.0</v>
      </c>
      <c r="AT139" s="41">
        <v>0.0</v>
      </c>
      <c r="AU139" s="41">
        <v>0.0</v>
      </c>
      <c r="AV139" s="41">
        <v>0.0</v>
      </c>
      <c r="AW139" s="41">
        <v>0.0</v>
      </c>
      <c r="AX139" s="41">
        <v>0.0</v>
      </c>
      <c r="AY139" s="41">
        <v>0.0</v>
      </c>
      <c r="AZ139" s="41">
        <v>0.0</v>
      </c>
      <c r="BA139" s="41">
        <v>0.0</v>
      </c>
      <c r="BB139" s="41">
        <v>0.0</v>
      </c>
      <c r="BC139" s="41">
        <v>0.0</v>
      </c>
      <c r="BD139" s="41">
        <v>0.0</v>
      </c>
      <c r="BE139" s="41">
        <v>0.0</v>
      </c>
    </row>
    <row r="140" ht="15.75" customHeight="1">
      <c r="B140" s="41">
        <v>8.0</v>
      </c>
      <c r="C140" s="41">
        <v>0.0</v>
      </c>
      <c r="D140" s="41">
        <v>0.0</v>
      </c>
      <c r="E140" s="41">
        <v>0.0</v>
      </c>
      <c r="F140" s="41">
        <v>0.0</v>
      </c>
      <c r="G140" s="41">
        <v>0.0</v>
      </c>
      <c r="H140" s="41">
        <v>0.0</v>
      </c>
      <c r="I140" s="41">
        <v>0.0</v>
      </c>
      <c r="J140" s="41">
        <v>1.0</v>
      </c>
      <c r="K140" s="41">
        <v>0.0</v>
      </c>
      <c r="L140" s="41">
        <v>0.0</v>
      </c>
      <c r="M140" s="41">
        <v>0.0</v>
      </c>
      <c r="N140" s="41">
        <v>0.0</v>
      </c>
      <c r="O140" s="41">
        <v>0.0</v>
      </c>
      <c r="P140" s="41">
        <v>0.0</v>
      </c>
      <c r="Q140" s="41">
        <v>0.0</v>
      </c>
      <c r="R140" s="41">
        <v>0.0</v>
      </c>
      <c r="S140" s="41">
        <v>0.0</v>
      </c>
      <c r="T140" s="41">
        <v>0.0</v>
      </c>
      <c r="U140" s="41">
        <v>0.0</v>
      </c>
      <c r="V140" s="41">
        <v>0.0</v>
      </c>
      <c r="W140" s="41">
        <v>0.0</v>
      </c>
      <c r="X140" s="41">
        <v>0.0</v>
      </c>
      <c r="Y140" s="41">
        <v>0.0</v>
      </c>
      <c r="Z140" s="41">
        <v>0.0</v>
      </c>
      <c r="AA140" s="41">
        <v>0.0</v>
      </c>
      <c r="AB140" s="41">
        <v>0.0</v>
      </c>
      <c r="AE140" s="41">
        <v>8.0</v>
      </c>
      <c r="AF140" s="41">
        <v>0.0</v>
      </c>
      <c r="AG140" s="41">
        <v>0.0</v>
      </c>
      <c r="AH140" s="41">
        <v>0.0</v>
      </c>
      <c r="AI140" s="41">
        <v>0.0</v>
      </c>
      <c r="AJ140" s="41">
        <v>0.0</v>
      </c>
      <c r="AK140" s="41">
        <v>0.0</v>
      </c>
      <c r="AL140" s="41">
        <v>0.0</v>
      </c>
      <c r="AM140" s="41">
        <f>J$65</f>
        <v>0</v>
      </c>
      <c r="AN140" s="41">
        <v>0.0</v>
      </c>
      <c r="AO140" s="41">
        <v>0.0</v>
      </c>
      <c r="AP140" s="41">
        <v>0.0</v>
      </c>
      <c r="AQ140" s="41">
        <v>0.0</v>
      </c>
      <c r="AR140" s="41">
        <v>0.0</v>
      </c>
      <c r="AS140" s="41">
        <v>0.0</v>
      </c>
      <c r="AT140" s="41">
        <v>0.0</v>
      </c>
      <c r="AU140" s="41">
        <v>0.0</v>
      </c>
      <c r="AV140" s="41">
        <v>0.0</v>
      </c>
      <c r="AW140" s="41">
        <v>0.0</v>
      </c>
      <c r="AX140" s="41">
        <v>0.0</v>
      </c>
      <c r="AY140" s="41">
        <v>0.0</v>
      </c>
      <c r="AZ140" s="41">
        <v>0.0</v>
      </c>
      <c r="BA140" s="41">
        <v>0.0</v>
      </c>
      <c r="BB140" s="41">
        <v>0.0</v>
      </c>
      <c r="BC140" s="41">
        <v>0.0</v>
      </c>
      <c r="BD140" s="41">
        <v>0.0</v>
      </c>
      <c r="BE140" s="41">
        <v>0.0</v>
      </c>
    </row>
    <row r="141" ht="15.75" customHeight="1">
      <c r="B141" s="41">
        <v>9.0</v>
      </c>
      <c r="C141" s="41">
        <v>0.0</v>
      </c>
      <c r="D141" s="41">
        <v>0.0</v>
      </c>
      <c r="E141" s="41">
        <v>0.0</v>
      </c>
      <c r="F141" s="41">
        <v>0.0</v>
      </c>
      <c r="G141" s="41">
        <v>0.0</v>
      </c>
      <c r="H141" s="41">
        <v>0.0</v>
      </c>
      <c r="I141" s="41">
        <v>0.0</v>
      </c>
      <c r="J141" s="41">
        <v>0.0</v>
      </c>
      <c r="K141" s="41">
        <v>1.0</v>
      </c>
      <c r="L141" s="41">
        <v>0.0</v>
      </c>
      <c r="M141" s="41">
        <v>0.0</v>
      </c>
      <c r="N141" s="41">
        <v>0.0</v>
      </c>
      <c r="O141" s="41">
        <v>0.0</v>
      </c>
      <c r="P141" s="41">
        <v>0.0</v>
      </c>
      <c r="Q141" s="41">
        <v>0.0</v>
      </c>
      <c r="R141" s="41">
        <v>0.0</v>
      </c>
      <c r="S141" s="41">
        <v>0.0</v>
      </c>
      <c r="T141" s="41">
        <v>0.0</v>
      </c>
      <c r="U141" s="41">
        <v>0.0</v>
      </c>
      <c r="V141" s="41">
        <v>0.0</v>
      </c>
      <c r="W141" s="41">
        <v>0.0</v>
      </c>
      <c r="X141" s="41">
        <v>0.0</v>
      </c>
      <c r="Y141" s="41">
        <v>0.0</v>
      </c>
      <c r="Z141" s="41">
        <v>0.0</v>
      </c>
      <c r="AA141" s="41">
        <v>0.0</v>
      </c>
      <c r="AB141" s="41">
        <v>0.0</v>
      </c>
      <c r="AE141" s="41">
        <v>9.0</v>
      </c>
      <c r="AF141" s="41">
        <v>0.0</v>
      </c>
      <c r="AG141" s="41">
        <v>0.0</v>
      </c>
      <c r="AH141" s="41">
        <v>0.0</v>
      </c>
      <c r="AI141" s="41">
        <v>0.0</v>
      </c>
      <c r="AJ141" s="41">
        <v>0.0</v>
      </c>
      <c r="AK141" s="41">
        <v>0.0</v>
      </c>
      <c r="AL141" s="41">
        <v>0.0</v>
      </c>
      <c r="AM141" s="41">
        <v>0.0</v>
      </c>
      <c r="AN141" s="41">
        <f>K$65</f>
        <v>0</v>
      </c>
      <c r="AO141" s="41">
        <v>0.0</v>
      </c>
      <c r="AP141" s="41">
        <v>0.0</v>
      </c>
      <c r="AQ141" s="41">
        <v>0.0</v>
      </c>
      <c r="AR141" s="41">
        <v>0.0</v>
      </c>
      <c r="AS141" s="41">
        <v>0.0</v>
      </c>
      <c r="AT141" s="41">
        <v>0.0</v>
      </c>
      <c r="AU141" s="41">
        <v>0.0</v>
      </c>
      <c r="AV141" s="41">
        <v>0.0</v>
      </c>
      <c r="AW141" s="41">
        <v>0.0</v>
      </c>
      <c r="AX141" s="41">
        <v>0.0</v>
      </c>
      <c r="AY141" s="41">
        <v>0.0</v>
      </c>
      <c r="AZ141" s="41">
        <v>0.0</v>
      </c>
      <c r="BA141" s="41">
        <v>0.0</v>
      </c>
      <c r="BB141" s="41">
        <v>0.0</v>
      </c>
      <c r="BC141" s="41">
        <v>0.0</v>
      </c>
      <c r="BD141" s="41">
        <v>0.0</v>
      </c>
      <c r="BE141" s="41">
        <v>0.0</v>
      </c>
    </row>
    <row r="142" ht="15.75" customHeight="1">
      <c r="B142" s="41">
        <v>10.0</v>
      </c>
      <c r="C142" s="41">
        <v>0.0</v>
      </c>
      <c r="D142" s="41">
        <v>0.0</v>
      </c>
      <c r="E142" s="41">
        <v>0.0</v>
      </c>
      <c r="F142" s="41">
        <v>0.0</v>
      </c>
      <c r="G142" s="41">
        <v>0.0</v>
      </c>
      <c r="H142" s="41">
        <v>0.0</v>
      </c>
      <c r="I142" s="41">
        <v>0.0</v>
      </c>
      <c r="J142" s="41">
        <v>0.0</v>
      </c>
      <c r="K142" s="41">
        <v>0.0</v>
      </c>
      <c r="L142" s="41">
        <v>1.0</v>
      </c>
      <c r="M142" s="41">
        <v>0.0</v>
      </c>
      <c r="N142" s="41">
        <v>0.0</v>
      </c>
      <c r="O142" s="41">
        <v>0.0</v>
      </c>
      <c r="P142" s="41">
        <v>0.0</v>
      </c>
      <c r="Q142" s="41">
        <v>0.0</v>
      </c>
      <c r="R142" s="41">
        <v>0.0</v>
      </c>
      <c r="S142" s="41">
        <v>0.0</v>
      </c>
      <c r="T142" s="41">
        <v>0.0</v>
      </c>
      <c r="U142" s="41">
        <v>0.0</v>
      </c>
      <c r="V142" s="41">
        <v>0.0</v>
      </c>
      <c r="W142" s="41">
        <v>0.0</v>
      </c>
      <c r="X142" s="41">
        <v>0.0</v>
      </c>
      <c r="Y142" s="41">
        <v>0.0</v>
      </c>
      <c r="Z142" s="41">
        <v>0.0</v>
      </c>
      <c r="AA142" s="41">
        <v>0.0</v>
      </c>
      <c r="AB142" s="41">
        <v>0.0</v>
      </c>
      <c r="AE142" s="41">
        <v>10.0</v>
      </c>
      <c r="AF142" s="41">
        <v>0.0</v>
      </c>
      <c r="AG142" s="41">
        <v>0.0</v>
      </c>
      <c r="AH142" s="41">
        <v>0.0</v>
      </c>
      <c r="AI142" s="41">
        <v>0.0</v>
      </c>
      <c r="AJ142" s="41">
        <v>0.0</v>
      </c>
      <c r="AK142" s="41">
        <v>0.0</v>
      </c>
      <c r="AL142" s="41">
        <v>0.0</v>
      </c>
      <c r="AM142" s="41">
        <v>0.0</v>
      </c>
      <c r="AN142" s="41">
        <v>0.0</v>
      </c>
      <c r="AO142" s="41">
        <f>L$65</f>
        <v>0</v>
      </c>
      <c r="AP142" s="41">
        <v>0.0</v>
      </c>
      <c r="AQ142" s="41">
        <v>0.0</v>
      </c>
      <c r="AR142" s="41">
        <v>0.0</v>
      </c>
      <c r="AS142" s="41">
        <v>0.0</v>
      </c>
      <c r="AT142" s="41">
        <v>0.0</v>
      </c>
      <c r="AU142" s="41">
        <v>0.0</v>
      </c>
      <c r="AV142" s="41">
        <v>0.0</v>
      </c>
      <c r="AW142" s="41">
        <v>0.0</v>
      </c>
      <c r="AX142" s="41">
        <v>0.0</v>
      </c>
      <c r="AY142" s="41">
        <v>0.0</v>
      </c>
      <c r="AZ142" s="41">
        <v>0.0</v>
      </c>
      <c r="BA142" s="41">
        <v>0.0</v>
      </c>
      <c r="BB142" s="41">
        <v>0.0</v>
      </c>
      <c r="BC142" s="41">
        <v>0.0</v>
      </c>
      <c r="BD142" s="41">
        <v>0.0</v>
      </c>
      <c r="BE142" s="41">
        <v>0.0</v>
      </c>
    </row>
    <row r="143" ht="15.75" customHeight="1">
      <c r="B143" s="41">
        <v>11.0</v>
      </c>
      <c r="C143" s="41">
        <v>0.0</v>
      </c>
      <c r="D143" s="41">
        <v>0.0</v>
      </c>
      <c r="E143" s="41">
        <v>0.0</v>
      </c>
      <c r="F143" s="41">
        <v>0.0</v>
      </c>
      <c r="G143" s="41">
        <v>0.0</v>
      </c>
      <c r="H143" s="41">
        <v>0.0</v>
      </c>
      <c r="I143" s="41">
        <v>0.0</v>
      </c>
      <c r="J143" s="41">
        <v>0.0</v>
      </c>
      <c r="K143" s="41">
        <v>0.0</v>
      </c>
      <c r="L143" s="41">
        <v>0.0</v>
      </c>
      <c r="M143" s="41">
        <v>1.0</v>
      </c>
      <c r="N143" s="41">
        <v>0.0</v>
      </c>
      <c r="O143" s="41">
        <v>0.0</v>
      </c>
      <c r="P143" s="41">
        <v>0.0</v>
      </c>
      <c r="Q143" s="41">
        <v>0.0</v>
      </c>
      <c r="R143" s="41">
        <v>0.0</v>
      </c>
      <c r="S143" s="41">
        <v>0.0</v>
      </c>
      <c r="T143" s="41">
        <v>0.0</v>
      </c>
      <c r="U143" s="41">
        <v>0.0</v>
      </c>
      <c r="V143" s="41">
        <v>0.0</v>
      </c>
      <c r="W143" s="41">
        <v>0.0</v>
      </c>
      <c r="X143" s="41">
        <v>0.0</v>
      </c>
      <c r="Y143" s="41">
        <v>0.0</v>
      </c>
      <c r="Z143" s="41">
        <v>0.0</v>
      </c>
      <c r="AA143" s="41">
        <v>0.0</v>
      </c>
      <c r="AB143" s="41">
        <v>0.0</v>
      </c>
      <c r="AE143" s="41">
        <v>11.0</v>
      </c>
      <c r="AF143" s="41">
        <v>0.0</v>
      </c>
      <c r="AG143" s="41">
        <v>0.0</v>
      </c>
      <c r="AH143" s="41">
        <v>0.0</v>
      </c>
      <c r="AI143" s="41">
        <v>0.0</v>
      </c>
      <c r="AJ143" s="41">
        <v>0.0</v>
      </c>
      <c r="AK143" s="41">
        <v>0.0</v>
      </c>
      <c r="AL143" s="41">
        <v>0.0</v>
      </c>
      <c r="AM143" s="41">
        <v>0.0</v>
      </c>
      <c r="AN143" s="41">
        <v>0.0</v>
      </c>
      <c r="AO143" s="41">
        <v>0.0</v>
      </c>
      <c r="AP143" s="41">
        <f>M$65</f>
        <v>0</v>
      </c>
      <c r="AQ143" s="41">
        <v>0.0</v>
      </c>
      <c r="AR143" s="41">
        <v>0.0</v>
      </c>
      <c r="AS143" s="41">
        <v>0.0</v>
      </c>
      <c r="AT143" s="41">
        <v>0.0</v>
      </c>
      <c r="AU143" s="41">
        <v>0.0</v>
      </c>
      <c r="AV143" s="41">
        <v>0.0</v>
      </c>
      <c r="AW143" s="41">
        <v>0.0</v>
      </c>
      <c r="AX143" s="41">
        <v>0.0</v>
      </c>
      <c r="AY143" s="41">
        <v>0.0</v>
      </c>
      <c r="AZ143" s="41">
        <v>0.0</v>
      </c>
      <c r="BA143" s="41">
        <v>0.0</v>
      </c>
      <c r="BB143" s="41">
        <v>0.0</v>
      </c>
      <c r="BC143" s="41">
        <v>0.0</v>
      </c>
      <c r="BD143" s="41">
        <v>0.0</v>
      </c>
      <c r="BE143" s="41">
        <v>0.0</v>
      </c>
    </row>
    <row r="144" ht="15.75" customHeight="1">
      <c r="B144" s="41">
        <v>12.0</v>
      </c>
      <c r="C144" s="41">
        <v>0.0</v>
      </c>
      <c r="D144" s="41">
        <v>0.0</v>
      </c>
      <c r="E144" s="41">
        <v>0.0</v>
      </c>
      <c r="F144" s="41">
        <v>0.0</v>
      </c>
      <c r="G144" s="41">
        <v>0.0</v>
      </c>
      <c r="H144" s="41">
        <v>0.0</v>
      </c>
      <c r="I144" s="41">
        <v>0.0</v>
      </c>
      <c r="J144" s="41">
        <v>0.0</v>
      </c>
      <c r="K144" s="41">
        <v>0.0</v>
      </c>
      <c r="L144" s="41">
        <v>0.0</v>
      </c>
      <c r="M144" s="41">
        <v>0.0</v>
      </c>
      <c r="N144" s="41">
        <v>1.0</v>
      </c>
      <c r="O144" s="41">
        <v>0.0</v>
      </c>
      <c r="P144" s="41">
        <v>0.0</v>
      </c>
      <c r="Q144" s="41">
        <v>0.0</v>
      </c>
      <c r="R144" s="41">
        <v>0.0</v>
      </c>
      <c r="S144" s="41">
        <v>0.0</v>
      </c>
      <c r="T144" s="41">
        <v>0.0</v>
      </c>
      <c r="U144" s="41">
        <v>0.0</v>
      </c>
      <c r="V144" s="41">
        <v>0.0</v>
      </c>
      <c r="W144" s="41">
        <v>0.0</v>
      </c>
      <c r="X144" s="41">
        <v>0.0</v>
      </c>
      <c r="Y144" s="41">
        <v>0.0</v>
      </c>
      <c r="Z144" s="41">
        <v>0.0</v>
      </c>
      <c r="AA144" s="41">
        <v>0.0</v>
      </c>
      <c r="AB144" s="41">
        <v>0.0</v>
      </c>
      <c r="AE144" s="41">
        <v>12.0</v>
      </c>
      <c r="AF144" s="41">
        <v>0.0</v>
      </c>
      <c r="AG144" s="41">
        <v>0.0</v>
      </c>
      <c r="AH144" s="41">
        <v>0.0</v>
      </c>
      <c r="AI144" s="41">
        <v>0.0</v>
      </c>
      <c r="AJ144" s="41">
        <v>0.0</v>
      </c>
      <c r="AK144" s="41">
        <v>0.0</v>
      </c>
      <c r="AL144" s="41">
        <v>0.0</v>
      </c>
      <c r="AM144" s="41">
        <v>0.0</v>
      </c>
      <c r="AN144" s="41">
        <v>0.0</v>
      </c>
      <c r="AO144" s="41">
        <v>0.0</v>
      </c>
      <c r="AP144" s="41">
        <v>0.0</v>
      </c>
      <c r="AQ144" s="41">
        <f>N$65</f>
        <v>0</v>
      </c>
      <c r="AR144" s="41">
        <v>0.0</v>
      </c>
      <c r="AS144" s="41">
        <v>0.0</v>
      </c>
      <c r="AT144" s="41">
        <v>0.0</v>
      </c>
      <c r="AU144" s="41">
        <v>0.0</v>
      </c>
      <c r="AV144" s="41">
        <v>0.0</v>
      </c>
      <c r="AW144" s="41">
        <v>0.0</v>
      </c>
      <c r="AX144" s="41">
        <v>0.0</v>
      </c>
      <c r="AY144" s="41">
        <v>0.0</v>
      </c>
      <c r="AZ144" s="41">
        <v>0.0</v>
      </c>
      <c r="BA144" s="41">
        <v>0.0</v>
      </c>
      <c r="BB144" s="41">
        <v>0.0</v>
      </c>
      <c r="BC144" s="41">
        <v>0.0</v>
      </c>
      <c r="BD144" s="41">
        <v>0.0</v>
      </c>
      <c r="BE144" s="41">
        <v>0.0</v>
      </c>
    </row>
    <row r="145" ht="15.75" customHeight="1">
      <c r="B145" s="41">
        <v>13.0</v>
      </c>
      <c r="C145" s="41">
        <v>0.0</v>
      </c>
      <c r="D145" s="41">
        <v>0.0</v>
      </c>
      <c r="E145" s="41">
        <v>0.0</v>
      </c>
      <c r="F145" s="41">
        <v>0.0</v>
      </c>
      <c r="G145" s="41">
        <v>0.0</v>
      </c>
      <c r="H145" s="41">
        <v>0.0</v>
      </c>
      <c r="I145" s="41">
        <v>0.0</v>
      </c>
      <c r="J145" s="41">
        <v>0.0</v>
      </c>
      <c r="K145" s="41">
        <v>0.0</v>
      </c>
      <c r="L145" s="41">
        <v>0.0</v>
      </c>
      <c r="M145" s="41">
        <v>0.0</v>
      </c>
      <c r="N145" s="41">
        <v>0.0</v>
      </c>
      <c r="O145" s="41">
        <v>1.0</v>
      </c>
      <c r="P145" s="41">
        <v>0.0</v>
      </c>
      <c r="Q145" s="41">
        <v>0.0</v>
      </c>
      <c r="R145" s="41">
        <v>0.0</v>
      </c>
      <c r="S145" s="41">
        <v>0.0</v>
      </c>
      <c r="T145" s="41">
        <v>0.0</v>
      </c>
      <c r="U145" s="41">
        <v>0.0</v>
      </c>
      <c r="V145" s="41">
        <v>0.0</v>
      </c>
      <c r="W145" s="41">
        <v>0.0</v>
      </c>
      <c r="X145" s="41">
        <v>0.0</v>
      </c>
      <c r="Y145" s="41">
        <v>0.0</v>
      </c>
      <c r="Z145" s="41">
        <v>0.0</v>
      </c>
      <c r="AA145" s="41">
        <v>0.0</v>
      </c>
      <c r="AB145" s="41">
        <v>0.0</v>
      </c>
      <c r="AE145" s="41">
        <v>13.0</v>
      </c>
      <c r="AF145" s="41">
        <v>0.0</v>
      </c>
      <c r="AG145" s="41">
        <v>0.0</v>
      </c>
      <c r="AH145" s="41">
        <v>0.0</v>
      </c>
      <c r="AI145" s="41">
        <v>0.0</v>
      </c>
      <c r="AJ145" s="41">
        <v>0.0</v>
      </c>
      <c r="AK145" s="41">
        <v>0.0</v>
      </c>
      <c r="AL145" s="41">
        <v>0.0</v>
      </c>
      <c r="AM145" s="41">
        <v>0.0</v>
      </c>
      <c r="AN145" s="41">
        <v>0.0</v>
      </c>
      <c r="AO145" s="41">
        <v>0.0</v>
      </c>
      <c r="AP145" s="41">
        <v>0.0</v>
      </c>
      <c r="AQ145" s="41">
        <v>0.0</v>
      </c>
      <c r="AR145" s="41">
        <f>O$65</f>
        <v>0</v>
      </c>
      <c r="AS145" s="41">
        <v>0.0</v>
      </c>
      <c r="AT145" s="41">
        <v>0.0</v>
      </c>
      <c r="AU145" s="41">
        <v>0.0</v>
      </c>
      <c r="AV145" s="41">
        <v>0.0</v>
      </c>
      <c r="AW145" s="41">
        <v>0.0</v>
      </c>
      <c r="AX145" s="41">
        <v>0.0</v>
      </c>
      <c r="AY145" s="41">
        <v>0.0</v>
      </c>
      <c r="AZ145" s="41">
        <v>0.0</v>
      </c>
      <c r="BA145" s="41">
        <v>0.0</v>
      </c>
      <c r="BB145" s="41">
        <v>0.0</v>
      </c>
      <c r="BC145" s="41">
        <v>0.0</v>
      </c>
      <c r="BD145" s="41">
        <v>0.0</v>
      </c>
      <c r="BE145" s="41">
        <v>0.0</v>
      </c>
    </row>
    <row r="146" ht="15.75" customHeight="1">
      <c r="B146" s="41">
        <v>14.0</v>
      </c>
      <c r="C146" s="41">
        <v>0.0</v>
      </c>
      <c r="D146" s="41">
        <v>0.0</v>
      </c>
      <c r="E146" s="41">
        <v>0.0</v>
      </c>
      <c r="F146" s="41">
        <v>0.0</v>
      </c>
      <c r="G146" s="41">
        <v>0.0</v>
      </c>
      <c r="H146" s="41">
        <v>0.0</v>
      </c>
      <c r="I146" s="41">
        <v>0.0</v>
      </c>
      <c r="J146" s="41">
        <v>0.0</v>
      </c>
      <c r="K146" s="41">
        <v>0.0</v>
      </c>
      <c r="L146" s="41">
        <v>0.0</v>
      </c>
      <c r="M146" s="41">
        <v>0.0</v>
      </c>
      <c r="N146" s="41">
        <v>0.0</v>
      </c>
      <c r="O146" s="41">
        <v>0.0</v>
      </c>
      <c r="P146" s="41">
        <v>1.0</v>
      </c>
      <c r="Q146" s="41">
        <v>0.0</v>
      </c>
      <c r="R146" s="41">
        <v>0.0</v>
      </c>
      <c r="S146" s="41">
        <v>0.0</v>
      </c>
      <c r="T146" s="41">
        <v>0.0</v>
      </c>
      <c r="U146" s="41">
        <v>0.0</v>
      </c>
      <c r="V146" s="41">
        <v>0.0</v>
      </c>
      <c r="W146" s="41">
        <v>0.0</v>
      </c>
      <c r="X146" s="41">
        <v>0.0</v>
      </c>
      <c r="Y146" s="41">
        <v>0.0</v>
      </c>
      <c r="Z146" s="41">
        <v>0.0</v>
      </c>
      <c r="AA146" s="41">
        <v>0.0</v>
      </c>
      <c r="AB146" s="41">
        <v>0.0</v>
      </c>
      <c r="AE146" s="41">
        <v>14.0</v>
      </c>
      <c r="AF146" s="41">
        <v>0.0</v>
      </c>
      <c r="AG146" s="41">
        <v>0.0</v>
      </c>
      <c r="AH146" s="41">
        <v>0.0</v>
      </c>
      <c r="AI146" s="41">
        <v>0.0</v>
      </c>
      <c r="AJ146" s="41">
        <v>0.0</v>
      </c>
      <c r="AK146" s="41">
        <v>0.0</v>
      </c>
      <c r="AL146" s="41">
        <v>0.0</v>
      </c>
      <c r="AM146" s="41">
        <v>0.0</v>
      </c>
      <c r="AN146" s="41">
        <v>0.0</v>
      </c>
      <c r="AO146" s="41">
        <v>0.0</v>
      </c>
      <c r="AP146" s="41">
        <v>0.0</v>
      </c>
      <c r="AQ146" s="41">
        <v>0.0</v>
      </c>
      <c r="AR146" s="41">
        <v>0.0</v>
      </c>
      <c r="AS146" s="41">
        <f>P$65</f>
        <v>0</v>
      </c>
      <c r="AT146" s="41">
        <v>0.0</v>
      </c>
      <c r="AU146" s="41">
        <v>0.0</v>
      </c>
      <c r="AV146" s="41">
        <v>0.0</v>
      </c>
      <c r="AW146" s="41">
        <v>0.0</v>
      </c>
      <c r="AX146" s="41">
        <v>0.0</v>
      </c>
      <c r="AY146" s="41">
        <v>0.0</v>
      </c>
      <c r="AZ146" s="41">
        <v>0.0</v>
      </c>
      <c r="BA146" s="41">
        <v>0.0</v>
      </c>
      <c r="BB146" s="41">
        <v>0.0</v>
      </c>
      <c r="BC146" s="41">
        <v>0.0</v>
      </c>
      <c r="BD146" s="41">
        <v>0.0</v>
      </c>
      <c r="BE146" s="41">
        <v>0.0</v>
      </c>
    </row>
    <row r="147" ht="15.75" customHeight="1">
      <c r="B147" s="41">
        <v>15.0</v>
      </c>
      <c r="C147" s="41">
        <v>0.0</v>
      </c>
      <c r="D147" s="41">
        <v>0.0</v>
      </c>
      <c r="E147" s="41">
        <v>0.0</v>
      </c>
      <c r="F147" s="41">
        <v>0.0</v>
      </c>
      <c r="G147" s="41">
        <v>0.0</v>
      </c>
      <c r="H147" s="41">
        <v>0.0</v>
      </c>
      <c r="I147" s="41">
        <v>0.0</v>
      </c>
      <c r="J147" s="41">
        <v>0.0</v>
      </c>
      <c r="K147" s="41">
        <v>0.0</v>
      </c>
      <c r="L147" s="41">
        <v>0.0</v>
      </c>
      <c r="M147" s="41">
        <v>0.0</v>
      </c>
      <c r="N147" s="41">
        <v>0.0</v>
      </c>
      <c r="O147" s="41">
        <v>0.0</v>
      </c>
      <c r="P147" s="41">
        <v>0.0</v>
      </c>
      <c r="Q147" s="41">
        <v>1.0</v>
      </c>
      <c r="R147" s="41">
        <v>0.0</v>
      </c>
      <c r="S147" s="41">
        <v>0.0</v>
      </c>
      <c r="T147" s="41">
        <v>0.0</v>
      </c>
      <c r="U147" s="41">
        <v>0.0</v>
      </c>
      <c r="V147" s="41">
        <v>0.0</v>
      </c>
      <c r="W147" s="41">
        <v>0.0</v>
      </c>
      <c r="X147" s="41">
        <v>0.0</v>
      </c>
      <c r="Y147" s="41">
        <v>0.0</v>
      </c>
      <c r="Z147" s="41">
        <v>0.0</v>
      </c>
      <c r="AA147" s="41">
        <v>0.0</v>
      </c>
      <c r="AB147" s="41">
        <v>0.0</v>
      </c>
      <c r="AE147" s="41">
        <v>15.0</v>
      </c>
      <c r="AF147" s="41">
        <v>0.0</v>
      </c>
      <c r="AG147" s="41">
        <v>0.0</v>
      </c>
      <c r="AH147" s="41">
        <v>0.0</v>
      </c>
      <c r="AI147" s="41">
        <v>0.0</v>
      </c>
      <c r="AJ147" s="41">
        <v>0.0</v>
      </c>
      <c r="AK147" s="41">
        <v>0.0</v>
      </c>
      <c r="AL147" s="41">
        <v>0.0</v>
      </c>
      <c r="AM147" s="41">
        <v>0.0</v>
      </c>
      <c r="AN147" s="41">
        <v>0.0</v>
      </c>
      <c r="AO147" s="41">
        <v>0.0</v>
      </c>
      <c r="AP147" s="41">
        <v>0.0</v>
      </c>
      <c r="AQ147" s="41">
        <v>0.0</v>
      </c>
      <c r="AR147" s="41">
        <v>0.0</v>
      </c>
      <c r="AS147" s="41">
        <v>0.0</v>
      </c>
      <c r="AT147" s="41">
        <f>Q$65</f>
        <v>0</v>
      </c>
      <c r="AU147" s="41">
        <v>0.0</v>
      </c>
      <c r="AV147" s="41">
        <v>0.0</v>
      </c>
      <c r="AW147" s="41">
        <v>0.0</v>
      </c>
      <c r="AX147" s="41">
        <v>0.0</v>
      </c>
      <c r="AY147" s="41">
        <v>0.0</v>
      </c>
      <c r="AZ147" s="41">
        <v>0.0</v>
      </c>
      <c r="BA147" s="41">
        <v>0.0</v>
      </c>
      <c r="BB147" s="41">
        <v>0.0</v>
      </c>
      <c r="BC147" s="41">
        <v>0.0</v>
      </c>
      <c r="BD147" s="41">
        <v>0.0</v>
      </c>
      <c r="BE147" s="41">
        <v>0.0</v>
      </c>
    </row>
    <row r="148" ht="15.75" customHeight="1">
      <c r="B148" s="41">
        <v>16.0</v>
      </c>
      <c r="C148" s="41">
        <v>0.0</v>
      </c>
      <c r="D148" s="41">
        <v>0.0</v>
      </c>
      <c r="E148" s="41">
        <v>0.0</v>
      </c>
      <c r="F148" s="41">
        <v>0.0</v>
      </c>
      <c r="G148" s="41">
        <v>0.0</v>
      </c>
      <c r="H148" s="41">
        <v>0.0</v>
      </c>
      <c r="I148" s="41">
        <v>0.0</v>
      </c>
      <c r="J148" s="41">
        <v>0.0</v>
      </c>
      <c r="K148" s="41">
        <v>0.0</v>
      </c>
      <c r="L148" s="41">
        <v>0.0</v>
      </c>
      <c r="M148" s="41">
        <v>0.0</v>
      </c>
      <c r="N148" s="41">
        <v>0.0</v>
      </c>
      <c r="O148" s="41">
        <v>0.0</v>
      </c>
      <c r="P148" s="41">
        <v>0.0</v>
      </c>
      <c r="Q148" s="41">
        <v>0.0</v>
      </c>
      <c r="R148" s="41">
        <v>1.0</v>
      </c>
      <c r="S148" s="41">
        <v>0.0</v>
      </c>
      <c r="T148" s="41">
        <v>0.0</v>
      </c>
      <c r="U148" s="41">
        <v>0.0</v>
      </c>
      <c r="V148" s="41">
        <v>0.0</v>
      </c>
      <c r="W148" s="41">
        <v>0.0</v>
      </c>
      <c r="X148" s="41">
        <v>0.0</v>
      </c>
      <c r="Y148" s="41">
        <v>0.0</v>
      </c>
      <c r="Z148" s="41">
        <v>0.0</v>
      </c>
      <c r="AA148" s="41">
        <v>0.0</v>
      </c>
      <c r="AB148" s="41">
        <v>0.0</v>
      </c>
      <c r="AE148" s="41">
        <v>16.0</v>
      </c>
      <c r="AF148" s="41">
        <v>0.0</v>
      </c>
      <c r="AG148" s="41">
        <v>0.0</v>
      </c>
      <c r="AH148" s="41">
        <v>0.0</v>
      </c>
      <c r="AI148" s="41">
        <v>0.0</v>
      </c>
      <c r="AJ148" s="41">
        <v>0.0</v>
      </c>
      <c r="AK148" s="41">
        <v>0.0</v>
      </c>
      <c r="AL148" s="41">
        <v>0.0</v>
      </c>
      <c r="AM148" s="41">
        <v>0.0</v>
      </c>
      <c r="AN148" s="41">
        <v>0.0</v>
      </c>
      <c r="AO148" s="41">
        <v>0.0</v>
      </c>
      <c r="AP148" s="41">
        <v>0.0</v>
      </c>
      <c r="AQ148" s="41">
        <v>0.0</v>
      </c>
      <c r="AR148" s="41">
        <v>0.0</v>
      </c>
      <c r="AS148" s="41">
        <v>0.0</v>
      </c>
      <c r="AT148" s="41">
        <v>0.0</v>
      </c>
      <c r="AU148" s="41">
        <f>R$65</f>
        <v>6.597752347</v>
      </c>
      <c r="AV148" s="41">
        <v>0.0</v>
      </c>
      <c r="AW148" s="41">
        <v>0.0</v>
      </c>
      <c r="AX148" s="41">
        <v>0.0</v>
      </c>
      <c r="AY148" s="41">
        <v>0.0</v>
      </c>
      <c r="AZ148" s="41">
        <v>0.0</v>
      </c>
      <c r="BA148" s="41">
        <v>0.0</v>
      </c>
      <c r="BB148" s="41">
        <v>0.0</v>
      </c>
      <c r="BC148" s="41">
        <v>0.0</v>
      </c>
      <c r="BD148" s="41">
        <v>0.0</v>
      </c>
      <c r="BE148" s="41">
        <v>0.0</v>
      </c>
    </row>
    <row r="149" ht="15.75" customHeight="1">
      <c r="B149" s="41">
        <v>17.0</v>
      </c>
      <c r="C149" s="41">
        <v>0.0</v>
      </c>
      <c r="D149" s="41">
        <v>0.0</v>
      </c>
      <c r="E149" s="41">
        <v>0.0</v>
      </c>
      <c r="F149" s="41">
        <v>0.0</v>
      </c>
      <c r="G149" s="41">
        <v>0.0</v>
      </c>
      <c r="H149" s="41">
        <v>0.0</v>
      </c>
      <c r="I149" s="41">
        <v>0.0</v>
      </c>
      <c r="J149" s="41">
        <v>0.0</v>
      </c>
      <c r="K149" s="41">
        <v>0.0</v>
      </c>
      <c r="L149" s="41">
        <v>0.0</v>
      </c>
      <c r="M149" s="41">
        <v>0.0</v>
      </c>
      <c r="N149" s="41">
        <v>0.0</v>
      </c>
      <c r="O149" s="41">
        <v>0.0</v>
      </c>
      <c r="P149" s="41">
        <v>0.0</v>
      </c>
      <c r="Q149" s="41">
        <v>0.0</v>
      </c>
      <c r="R149" s="41">
        <v>0.0</v>
      </c>
      <c r="S149" s="41">
        <v>1.0</v>
      </c>
      <c r="T149" s="41">
        <v>0.0</v>
      </c>
      <c r="U149" s="41">
        <v>0.0</v>
      </c>
      <c r="V149" s="41">
        <v>0.0</v>
      </c>
      <c r="W149" s="41">
        <v>0.0</v>
      </c>
      <c r="X149" s="41">
        <v>0.0</v>
      </c>
      <c r="Y149" s="41">
        <v>0.0</v>
      </c>
      <c r="Z149" s="41">
        <v>0.0</v>
      </c>
      <c r="AA149" s="41">
        <v>0.0</v>
      </c>
      <c r="AB149" s="41">
        <v>0.0</v>
      </c>
      <c r="AE149" s="41">
        <v>17.0</v>
      </c>
      <c r="AF149" s="41">
        <v>0.0</v>
      </c>
      <c r="AG149" s="41">
        <v>0.0</v>
      </c>
      <c r="AH149" s="41">
        <v>0.0</v>
      </c>
      <c r="AI149" s="41">
        <v>0.0</v>
      </c>
      <c r="AJ149" s="41">
        <v>0.0</v>
      </c>
      <c r="AK149" s="41">
        <v>0.0</v>
      </c>
      <c r="AL149" s="41">
        <v>0.0</v>
      </c>
      <c r="AM149" s="41">
        <v>0.0</v>
      </c>
      <c r="AN149" s="41">
        <v>0.0</v>
      </c>
      <c r="AO149" s="41">
        <v>0.0</v>
      </c>
      <c r="AP149" s="41">
        <v>0.0</v>
      </c>
      <c r="AQ149" s="41">
        <v>0.0</v>
      </c>
      <c r="AR149" s="41">
        <v>0.0</v>
      </c>
      <c r="AS149" s="41">
        <v>0.0</v>
      </c>
      <c r="AT149" s="41">
        <v>0.0</v>
      </c>
      <c r="AU149" s="41">
        <v>0.0</v>
      </c>
      <c r="AV149" s="41">
        <f>S$65</f>
        <v>0</v>
      </c>
      <c r="AW149" s="41">
        <v>0.0</v>
      </c>
      <c r="AX149" s="41">
        <v>0.0</v>
      </c>
      <c r="AY149" s="41">
        <v>0.0</v>
      </c>
      <c r="AZ149" s="41">
        <v>0.0</v>
      </c>
      <c r="BA149" s="41">
        <v>0.0</v>
      </c>
      <c r="BB149" s="41">
        <v>0.0</v>
      </c>
      <c r="BC149" s="41">
        <v>0.0</v>
      </c>
      <c r="BD149" s="41">
        <v>0.0</v>
      </c>
      <c r="BE149" s="41">
        <v>0.0</v>
      </c>
    </row>
    <row r="150" ht="15.75" customHeight="1">
      <c r="B150" s="41">
        <v>18.0</v>
      </c>
      <c r="C150" s="41">
        <v>0.0</v>
      </c>
      <c r="D150" s="41">
        <v>0.0</v>
      </c>
      <c r="E150" s="41">
        <v>0.0</v>
      </c>
      <c r="F150" s="41">
        <v>0.0</v>
      </c>
      <c r="G150" s="41">
        <v>0.0</v>
      </c>
      <c r="H150" s="41">
        <v>0.0</v>
      </c>
      <c r="I150" s="41">
        <v>0.0</v>
      </c>
      <c r="J150" s="41">
        <v>0.0</v>
      </c>
      <c r="K150" s="41">
        <v>0.0</v>
      </c>
      <c r="L150" s="41">
        <v>0.0</v>
      </c>
      <c r="M150" s="41">
        <v>0.0</v>
      </c>
      <c r="N150" s="41">
        <v>0.0</v>
      </c>
      <c r="O150" s="41">
        <v>0.0</v>
      </c>
      <c r="P150" s="41">
        <v>0.0</v>
      </c>
      <c r="Q150" s="41">
        <v>0.0</v>
      </c>
      <c r="R150" s="41">
        <v>0.0</v>
      </c>
      <c r="S150" s="41">
        <v>0.0</v>
      </c>
      <c r="T150" s="41">
        <v>1.0</v>
      </c>
      <c r="U150" s="41">
        <v>0.0</v>
      </c>
      <c r="V150" s="41">
        <v>0.0</v>
      </c>
      <c r="W150" s="41">
        <v>0.0</v>
      </c>
      <c r="X150" s="41">
        <v>0.0</v>
      </c>
      <c r="Y150" s="41">
        <v>0.0</v>
      </c>
      <c r="Z150" s="41">
        <v>0.0</v>
      </c>
      <c r="AA150" s="41">
        <v>0.0</v>
      </c>
      <c r="AB150" s="41">
        <v>0.0</v>
      </c>
      <c r="AE150" s="41">
        <v>18.0</v>
      </c>
      <c r="AF150" s="41">
        <v>0.0</v>
      </c>
      <c r="AG150" s="41">
        <v>0.0</v>
      </c>
      <c r="AH150" s="41">
        <v>0.0</v>
      </c>
      <c r="AI150" s="41">
        <v>0.0</v>
      </c>
      <c r="AJ150" s="41">
        <v>0.0</v>
      </c>
      <c r="AK150" s="41">
        <v>0.0</v>
      </c>
      <c r="AL150" s="41">
        <v>0.0</v>
      </c>
      <c r="AM150" s="41">
        <v>0.0</v>
      </c>
      <c r="AN150" s="41">
        <v>0.0</v>
      </c>
      <c r="AO150" s="41">
        <v>0.0</v>
      </c>
      <c r="AP150" s="41">
        <v>0.0</v>
      </c>
      <c r="AQ150" s="41">
        <v>0.0</v>
      </c>
      <c r="AR150" s="41">
        <v>0.0</v>
      </c>
      <c r="AS150" s="41">
        <v>0.0</v>
      </c>
      <c r="AT150" s="41">
        <v>0.0</v>
      </c>
      <c r="AU150" s="41">
        <v>0.0</v>
      </c>
      <c r="AV150" s="41">
        <v>0.0</v>
      </c>
      <c r="AW150" s="41">
        <f>T$65</f>
        <v>0</v>
      </c>
      <c r="AX150" s="41">
        <v>0.0</v>
      </c>
      <c r="AY150" s="41">
        <v>0.0</v>
      </c>
      <c r="AZ150" s="41">
        <v>0.0</v>
      </c>
      <c r="BA150" s="41">
        <v>0.0</v>
      </c>
      <c r="BB150" s="41">
        <v>0.0</v>
      </c>
      <c r="BC150" s="41">
        <v>0.0</v>
      </c>
      <c r="BD150" s="41">
        <v>0.0</v>
      </c>
      <c r="BE150" s="41">
        <v>0.0</v>
      </c>
    </row>
    <row r="151" ht="15.75" customHeight="1">
      <c r="B151" s="41">
        <v>19.0</v>
      </c>
      <c r="C151" s="41">
        <v>0.0</v>
      </c>
      <c r="D151" s="41">
        <v>0.0</v>
      </c>
      <c r="E151" s="41">
        <v>0.0</v>
      </c>
      <c r="F151" s="41">
        <v>0.0</v>
      </c>
      <c r="G151" s="41">
        <v>0.0</v>
      </c>
      <c r="H151" s="41">
        <v>0.0</v>
      </c>
      <c r="I151" s="41">
        <v>0.0</v>
      </c>
      <c r="J151" s="41">
        <v>0.0</v>
      </c>
      <c r="K151" s="41">
        <v>0.0</v>
      </c>
      <c r="L151" s="41">
        <v>0.0</v>
      </c>
      <c r="M151" s="41">
        <v>0.0</v>
      </c>
      <c r="N151" s="41">
        <v>0.0</v>
      </c>
      <c r="O151" s="41">
        <v>0.0</v>
      </c>
      <c r="P151" s="41">
        <v>0.0</v>
      </c>
      <c r="Q151" s="41">
        <v>0.0</v>
      </c>
      <c r="R151" s="41">
        <v>0.0</v>
      </c>
      <c r="S151" s="41">
        <v>0.0</v>
      </c>
      <c r="T151" s="41">
        <v>0.0</v>
      </c>
      <c r="U151" s="41">
        <v>1.0</v>
      </c>
      <c r="V151" s="41">
        <v>0.0</v>
      </c>
      <c r="W151" s="41">
        <v>0.0</v>
      </c>
      <c r="X151" s="41">
        <v>0.0</v>
      </c>
      <c r="Y151" s="41">
        <v>0.0</v>
      </c>
      <c r="Z151" s="41">
        <v>0.0</v>
      </c>
      <c r="AA151" s="41">
        <v>0.0</v>
      </c>
      <c r="AB151" s="41">
        <v>0.0</v>
      </c>
      <c r="AE151" s="41">
        <v>19.0</v>
      </c>
      <c r="AF151" s="41">
        <v>0.0</v>
      </c>
      <c r="AG151" s="41">
        <v>0.0</v>
      </c>
      <c r="AH151" s="41">
        <v>0.0</v>
      </c>
      <c r="AI151" s="41">
        <v>0.0</v>
      </c>
      <c r="AJ151" s="41">
        <v>0.0</v>
      </c>
      <c r="AK151" s="41">
        <v>0.0</v>
      </c>
      <c r="AL151" s="41">
        <v>0.0</v>
      </c>
      <c r="AM151" s="41">
        <v>0.0</v>
      </c>
      <c r="AN151" s="41">
        <v>0.0</v>
      </c>
      <c r="AO151" s="41">
        <v>0.0</v>
      </c>
      <c r="AP151" s="41">
        <v>0.0</v>
      </c>
      <c r="AQ151" s="41">
        <v>0.0</v>
      </c>
      <c r="AR151" s="41">
        <v>0.0</v>
      </c>
      <c r="AS151" s="41">
        <v>0.0</v>
      </c>
      <c r="AT151" s="41">
        <v>0.0</v>
      </c>
      <c r="AU151" s="41">
        <v>0.0</v>
      </c>
      <c r="AV151" s="41">
        <v>0.0</v>
      </c>
      <c r="AW151" s="41">
        <v>0.0</v>
      </c>
      <c r="AX151" s="41">
        <f>U$65</f>
        <v>0</v>
      </c>
      <c r="AY151" s="41">
        <v>0.0</v>
      </c>
      <c r="AZ151" s="41">
        <v>0.0</v>
      </c>
      <c r="BA151" s="41">
        <v>0.0</v>
      </c>
      <c r="BB151" s="41">
        <v>0.0</v>
      </c>
      <c r="BC151" s="41">
        <v>0.0</v>
      </c>
      <c r="BD151" s="41">
        <v>0.0</v>
      </c>
      <c r="BE151" s="41">
        <v>0.0</v>
      </c>
    </row>
    <row r="152" ht="15.75" customHeight="1">
      <c r="B152" s="41">
        <v>20.0</v>
      </c>
      <c r="C152" s="41">
        <v>0.0</v>
      </c>
      <c r="D152" s="41">
        <v>0.0</v>
      </c>
      <c r="E152" s="41">
        <v>0.0</v>
      </c>
      <c r="F152" s="41">
        <v>0.0</v>
      </c>
      <c r="G152" s="41">
        <v>0.0</v>
      </c>
      <c r="H152" s="41">
        <v>0.0</v>
      </c>
      <c r="I152" s="41">
        <v>0.0</v>
      </c>
      <c r="J152" s="41">
        <v>0.0</v>
      </c>
      <c r="K152" s="41">
        <v>0.0</v>
      </c>
      <c r="L152" s="41">
        <v>0.0</v>
      </c>
      <c r="M152" s="41">
        <v>0.0</v>
      </c>
      <c r="N152" s="41">
        <v>0.0</v>
      </c>
      <c r="O152" s="41">
        <v>0.0</v>
      </c>
      <c r="P152" s="41">
        <v>0.0</v>
      </c>
      <c r="Q152" s="41">
        <v>0.0</v>
      </c>
      <c r="R152" s="41">
        <v>0.0</v>
      </c>
      <c r="S152" s="41">
        <v>0.0</v>
      </c>
      <c r="T152" s="41">
        <v>0.0</v>
      </c>
      <c r="U152" s="41">
        <v>0.0</v>
      </c>
      <c r="V152" s="41">
        <v>1.0</v>
      </c>
      <c r="W152" s="41">
        <v>0.0</v>
      </c>
      <c r="X152" s="41">
        <v>0.0</v>
      </c>
      <c r="Y152" s="41">
        <v>0.0</v>
      </c>
      <c r="Z152" s="41">
        <v>0.0</v>
      </c>
      <c r="AA152" s="41">
        <v>0.0</v>
      </c>
      <c r="AB152" s="41">
        <v>0.0</v>
      </c>
      <c r="AE152" s="41">
        <v>20.0</v>
      </c>
      <c r="AF152" s="41">
        <v>0.0</v>
      </c>
      <c r="AG152" s="41">
        <v>0.0</v>
      </c>
      <c r="AH152" s="41">
        <v>0.0</v>
      </c>
      <c r="AI152" s="41">
        <v>0.0</v>
      </c>
      <c r="AJ152" s="41">
        <v>0.0</v>
      </c>
      <c r="AK152" s="41">
        <v>0.0</v>
      </c>
      <c r="AL152" s="41">
        <v>0.0</v>
      </c>
      <c r="AM152" s="41">
        <v>0.0</v>
      </c>
      <c r="AN152" s="41">
        <v>0.0</v>
      </c>
      <c r="AO152" s="41">
        <v>0.0</v>
      </c>
      <c r="AP152" s="41">
        <v>0.0</v>
      </c>
      <c r="AQ152" s="41">
        <v>0.0</v>
      </c>
      <c r="AR152" s="41">
        <v>0.0</v>
      </c>
      <c r="AS152" s="41">
        <v>0.0</v>
      </c>
      <c r="AT152" s="41">
        <v>0.0</v>
      </c>
      <c r="AU152" s="41">
        <v>0.0</v>
      </c>
      <c r="AV152" s="41">
        <v>0.0</v>
      </c>
      <c r="AW152" s="41">
        <v>0.0</v>
      </c>
      <c r="AX152" s="41">
        <v>0.0</v>
      </c>
      <c r="AY152" s="41">
        <f>V$65</f>
        <v>0</v>
      </c>
      <c r="AZ152" s="41">
        <v>0.0</v>
      </c>
      <c r="BA152" s="41">
        <v>0.0</v>
      </c>
      <c r="BB152" s="41">
        <v>0.0</v>
      </c>
      <c r="BC152" s="41">
        <v>0.0</v>
      </c>
      <c r="BD152" s="41">
        <v>0.0</v>
      </c>
      <c r="BE152" s="41">
        <v>0.0</v>
      </c>
    </row>
    <row r="153" ht="15.75" customHeight="1">
      <c r="B153" s="41">
        <v>21.0</v>
      </c>
      <c r="C153" s="41">
        <v>0.0</v>
      </c>
      <c r="D153" s="41">
        <v>0.0</v>
      </c>
      <c r="E153" s="41">
        <v>0.0</v>
      </c>
      <c r="F153" s="41">
        <v>0.0</v>
      </c>
      <c r="G153" s="41">
        <v>0.0</v>
      </c>
      <c r="H153" s="41">
        <v>0.0</v>
      </c>
      <c r="I153" s="41">
        <v>0.0</v>
      </c>
      <c r="J153" s="41">
        <v>0.0</v>
      </c>
      <c r="K153" s="41">
        <v>0.0</v>
      </c>
      <c r="L153" s="41">
        <v>0.0</v>
      </c>
      <c r="M153" s="41">
        <v>0.0</v>
      </c>
      <c r="N153" s="41">
        <v>0.0</v>
      </c>
      <c r="O153" s="41">
        <v>0.0</v>
      </c>
      <c r="P153" s="41">
        <v>0.0</v>
      </c>
      <c r="Q153" s="41">
        <v>0.0</v>
      </c>
      <c r="R153" s="41">
        <v>0.0</v>
      </c>
      <c r="S153" s="41">
        <v>0.0</v>
      </c>
      <c r="T153" s="41">
        <v>0.0</v>
      </c>
      <c r="U153" s="41">
        <v>0.0</v>
      </c>
      <c r="V153" s="41">
        <v>0.0</v>
      </c>
      <c r="W153" s="41">
        <v>1.0</v>
      </c>
      <c r="X153" s="41">
        <v>0.0</v>
      </c>
      <c r="Y153" s="41">
        <v>0.0</v>
      </c>
      <c r="Z153" s="41">
        <v>0.0</v>
      </c>
      <c r="AA153" s="41">
        <v>0.0</v>
      </c>
      <c r="AB153" s="41">
        <v>0.0</v>
      </c>
      <c r="AE153" s="41">
        <v>21.0</v>
      </c>
      <c r="AF153" s="41">
        <v>0.0</v>
      </c>
      <c r="AG153" s="41">
        <v>0.0</v>
      </c>
      <c r="AH153" s="41">
        <v>0.0</v>
      </c>
      <c r="AI153" s="41">
        <v>0.0</v>
      </c>
      <c r="AJ153" s="41">
        <v>0.0</v>
      </c>
      <c r="AK153" s="41">
        <v>0.0</v>
      </c>
      <c r="AL153" s="41">
        <v>0.0</v>
      </c>
      <c r="AM153" s="41">
        <v>0.0</v>
      </c>
      <c r="AN153" s="41">
        <v>0.0</v>
      </c>
      <c r="AO153" s="41">
        <v>0.0</v>
      </c>
      <c r="AP153" s="41">
        <v>0.0</v>
      </c>
      <c r="AQ153" s="41">
        <v>0.0</v>
      </c>
      <c r="AR153" s="41">
        <v>0.0</v>
      </c>
      <c r="AS153" s="41">
        <v>0.0</v>
      </c>
      <c r="AT153" s="41">
        <v>0.0</v>
      </c>
      <c r="AU153" s="41">
        <v>0.0</v>
      </c>
      <c r="AV153" s="41">
        <v>0.0</v>
      </c>
      <c r="AW153" s="41">
        <v>0.0</v>
      </c>
      <c r="AX153" s="41">
        <v>0.0</v>
      </c>
      <c r="AY153" s="41">
        <v>0.0</v>
      </c>
      <c r="AZ153" s="41">
        <f>W$65</f>
        <v>0</v>
      </c>
      <c r="BA153" s="41">
        <v>0.0</v>
      </c>
      <c r="BB153" s="41">
        <v>0.0</v>
      </c>
      <c r="BC153" s="41">
        <v>0.0</v>
      </c>
      <c r="BD153" s="41">
        <v>0.0</v>
      </c>
      <c r="BE153" s="41">
        <v>0.0</v>
      </c>
    </row>
    <row r="154" ht="15.75" customHeight="1">
      <c r="B154" s="41">
        <v>22.0</v>
      </c>
      <c r="C154" s="41">
        <v>0.0</v>
      </c>
      <c r="D154" s="41">
        <v>0.0</v>
      </c>
      <c r="E154" s="41">
        <v>0.0</v>
      </c>
      <c r="F154" s="41">
        <v>0.0</v>
      </c>
      <c r="G154" s="41">
        <v>0.0</v>
      </c>
      <c r="H154" s="41">
        <v>0.0</v>
      </c>
      <c r="I154" s="41">
        <v>0.0</v>
      </c>
      <c r="J154" s="41">
        <v>0.0</v>
      </c>
      <c r="K154" s="41">
        <v>0.0</v>
      </c>
      <c r="L154" s="41">
        <v>0.0</v>
      </c>
      <c r="M154" s="41">
        <v>0.0</v>
      </c>
      <c r="N154" s="41">
        <v>0.0</v>
      </c>
      <c r="O154" s="41">
        <v>0.0</v>
      </c>
      <c r="P154" s="41">
        <v>0.0</v>
      </c>
      <c r="Q154" s="41">
        <v>0.0</v>
      </c>
      <c r="R154" s="41">
        <v>0.0</v>
      </c>
      <c r="S154" s="41">
        <v>0.0</v>
      </c>
      <c r="T154" s="41">
        <v>0.0</v>
      </c>
      <c r="U154" s="41">
        <v>0.0</v>
      </c>
      <c r="V154" s="41">
        <v>0.0</v>
      </c>
      <c r="W154" s="41">
        <v>0.0</v>
      </c>
      <c r="X154" s="41">
        <v>1.0</v>
      </c>
      <c r="Y154" s="41">
        <v>0.0</v>
      </c>
      <c r="Z154" s="41">
        <v>0.0</v>
      </c>
      <c r="AA154" s="41">
        <v>0.0</v>
      </c>
      <c r="AB154" s="41">
        <v>0.0</v>
      </c>
      <c r="AE154" s="41">
        <v>22.0</v>
      </c>
      <c r="AF154" s="41">
        <v>0.0</v>
      </c>
      <c r="AG154" s="41">
        <v>0.0</v>
      </c>
      <c r="AH154" s="41">
        <v>0.0</v>
      </c>
      <c r="AI154" s="41">
        <v>0.0</v>
      </c>
      <c r="AJ154" s="41">
        <v>0.0</v>
      </c>
      <c r="AK154" s="41">
        <v>0.0</v>
      </c>
      <c r="AL154" s="41">
        <v>0.0</v>
      </c>
      <c r="AM154" s="41">
        <v>0.0</v>
      </c>
      <c r="AN154" s="41">
        <v>0.0</v>
      </c>
      <c r="AO154" s="41">
        <v>0.0</v>
      </c>
      <c r="AP154" s="41">
        <v>0.0</v>
      </c>
      <c r="AQ154" s="41">
        <v>0.0</v>
      </c>
      <c r="AR154" s="41">
        <v>0.0</v>
      </c>
      <c r="AS154" s="41">
        <v>0.0</v>
      </c>
      <c r="AT154" s="41">
        <v>0.0</v>
      </c>
      <c r="AU154" s="41">
        <v>0.0</v>
      </c>
      <c r="AV154" s="41">
        <v>0.0</v>
      </c>
      <c r="AW154" s="41">
        <v>0.0</v>
      </c>
      <c r="AX154" s="41">
        <v>0.0</v>
      </c>
      <c r="AY154" s="41">
        <v>0.0</v>
      </c>
      <c r="AZ154" s="41">
        <v>0.0</v>
      </c>
      <c r="BA154" s="41">
        <f>X$65</f>
        <v>0</v>
      </c>
      <c r="BB154" s="41">
        <v>0.0</v>
      </c>
      <c r="BC154" s="41">
        <v>0.0</v>
      </c>
      <c r="BD154" s="41">
        <v>0.0</v>
      </c>
      <c r="BE154" s="41">
        <v>0.0</v>
      </c>
    </row>
    <row r="155" ht="15.75" customHeight="1">
      <c r="B155" s="41">
        <v>23.0</v>
      </c>
      <c r="C155" s="41">
        <v>0.0</v>
      </c>
      <c r="D155" s="41">
        <v>0.0</v>
      </c>
      <c r="E155" s="41">
        <v>0.0</v>
      </c>
      <c r="F155" s="41">
        <v>0.0</v>
      </c>
      <c r="G155" s="41">
        <v>0.0</v>
      </c>
      <c r="H155" s="41">
        <v>0.0</v>
      </c>
      <c r="I155" s="41">
        <v>0.0</v>
      </c>
      <c r="J155" s="41">
        <v>0.0</v>
      </c>
      <c r="K155" s="41">
        <v>0.0</v>
      </c>
      <c r="L155" s="41">
        <v>0.0</v>
      </c>
      <c r="M155" s="41">
        <v>0.0</v>
      </c>
      <c r="N155" s="41">
        <v>0.0</v>
      </c>
      <c r="O155" s="41">
        <v>0.0</v>
      </c>
      <c r="P155" s="41">
        <v>0.0</v>
      </c>
      <c r="Q155" s="41">
        <v>0.0</v>
      </c>
      <c r="R155" s="41">
        <v>0.0</v>
      </c>
      <c r="S155" s="41">
        <v>0.0</v>
      </c>
      <c r="T155" s="41">
        <v>0.0</v>
      </c>
      <c r="U155" s="41">
        <v>0.0</v>
      </c>
      <c r="V155" s="41">
        <v>0.0</v>
      </c>
      <c r="W155" s="41">
        <v>0.0</v>
      </c>
      <c r="X155" s="41">
        <v>0.0</v>
      </c>
      <c r="Y155" s="41">
        <v>1.0</v>
      </c>
      <c r="Z155" s="41">
        <v>0.0</v>
      </c>
      <c r="AA155" s="41">
        <v>0.0</v>
      </c>
      <c r="AB155" s="41">
        <v>0.0</v>
      </c>
      <c r="AE155" s="41">
        <v>23.0</v>
      </c>
      <c r="AF155" s="41">
        <v>0.0</v>
      </c>
      <c r="AG155" s="41">
        <v>0.0</v>
      </c>
      <c r="AH155" s="41">
        <v>0.0</v>
      </c>
      <c r="AI155" s="41">
        <v>0.0</v>
      </c>
      <c r="AJ155" s="41">
        <v>0.0</v>
      </c>
      <c r="AK155" s="41">
        <v>0.0</v>
      </c>
      <c r="AL155" s="41">
        <v>0.0</v>
      </c>
      <c r="AM155" s="41">
        <v>0.0</v>
      </c>
      <c r="AN155" s="41">
        <v>0.0</v>
      </c>
      <c r="AO155" s="41">
        <v>0.0</v>
      </c>
      <c r="AP155" s="41">
        <v>0.0</v>
      </c>
      <c r="AQ155" s="41">
        <v>0.0</v>
      </c>
      <c r="AR155" s="41">
        <v>0.0</v>
      </c>
      <c r="AS155" s="41">
        <v>0.0</v>
      </c>
      <c r="AT155" s="41">
        <v>0.0</v>
      </c>
      <c r="AU155" s="41">
        <v>0.0</v>
      </c>
      <c r="AV155" s="41">
        <v>0.0</v>
      </c>
      <c r="AW155" s="41">
        <v>0.0</v>
      </c>
      <c r="AX155" s="41">
        <v>0.0</v>
      </c>
      <c r="AY155" s="41">
        <v>0.0</v>
      </c>
      <c r="AZ155" s="41">
        <v>0.0</v>
      </c>
      <c r="BA155" s="41">
        <v>0.0</v>
      </c>
      <c r="BB155" s="41">
        <f>Y$65</f>
        <v>0</v>
      </c>
      <c r="BC155" s="41">
        <v>0.0</v>
      </c>
      <c r="BD155" s="41">
        <v>0.0</v>
      </c>
      <c r="BE155" s="41">
        <v>0.0</v>
      </c>
    </row>
    <row r="156" ht="15.75" customHeight="1">
      <c r="B156" s="41">
        <v>24.0</v>
      </c>
      <c r="C156" s="41">
        <v>0.0</v>
      </c>
      <c r="D156" s="41">
        <v>0.0</v>
      </c>
      <c r="E156" s="41">
        <v>0.0</v>
      </c>
      <c r="F156" s="41">
        <v>0.0</v>
      </c>
      <c r="G156" s="41">
        <v>0.0</v>
      </c>
      <c r="H156" s="41">
        <v>0.0</v>
      </c>
      <c r="I156" s="41">
        <v>0.0</v>
      </c>
      <c r="J156" s="41">
        <v>0.0</v>
      </c>
      <c r="K156" s="41">
        <v>0.0</v>
      </c>
      <c r="L156" s="41">
        <v>0.0</v>
      </c>
      <c r="M156" s="41">
        <v>0.0</v>
      </c>
      <c r="N156" s="41">
        <v>0.0</v>
      </c>
      <c r="O156" s="41">
        <v>0.0</v>
      </c>
      <c r="P156" s="41">
        <v>0.0</v>
      </c>
      <c r="Q156" s="41">
        <v>0.0</v>
      </c>
      <c r="R156" s="41">
        <v>0.0</v>
      </c>
      <c r="S156" s="41">
        <v>0.0</v>
      </c>
      <c r="T156" s="41">
        <v>0.0</v>
      </c>
      <c r="U156" s="41">
        <v>0.0</v>
      </c>
      <c r="V156" s="41">
        <v>0.0</v>
      </c>
      <c r="W156" s="41">
        <v>0.0</v>
      </c>
      <c r="X156" s="41">
        <v>0.0</v>
      </c>
      <c r="Y156" s="41">
        <v>0.0</v>
      </c>
      <c r="Z156" s="41">
        <v>1.0</v>
      </c>
      <c r="AA156" s="41">
        <v>0.0</v>
      </c>
      <c r="AB156" s="41">
        <v>0.0</v>
      </c>
      <c r="AE156" s="41">
        <v>24.0</v>
      </c>
      <c r="AF156" s="41">
        <v>0.0</v>
      </c>
      <c r="AG156" s="41">
        <v>0.0</v>
      </c>
      <c r="AH156" s="41">
        <v>0.0</v>
      </c>
      <c r="AI156" s="41">
        <v>0.0</v>
      </c>
      <c r="AJ156" s="41">
        <v>0.0</v>
      </c>
      <c r="AK156" s="41">
        <v>0.0</v>
      </c>
      <c r="AL156" s="41">
        <v>0.0</v>
      </c>
      <c r="AM156" s="41">
        <v>0.0</v>
      </c>
      <c r="AN156" s="41">
        <v>0.0</v>
      </c>
      <c r="AO156" s="41">
        <v>0.0</v>
      </c>
      <c r="AP156" s="41">
        <v>0.0</v>
      </c>
      <c r="AQ156" s="41">
        <v>0.0</v>
      </c>
      <c r="AR156" s="41">
        <v>0.0</v>
      </c>
      <c r="AS156" s="41">
        <v>0.0</v>
      </c>
      <c r="AT156" s="41">
        <v>0.0</v>
      </c>
      <c r="AU156" s="41">
        <v>0.0</v>
      </c>
      <c r="AV156" s="41">
        <v>0.0</v>
      </c>
      <c r="AW156" s="41">
        <v>0.0</v>
      </c>
      <c r="AX156" s="41">
        <v>0.0</v>
      </c>
      <c r="AY156" s="41">
        <v>0.0</v>
      </c>
      <c r="AZ156" s="41">
        <v>0.0</v>
      </c>
      <c r="BA156" s="41">
        <v>0.0</v>
      </c>
      <c r="BB156" s="41">
        <v>0.0</v>
      </c>
      <c r="BC156" s="41">
        <f>Z$65</f>
        <v>0</v>
      </c>
      <c r="BD156" s="41">
        <v>0.0</v>
      </c>
      <c r="BE156" s="41">
        <v>0.0</v>
      </c>
    </row>
    <row r="157" ht="15.75" customHeight="1">
      <c r="B157" s="41">
        <v>25.0</v>
      </c>
      <c r="C157" s="41">
        <v>0.0</v>
      </c>
      <c r="D157" s="41">
        <v>0.0</v>
      </c>
      <c r="E157" s="41">
        <v>0.0</v>
      </c>
      <c r="F157" s="41">
        <v>0.0</v>
      </c>
      <c r="G157" s="41">
        <v>0.0</v>
      </c>
      <c r="H157" s="41">
        <v>0.0</v>
      </c>
      <c r="I157" s="41">
        <v>0.0</v>
      </c>
      <c r="J157" s="41">
        <v>0.0</v>
      </c>
      <c r="K157" s="41">
        <v>0.0</v>
      </c>
      <c r="L157" s="41">
        <v>0.0</v>
      </c>
      <c r="M157" s="41">
        <v>0.0</v>
      </c>
      <c r="N157" s="41">
        <v>0.0</v>
      </c>
      <c r="O157" s="41">
        <v>0.0</v>
      </c>
      <c r="P157" s="41">
        <v>0.0</v>
      </c>
      <c r="Q157" s="41">
        <v>0.0</v>
      </c>
      <c r="R157" s="41">
        <v>0.0</v>
      </c>
      <c r="S157" s="41">
        <v>0.0</v>
      </c>
      <c r="T157" s="41">
        <v>0.0</v>
      </c>
      <c r="U157" s="41">
        <v>0.0</v>
      </c>
      <c r="V157" s="41">
        <v>0.0</v>
      </c>
      <c r="W157" s="41">
        <v>0.0</v>
      </c>
      <c r="X157" s="41">
        <v>0.0</v>
      </c>
      <c r="Y157" s="41">
        <v>0.0</v>
      </c>
      <c r="Z157" s="41">
        <v>0.0</v>
      </c>
      <c r="AA157" s="41">
        <v>1.0</v>
      </c>
      <c r="AB157" s="41">
        <v>0.0</v>
      </c>
      <c r="AE157" s="41">
        <v>25.0</v>
      </c>
      <c r="AF157" s="41">
        <v>0.0</v>
      </c>
      <c r="AG157" s="41">
        <v>0.0</v>
      </c>
      <c r="AH157" s="41">
        <v>0.0</v>
      </c>
      <c r="AI157" s="41">
        <v>0.0</v>
      </c>
      <c r="AJ157" s="41">
        <v>0.0</v>
      </c>
      <c r="AK157" s="41">
        <v>0.0</v>
      </c>
      <c r="AL157" s="41">
        <v>0.0</v>
      </c>
      <c r="AM157" s="41">
        <v>0.0</v>
      </c>
      <c r="AN157" s="41">
        <v>0.0</v>
      </c>
      <c r="AO157" s="41">
        <v>0.0</v>
      </c>
      <c r="AP157" s="41">
        <v>0.0</v>
      </c>
      <c r="AQ157" s="41">
        <v>0.0</v>
      </c>
      <c r="AR157" s="41">
        <v>0.0</v>
      </c>
      <c r="AS157" s="41">
        <v>0.0</v>
      </c>
      <c r="AT157" s="41">
        <v>0.0</v>
      </c>
      <c r="AU157" s="41">
        <v>0.0</v>
      </c>
      <c r="AV157" s="41">
        <v>0.0</v>
      </c>
      <c r="AW157" s="41">
        <v>0.0</v>
      </c>
      <c r="AX157" s="41">
        <v>0.0</v>
      </c>
      <c r="AY157" s="41">
        <v>0.0</v>
      </c>
      <c r="AZ157" s="41">
        <v>0.0</v>
      </c>
      <c r="BA157" s="41">
        <v>0.0</v>
      </c>
      <c r="BB157" s="41">
        <v>0.0</v>
      </c>
      <c r="BC157" s="41">
        <v>0.0</v>
      </c>
      <c r="BD157" s="41">
        <f>AA$65</f>
        <v>0</v>
      </c>
      <c r="BE157" s="41">
        <v>0.0</v>
      </c>
    </row>
    <row r="158" ht="15.75" customHeight="1">
      <c r="B158" s="41">
        <v>26.0</v>
      </c>
      <c r="C158" s="41">
        <v>0.0</v>
      </c>
      <c r="D158" s="41">
        <v>0.0</v>
      </c>
      <c r="E158" s="41">
        <v>0.0</v>
      </c>
      <c r="F158" s="41">
        <v>0.0</v>
      </c>
      <c r="G158" s="41">
        <v>0.0</v>
      </c>
      <c r="H158" s="41">
        <v>0.0</v>
      </c>
      <c r="I158" s="41">
        <v>0.0</v>
      </c>
      <c r="J158" s="41">
        <v>0.0</v>
      </c>
      <c r="K158" s="41">
        <v>0.0</v>
      </c>
      <c r="L158" s="41">
        <v>0.0</v>
      </c>
      <c r="M158" s="41">
        <v>0.0</v>
      </c>
      <c r="N158" s="41">
        <v>0.0</v>
      </c>
      <c r="O158" s="41">
        <v>0.0</v>
      </c>
      <c r="P158" s="41">
        <v>0.0</v>
      </c>
      <c r="Q158" s="41">
        <v>0.0</v>
      </c>
      <c r="R158" s="41">
        <v>0.0</v>
      </c>
      <c r="S158" s="41">
        <v>0.0</v>
      </c>
      <c r="T158" s="41">
        <v>0.0</v>
      </c>
      <c r="U158" s="41">
        <v>0.0</v>
      </c>
      <c r="V158" s="41">
        <v>0.0</v>
      </c>
      <c r="W158" s="41">
        <v>0.0</v>
      </c>
      <c r="X158" s="41">
        <v>0.0</v>
      </c>
      <c r="Y158" s="41">
        <v>0.0</v>
      </c>
      <c r="Z158" s="41">
        <v>0.0</v>
      </c>
      <c r="AA158" s="41">
        <v>0.0</v>
      </c>
      <c r="AB158" s="41">
        <v>1.0</v>
      </c>
      <c r="AE158" s="41">
        <v>26.0</v>
      </c>
      <c r="AF158" s="41">
        <v>0.0</v>
      </c>
      <c r="AG158" s="41">
        <v>0.0</v>
      </c>
      <c r="AH158" s="41">
        <v>0.0</v>
      </c>
      <c r="AI158" s="41">
        <v>0.0</v>
      </c>
      <c r="AJ158" s="41">
        <v>0.0</v>
      </c>
      <c r="AK158" s="41">
        <v>0.0</v>
      </c>
      <c r="AL158" s="41">
        <v>0.0</v>
      </c>
      <c r="AM158" s="41">
        <v>0.0</v>
      </c>
      <c r="AN158" s="41">
        <v>0.0</v>
      </c>
      <c r="AO158" s="41">
        <v>0.0</v>
      </c>
      <c r="AP158" s="41">
        <v>0.0</v>
      </c>
      <c r="AQ158" s="41">
        <v>0.0</v>
      </c>
      <c r="AR158" s="41">
        <v>0.0</v>
      </c>
      <c r="AS158" s="41">
        <v>0.0</v>
      </c>
      <c r="AT158" s="41">
        <v>0.0</v>
      </c>
      <c r="AU158" s="41">
        <v>0.0</v>
      </c>
      <c r="AV158" s="41">
        <v>0.0</v>
      </c>
      <c r="AW158" s="41">
        <v>0.0</v>
      </c>
      <c r="AX158" s="41">
        <v>0.0</v>
      </c>
      <c r="AY158" s="41">
        <v>0.0</v>
      </c>
      <c r="AZ158" s="41">
        <v>0.0</v>
      </c>
      <c r="BA158" s="41">
        <v>0.0</v>
      </c>
      <c r="BB158" s="41">
        <v>0.0</v>
      </c>
      <c r="BC158" s="41">
        <v>0.0</v>
      </c>
      <c r="BD158" s="41">
        <v>0.0</v>
      </c>
      <c r="BE158" s="41">
        <f>AB$65</f>
        <v>0</v>
      </c>
    </row>
    <row r="159" ht="15.75" customHeight="1"/>
    <row r="160" ht="15.75" customHeight="1">
      <c r="B160" s="39" t="s">
        <v>57</v>
      </c>
      <c r="AE160" s="39" t="s">
        <v>58</v>
      </c>
    </row>
    <row r="161" ht="15.75" customHeight="1">
      <c r="B161" s="40"/>
      <c r="C161" s="41">
        <v>1.0</v>
      </c>
      <c r="D161" s="41">
        <v>2.0</v>
      </c>
      <c r="E161" s="41">
        <v>3.0</v>
      </c>
      <c r="F161" s="41">
        <v>4.0</v>
      </c>
      <c r="G161" s="41">
        <v>5.0</v>
      </c>
      <c r="H161" s="41">
        <v>6.0</v>
      </c>
      <c r="I161" s="41">
        <v>7.0</v>
      </c>
      <c r="J161" s="41">
        <v>8.0</v>
      </c>
      <c r="K161" s="41">
        <v>9.0</v>
      </c>
      <c r="L161" s="41">
        <v>10.0</v>
      </c>
      <c r="M161" s="41">
        <v>11.0</v>
      </c>
      <c r="N161" s="41">
        <v>12.0</v>
      </c>
      <c r="O161" s="41">
        <v>13.0</v>
      </c>
      <c r="P161" s="41">
        <v>14.0</v>
      </c>
      <c r="Q161" s="41">
        <v>15.0</v>
      </c>
      <c r="R161" s="41">
        <v>16.0</v>
      </c>
      <c r="S161" s="41">
        <v>17.0</v>
      </c>
      <c r="T161" s="41">
        <v>18.0</v>
      </c>
      <c r="U161" s="41">
        <v>19.0</v>
      </c>
      <c r="V161" s="41">
        <v>20.0</v>
      </c>
      <c r="W161" s="41">
        <v>21.0</v>
      </c>
      <c r="X161" s="41">
        <v>22.0</v>
      </c>
      <c r="Y161" s="41">
        <v>23.0</v>
      </c>
      <c r="Z161" s="41">
        <v>24.0</v>
      </c>
      <c r="AA161" s="41">
        <v>25.0</v>
      </c>
      <c r="AB161" s="41">
        <v>26.0</v>
      </c>
      <c r="AE161" s="40"/>
      <c r="AF161" s="41">
        <v>1.0</v>
      </c>
      <c r="AG161" s="41">
        <v>2.0</v>
      </c>
      <c r="AH161" s="41">
        <v>3.0</v>
      </c>
      <c r="AI161" s="41">
        <v>4.0</v>
      </c>
      <c r="AJ161" s="41">
        <v>5.0</v>
      </c>
      <c r="AK161" s="41">
        <v>6.0</v>
      </c>
      <c r="AL161" s="41">
        <v>7.0</v>
      </c>
      <c r="AM161" s="41">
        <v>8.0</v>
      </c>
      <c r="AN161" s="41">
        <v>9.0</v>
      </c>
      <c r="AO161" s="41">
        <v>10.0</v>
      </c>
      <c r="AP161" s="41">
        <v>11.0</v>
      </c>
      <c r="AQ161" s="41">
        <v>12.0</v>
      </c>
      <c r="AR161" s="41">
        <v>13.0</v>
      </c>
      <c r="AS161" s="41">
        <v>14.0</v>
      </c>
      <c r="AT161" s="41">
        <v>15.0</v>
      </c>
      <c r="AU161" s="41">
        <v>16.0</v>
      </c>
      <c r="AV161" s="41">
        <v>17.0</v>
      </c>
      <c r="AW161" s="41">
        <v>18.0</v>
      </c>
      <c r="AX161" s="41">
        <v>19.0</v>
      </c>
      <c r="AY161" s="41">
        <v>20.0</v>
      </c>
      <c r="AZ161" s="41">
        <v>21.0</v>
      </c>
      <c r="BA161" s="41">
        <v>22.0</v>
      </c>
      <c r="BB161" s="41">
        <v>23.0</v>
      </c>
      <c r="BC161" s="41">
        <v>24.0</v>
      </c>
      <c r="BD161" s="41">
        <v>25.0</v>
      </c>
      <c r="BE161" s="41">
        <v>26.0</v>
      </c>
      <c r="BF161" s="39" t="s">
        <v>59</v>
      </c>
    </row>
    <row r="162" ht="15.75" customHeight="1">
      <c r="B162" s="41">
        <v>1.0</v>
      </c>
      <c r="C162" s="41">
        <f t="shared" ref="C162:AB162" si="23">C133-C104</f>
        <v>0.9430924161</v>
      </c>
      <c r="D162" s="41">
        <f t="shared" si="23"/>
        <v>-0.02843225899</v>
      </c>
      <c r="E162" s="41">
        <f t="shared" si="23"/>
        <v>-0.07601809045</v>
      </c>
      <c r="F162" s="41">
        <f t="shared" si="23"/>
        <v>-0.00000589112668</v>
      </c>
      <c r="G162" s="41">
        <f t="shared" si="23"/>
        <v>-0.000001261407713</v>
      </c>
      <c r="H162" s="41">
        <f t="shared" si="23"/>
        <v>-0.00001597356529</v>
      </c>
      <c r="I162" s="41">
        <f t="shared" si="23"/>
        <v>-0.0002336400361</v>
      </c>
      <c r="J162" s="41">
        <f t="shared" si="23"/>
        <v>-0.00005055879104</v>
      </c>
      <c r="K162" s="41">
        <f t="shared" si="23"/>
        <v>-0.0001668841904</v>
      </c>
      <c r="L162" s="41">
        <f t="shared" si="23"/>
        <v>-0.0001128275771</v>
      </c>
      <c r="M162" s="41">
        <f t="shared" si="23"/>
        <v>-0.000001188093559</v>
      </c>
      <c r="N162" s="41">
        <f t="shared" si="23"/>
        <v>-0.000007400836702</v>
      </c>
      <c r="O162" s="41">
        <f t="shared" si="23"/>
        <v>-0.002558972397</v>
      </c>
      <c r="P162" s="41">
        <f t="shared" si="23"/>
        <v>-0.00001127646458</v>
      </c>
      <c r="Q162" s="41">
        <f t="shared" si="23"/>
        <v>-0.0001282206032</v>
      </c>
      <c r="R162" s="41">
        <f t="shared" si="23"/>
        <v>-0.00009966039384</v>
      </c>
      <c r="S162" s="41">
        <f t="shared" si="23"/>
        <v>-0.000002034563788</v>
      </c>
      <c r="T162" s="41">
        <f t="shared" si="23"/>
        <v>-0.000004513101785</v>
      </c>
      <c r="U162" s="41">
        <f t="shared" si="23"/>
        <v>-0.000003979193557</v>
      </c>
      <c r="V162" s="41">
        <f t="shared" si="23"/>
        <v>-0.000003262491472</v>
      </c>
      <c r="W162" s="41">
        <f t="shared" si="23"/>
        <v>-0.000005563816669</v>
      </c>
      <c r="X162" s="41">
        <f t="shared" si="23"/>
        <v>-0.00000245672302</v>
      </c>
      <c r="Y162" s="41">
        <f t="shared" si="23"/>
        <v>-0.00000352497636</v>
      </c>
      <c r="Z162" s="41">
        <f t="shared" si="23"/>
        <v>-0.000004385627006</v>
      </c>
      <c r="AA162" s="41">
        <f t="shared" si="23"/>
        <v>-0.0000001836342816</v>
      </c>
      <c r="AB162" s="41">
        <f t="shared" si="23"/>
        <v>-0.00001525625862</v>
      </c>
      <c r="AE162" s="41">
        <v>1.0</v>
      </c>
      <c r="AF162" s="41">
        <f t="array" ref="AF162:BE187">(MMULT(MMULT(AF75:BE100,C191:AB216),C220:AB245))</f>
        <v>966570088.2</v>
      </c>
      <c r="AG162" s="41">
        <v>3.847914712021678E8</v>
      </c>
      <c r="AH162" s="41">
        <v>1.3235273110711314E8</v>
      </c>
      <c r="AI162" s="41">
        <v>2.8008767082701266E7</v>
      </c>
      <c r="AJ162" s="41">
        <v>9958.816499086244</v>
      </c>
      <c r="AK162" s="41">
        <v>145980.2035660263</v>
      </c>
      <c r="AL162" s="41">
        <v>2.780110711686533E7</v>
      </c>
      <c r="AM162" s="41">
        <v>67861.43133891629</v>
      </c>
      <c r="AN162" s="41">
        <v>3.0549755155636445E7</v>
      </c>
      <c r="AO162" s="41">
        <v>3.922176655894988E7</v>
      </c>
      <c r="AP162" s="41">
        <v>14028.060255686776</v>
      </c>
      <c r="AQ162" s="41">
        <v>1837.7237179458648</v>
      </c>
      <c r="AR162" s="41">
        <v>3.38782999740736E7</v>
      </c>
      <c r="AS162" s="41">
        <v>1.684220822041641E7</v>
      </c>
      <c r="AT162" s="41">
        <v>2.951910199111475E8</v>
      </c>
      <c r="AU162" s="41">
        <v>9.690082945025279E7</v>
      </c>
      <c r="AV162" s="41">
        <v>7.561461012254678E7</v>
      </c>
      <c r="AW162" s="41">
        <v>565953.4626707446</v>
      </c>
      <c r="AX162" s="41">
        <v>2095090.9428130588</v>
      </c>
      <c r="AY162" s="41">
        <v>2.2294565145372412E8</v>
      </c>
      <c r="AZ162" s="41">
        <v>5089906.892666051</v>
      </c>
      <c r="BA162" s="41">
        <v>8.618147759653609E7</v>
      </c>
      <c r="BB162" s="41">
        <v>2.4930415494305265E8</v>
      </c>
      <c r="BC162" s="41">
        <v>960074.3156272112</v>
      </c>
      <c r="BD162" s="41">
        <v>559089.6481922952</v>
      </c>
      <c r="BE162" s="41">
        <v>9.569221948528628E7</v>
      </c>
      <c r="BF162" s="16">
        <f t="shared" ref="BF162:BF187" si="25">SUM(AF162:BE162)</f>
        <v>2791355939</v>
      </c>
    </row>
    <row r="163" ht="15.75" customHeight="1">
      <c r="B163" s="41">
        <v>2.0</v>
      </c>
      <c r="C163" s="41">
        <f t="shared" ref="C163:AB163" si="24">C134-C105</f>
        <v>-0.0001739766875</v>
      </c>
      <c r="D163" s="41">
        <f t="shared" si="24"/>
        <v>0.9401405823</v>
      </c>
      <c r="E163" s="41">
        <f t="shared" si="24"/>
        <v>-0.103851025</v>
      </c>
      <c r="F163" s="41">
        <f t="shared" si="24"/>
        <v>-0.006049658039</v>
      </c>
      <c r="G163" s="41">
        <f t="shared" si="24"/>
        <v>-0.0007955433616</v>
      </c>
      <c r="H163" s="41">
        <f t="shared" si="24"/>
        <v>-0.0001152828439</v>
      </c>
      <c r="I163" s="41">
        <f t="shared" si="24"/>
        <v>-0.0005903116968</v>
      </c>
      <c r="J163" s="41">
        <f t="shared" si="24"/>
        <v>-0.0001427193976</v>
      </c>
      <c r="K163" s="41">
        <f t="shared" si="24"/>
        <v>-0.0007671111896</v>
      </c>
      <c r="L163" s="41">
        <f t="shared" si="24"/>
        <v>-0.001237497501</v>
      </c>
      <c r="M163" s="41">
        <f t="shared" si="24"/>
        <v>-0.0007928541638</v>
      </c>
      <c r="N163" s="41">
        <f t="shared" si="24"/>
        <v>-0.0001482171677</v>
      </c>
      <c r="O163" s="41">
        <f t="shared" si="24"/>
        <v>-0.03394007583</v>
      </c>
      <c r="P163" s="41">
        <f t="shared" si="24"/>
        <v>-0.000004271937758</v>
      </c>
      <c r="Q163" s="41">
        <f t="shared" si="24"/>
        <v>-0.0003911317002</v>
      </c>
      <c r="R163" s="41">
        <f t="shared" si="24"/>
        <v>-0.0001628227832</v>
      </c>
      <c r="S163" s="41">
        <f t="shared" si="24"/>
        <v>-0.0001069821335</v>
      </c>
      <c r="T163" s="41">
        <f t="shared" si="24"/>
        <v>-0.000006915429205</v>
      </c>
      <c r="U163" s="41">
        <f t="shared" si="24"/>
        <v>-0.0000139863899</v>
      </c>
      <c r="V163" s="41">
        <f t="shared" si="24"/>
        <v>-0.00001174603549</v>
      </c>
      <c r="W163" s="41">
        <f t="shared" si="24"/>
        <v>-0.00003411835256</v>
      </c>
      <c r="X163" s="41">
        <f t="shared" si="24"/>
        <v>-0.00001403767297</v>
      </c>
      <c r="Y163" s="41">
        <f t="shared" si="24"/>
        <v>-0.00001233330712</v>
      </c>
      <c r="Z163" s="41">
        <f t="shared" si="24"/>
        <v>-0.00002996849572</v>
      </c>
      <c r="AA163" s="41">
        <f t="shared" si="24"/>
        <v>-0.000003583838962</v>
      </c>
      <c r="AB163" s="41">
        <f t="shared" si="24"/>
        <v>-0.0002421484096</v>
      </c>
      <c r="AE163" s="41">
        <v>2.0</v>
      </c>
      <c r="AF163" s="41">
        <v>36590.09837186743</v>
      </c>
      <c r="AG163" s="41">
        <v>6.599474508873852E8</v>
      </c>
      <c r="AH163" s="41">
        <v>9353630.223981218</v>
      </c>
      <c r="AI163" s="41">
        <v>3054025.2818329167</v>
      </c>
      <c r="AJ163" s="41">
        <v>5089.06882851045</v>
      </c>
      <c r="AK163" s="41">
        <v>32545.103039758982</v>
      </c>
      <c r="AL163" s="41">
        <v>4255452.731924595</v>
      </c>
      <c r="AM163" s="41">
        <v>5834.886455865982</v>
      </c>
      <c r="AN163" s="41">
        <v>5298865.487826512</v>
      </c>
      <c r="AO163" s="41">
        <v>1.3665472515942536E7</v>
      </c>
      <c r="AP163" s="41">
        <v>7312.430148308582</v>
      </c>
      <c r="AQ163" s="41">
        <v>413.8257564884112</v>
      </c>
      <c r="AR163" s="41">
        <v>1.5856267700939735E7</v>
      </c>
      <c r="AS163" s="41">
        <v>1300776.6696959988</v>
      </c>
      <c r="AT163" s="41">
        <v>4.402390160338533E7</v>
      </c>
      <c r="AU163" s="41">
        <v>9275079.325321432</v>
      </c>
      <c r="AV163" s="41">
        <v>1.4383885189692153E7</v>
      </c>
      <c r="AW163" s="41">
        <v>91502.0678359675</v>
      </c>
      <c r="AX163" s="41">
        <v>397540.8069690963</v>
      </c>
      <c r="AY163" s="41">
        <v>4.3467407940968886E7</v>
      </c>
      <c r="AZ163" s="41">
        <v>1068743.9030932586</v>
      </c>
      <c r="BA163" s="41">
        <v>2.255293773836273E7</v>
      </c>
      <c r="BB163" s="41">
        <v>5.080106601683821E7</v>
      </c>
      <c r="BC163" s="41">
        <v>230951.05135943557</v>
      </c>
      <c r="BD163" s="41">
        <v>124923.48366658474</v>
      </c>
      <c r="BE163" s="41">
        <v>3.506156165295137E7</v>
      </c>
      <c r="BF163" s="16">
        <f t="shared" si="25"/>
        <v>934299227.7</v>
      </c>
    </row>
    <row r="164" ht="15.75" customHeight="1">
      <c r="B164" s="41">
        <v>3.0</v>
      </c>
      <c r="C164" s="41">
        <f t="shared" ref="C164:AB164" si="26">C135-C106</f>
        <v>-0.00004181688883</v>
      </c>
      <c r="D164" s="41">
        <f t="shared" si="26"/>
        <v>-0.01100312448</v>
      </c>
      <c r="E164" s="41">
        <f t="shared" si="26"/>
        <v>0.9972837201</v>
      </c>
      <c r="F164" s="41">
        <f t="shared" si="26"/>
        <v>-0.106916595</v>
      </c>
      <c r="G164" s="41">
        <f t="shared" si="26"/>
        <v>-0.00008151404029</v>
      </c>
      <c r="H164" s="41">
        <f t="shared" si="26"/>
        <v>-0.00003631722376</v>
      </c>
      <c r="I164" s="41">
        <f t="shared" si="26"/>
        <v>-0.0001257376993</v>
      </c>
      <c r="J164" s="41">
        <f t="shared" si="26"/>
        <v>-0.008573226512</v>
      </c>
      <c r="K164" s="41">
        <f t="shared" si="26"/>
        <v>-0.002684155406</v>
      </c>
      <c r="L164" s="41">
        <f t="shared" si="26"/>
        <v>-0.000110677935</v>
      </c>
      <c r="M164" s="41">
        <f t="shared" si="26"/>
        <v>-0.00008162872267</v>
      </c>
      <c r="N164" s="41">
        <f t="shared" si="26"/>
        <v>-0.0001417421048</v>
      </c>
      <c r="O164" s="41">
        <f t="shared" si="26"/>
        <v>-0.00187816532</v>
      </c>
      <c r="P164" s="41">
        <f t="shared" si="26"/>
        <v>-0.0000001394611702</v>
      </c>
      <c r="Q164" s="41">
        <f t="shared" si="26"/>
        <v>-0.000007404489346</v>
      </c>
      <c r="R164" s="41">
        <f t="shared" si="26"/>
        <v>-0.000005645477762</v>
      </c>
      <c r="S164" s="41">
        <f t="shared" si="26"/>
        <v>-0.0000355158498</v>
      </c>
      <c r="T164" s="41">
        <f t="shared" si="26"/>
        <v>-0.000005671737923</v>
      </c>
      <c r="U164" s="41">
        <f t="shared" si="26"/>
        <v>-0.0000004225472813</v>
      </c>
      <c r="V164" s="41">
        <f t="shared" si="26"/>
        <v>-0.000002287147642</v>
      </c>
      <c r="W164" s="41">
        <f t="shared" si="26"/>
        <v>-0.00001158188717</v>
      </c>
      <c r="X164" s="41">
        <f t="shared" si="26"/>
        <v>-0.000002302906357</v>
      </c>
      <c r="Y164" s="41">
        <f t="shared" si="26"/>
        <v>-0.000000978057291</v>
      </c>
      <c r="Z164" s="41">
        <f t="shared" si="26"/>
        <v>-0.000009361467751</v>
      </c>
      <c r="AA164" s="41">
        <f t="shared" si="26"/>
        <v>-0.0000001832615669</v>
      </c>
      <c r="AB164" s="41">
        <f t="shared" si="26"/>
        <v>-0.000002953003616</v>
      </c>
      <c r="AE164" s="41">
        <v>3.0</v>
      </c>
      <c r="AF164" s="41">
        <v>1226483.94353813</v>
      </c>
      <c r="AG164" s="41">
        <v>4.111578110545785E8</v>
      </c>
      <c r="AH164" s="41">
        <v>4.351771704718218E9</v>
      </c>
      <c r="AI164" s="41">
        <v>8.895739067712294E8</v>
      </c>
      <c r="AJ164" s="41">
        <v>87353.07063770681</v>
      </c>
      <c r="AK164" s="41">
        <v>1267964.0306866735</v>
      </c>
      <c r="AL164" s="41">
        <v>9.367650040750743E7</v>
      </c>
      <c r="AM164" s="41">
        <v>1963341.2852431657</v>
      </c>
      <c r="AN164" s="41">
        <v>4.654689345285484E8</v>
      </c>
      <c r="AO164" s="41">
        <v>2.0233906281559753E8</v>
      </c>
      <c r="AP164" s="41">
        <v>122174.03413140342</v>
      </c>
      <c r="AQ164" s="41">
        <v>13790.403753385748</v>
      </c>
      <c r="AR164" s="41">
        <v>9.535946439701328E7</v>
      </c>
      <c r="AS164" s="41">
        <v>1.4215970091342026E7</v>
      </c>
      <c r="AT164" s="41">
        <v>1.4659028805410674E8</v>
      </c>
      <c r="AU164" s="41">
        <v>3.615042505993896E7</v>
      </c>
      <c r="AV164" s="41">
        <v>2.392927204230848E8</v>
      </c>
      <c r="AW164" s="41">
        <v>1797437.4370417327</v>
      </c>
      <c r="AX164" s="41">
        <v>2995774.782805712</v>
      </c>
      <c r="AY164" s="41">
        <v>4.831342866948016E8</v>
      </c>
      <c r="AZ164" s="41">
        <v>1.3347811683263808E7</v>
      </c>
      <c r="BA164" s="41">
        <v>2.1843604272951597E8</v>
      </c>
      <c r="BB164" s="41">
        <v>3.898243262318943E8</v>
      </c>
      <c r="BC164" s="41">
        <v>3264136.2108548745</v>
      </c>
      <c r="BD164" s="41">
        <v>1232211.9299564874</v>
      </c>
      <c r="BE164" s="41">
        <v>1.3226492447898006E8</v>
      </c>
      <c r="BF164" s="16">
        <f t="shared" si="25"/>
        <v>8196574847</v>
      </c>
    </row>
    <row r="165" ht="15.75" customHeight="1">
      <c r="B165" s="41">
        <v>4.0</v>
      </c>
      <c r="C165" s="41">
        <f t="shared" ref="C165:AB165" si="27">C136-C107</f>
        <v>-0.0006984953446</v>
      </c>
      <c r="D165" s="41">
        <f t="shared" si="27"/>
        <v>-0.006515364666</v>
      </c>
      <c r="E165" s="41">
        <f t="shared" si="27"/>
        <v>-0.01233393802</v>
      </c>
      <c r="F165" s="41">
        <f t="shared" si="27"/>
        <v>0.9458892125</v>
      </c>
      <c r="G165" s="41">
        <f t="shared" si="27"/>
        <v>-0.0004521009923</v>
      </c>
      <c r="H165" s="41">
        <f t="shared" si="27"/>
        <v>-0.0002526531666</v>
      </c>
      <c r="I165" s="41">
        <f t="shared" si="27"/>
        <v>-0.0005344544921</v>
      </c>
      <c r="J165" s="41">
        <f t="shared" si="27"/>
        <v>-0.0007855598074</v>
      </c>
      <c r="K165" s="41">
        <f t="shared" si="27"/>
        <v>-0.0007678407695</v>
      </c>
      <c r="L165" s="41">
        <f t="shared" si="27"/>
        <v>-0.001455620296</v>
      </c>
      <c r="M165" s="41">
        <f t="shared" si="27"/>
        <v>-0.0004562758519</v>
      </c>
      <c r="N165" s="41">
        <f t="shared" si="27"/>
        <v>-0.0003735711325</v>
      </c>
      <c r="O165" s="41">
        <f t="shared" si="27"/>
        <v>-0.01501988697</v>
      </c>
      <c r="P165" s="41">
        <f t="shared" si="27"/>
        <v>-0.000005803955161</v>
      </c>
      <c r="Q165" s="41">
        <f t="shared" si="27"/>
        <v>-0.00007340994048</v>
      </c>
      <c r="R165" s="41">
        <f t="shared" si="27"/>
        <v>-0.00002125835934</v>
      </c>
      <c r="S165" s="41">
        <f t="shared" si="27"/>
        <v>-0.0002586537831</v>
      </c>
      <c r="T165" s="41">
        <f t="shared" si="27"/>
        <v>-0.00000876647524</v>
      </c>
      <c r="U165" s="41">
        <f t="shared" si="27"/>
        <v>-0.000006877960069</v>
      </c>
      <c r="V165" s="41">
        <f t="shared" si="27"/>
        <v>-0.000005286827472</v>
      </c>
      <c r="W165" s="41">
        <f t="shared" si="27"/>
        <v>-0.00000633711578</v>
      </c>
      <c r="X165" s="41">
        <f t="shared" si="27"/>
        <v>-0.000006245021383</v>
      </c>
      <c r="Y165" s="41">
        <f t="shared" si="27"/>
        <v>-0.000005475878807</v>
      </c>
      <c r="Z165" s="41">
        <f t="shared" si="27"/>
        <v>-0.000007114442719</v>
      </c>
      <c r="AA165" s="41">
        <f t="shared" si="27"/>
        <v>-0.000002292921331</v>
      </c>
      <c r="AB165" s="41">
        <f t="shared" si="27"/>
        <v>-0.00007565496139</v>
      </c>
      <c r="AE165" s="41">
        <v>4.0</v>
      </c>
      <c r="AF165" s="41">
        <v>94633.5843842224</v>
      </c>
      <c r="AG165" s="41">
        <v>7682021.7672253335</v>
      </c>
      <c r="AH165" s="41">
        <v>1895185.932861351</v>
      </c>
      <c r="AI165" s="41">
        <v>2.5109278925338286E8</v>
      </c>
      <c r="AJ165" s="41">
        <v>5245.348970251605</v>
      </c>
      <c r="AK165" s="41">
        <v>59120.61807322978</v>
      </c>
      <c r="AL165" s="41">
        <v>5646442.582369497</v>
      </c>
      <c r="AM165" s="41">
        <v>7636.99812835465</v>
      </c>
      <c r="AN165" s="41">
        <v>6383780.550286183</v>
      </c>
      <c r="AO165" s="41">
        <v>2.2375303811419975E7</v>
      </c>
      <c r="AP165" s="41">
        <v>7572.898748212734</v>
      </c>
      <c r="AQ165" s="41">
        <v>722.8092132048848</v>
      </c>
      <c r="AR165" s="41">
        <v>1.1110127765811712E7</v>
      </c>
      <c r="AS165" s="41">
        <v>1204079.6687861565</v>
      </c>
      <c r="AT165" s="41">
        <v>1.5886232085875971E7</v>
      </c>
      <c r="AU165" s="41">
        <v>2867489.0142367394</v>
      </c>
      <c r="AV165" s="41">
        <v>2.831917453363254E7</v>
      </c>
      <c r="AW165" s="41">
        <v>85426.37959380982</v>
      </c>
      <c r="AX165" s="41">
        <v>292273.3118459424</v>
      </c>
      <c r="AY165" s="41">
        <v>3.175100774501504E7</v>
      </c>
      <c r="AZ165" s="41">
        <v>555180.4599897653</v>
      </c>
      <c r="BA165" s="41">
        <v>1.5814535550055938E7</v>
      </c>
      <c r="BB165" s="41">
        <v>3.534998219069089E7</v>
      </c>
      <c r="BC165" s="41">
        <v>130499.85983800353</v>
      </c>
      <c r="BD165" s="41">
        <v>93946.14960380108</v>
      </c>
      <c r="BE165" s="41">
        <v>1.8907617142884623E7</v>
      </c>
      <c r="BF165" s="16">
        <f t="shared" si="25"/>
        <v>457618028</v>
      </c>
    </row>
    <row r="166" ht="15.75" customHeight="1">
      <c r="B166" s="41">
        <v>5.0</v>
      </c>
      <c r="C166" s="41">
        <f t="shared" ref="C166:AB166" si="28">C137-C108</f>
        <v>-0.008284143753</v>
      </c>
      <c r="D166" s="41">
        <f t="shared" si="28"/>
        <v>-0.0003291398549</v>
      </c>
      <c r="E166" s="41">
        <f t="shared" si="28"/>
        <v>-0.0003493500584</v>
      </c>
      <c r="F166" s="41">
        <f t="shared" si="28"/>
        <v>-0.001463534456</v>
      </c>
      <c r="G166" s="41">
        <f t="shared" si="28"/>
        <v>0.8831875994</v>
      </c>
      <c r="H166" s="41">
        <f t="shared" si="28"/>
        <v>-0.0004784396923</v>
      </c>
      <c r="I166" s="41">
        <f t="shared" si="28"/>
        <v>-0.001088890017</v>
      </c>
      <c r="J166" s="41">
        <f t="shared" si="28"/>
        <v>-0.0005432974908</v>
      </c>
      <c r="K166" s="41">
        <f t="shared" si="28"/>
        <v>-0.001275448994</v>
      </c>
      <c r="L166" s="41">
        <f t="shared" si="28"/>
        <v>-0.003178641506</v>
      </c>
      <c r="M166" s="41">
        <f t="shared" si="28"/>
        <v>-0.1176442688</v>
      </c>
      <c r="N166" s="41">
        <f t="shared" si="28"/>
        <v>-0.0009629858831</v>
      </c>
      <c r="O166" s="41">
        <f t="shared" si="28"/>
        <v>-0.0007404438202</v>
      </c>
      <c r="P166" s="41">
        <f t="shared" si="28"/>
        <v>-0.0000003979556871</v>
      </c>
      <c r="Q166" s="41">
        <f t="shared" si="28"/>
        <v>-0.0000004449059384</v>
      </c>
      <c r="R166" s="41">
        <f t="shared" si="28"/>
        <v>-0.000001202087092</v>
      </c>
      <c r="S166" s="41">
        <f t="shared" si="28"/>
        <v>-0.000001725973993</v>
      </c>
      <c r="T166" s="41">
        <f t="shared" si="28"/>
        <v>-0.000009502297926</v>
      </c>
      <c r="U166" s="41">
        <f t="shared" si="28"/>
        <v>-0.0000002610553992</v>
      </c>
      <c r="V166" s="41">
        <f t="shared" si="28"/>
        <v>-0.000000558685746</v>
      </c>
      <c r="W166" s="41">
        <f t="shared" si="28"/>
        <v>-0.0000004733111172</v>
      </c>
      <c r="X166" s="41">
        <f t="shared" si="28"/>
        <v>-0.0000004068935369</v>
      </c>
      <c r="Y166" s="41">
        <f t="shared" si="28"/>
        <v>-0.0000002110993509</v>
      </c>
      <c r="Z166" s="41">
        <f t="shared" si="28"/>
        <v>-0.00001272012088</v>
      </c>
      <c r="AA166" s="41">
        <f t="shared" si="28"/>
        <v>-0.0000008312442376</v>
      </c>
      <c r="AB166" s="41">
        <f t="shared" si="28"/>
        <v>-0.0000002051007055</v>
      </c>
      <c r="AE166" s="41">
        <v>5.0</v>
      </c>
      <c r="AF166" s="41">
        <v>9327021.214545833</v>
      </c>
      <c r="AG166" s="41">
        <v>1.6605409616480703E7</v>
      </c>
      <c r="AH166" s="41">
        <v>3487391.341788684</v>
      </c>
      <c r="AI166" s="41">
        <v>1.0749465564362908E7</v>
      </c>
      <c r="AJ166" s="41">
        <v>4.811167725429739E7</v>
      </c>
      <c r="AK166" s="41">
        <v>1544059.7129386896</v>
      </c>
      <c r="AL166" s="41">
        <v>1.5993403558518964E8</v>
      </c>
      <c r="AM166" s="41">
        <v>84751.17005542952</v>
      </c>
      <c r="AN166" s="41">
        <v>1.4654929660499242E8</v>
      </c>
      <c r="AO166" s="41">
        <v>6.587425291718639E8</v>
      </c>
      <c r="AP166" s="41">
        <v>1.0654663765364923E7</v>
      </c>
      <c r="AQ166" s="41">
        <v>21609.425988146115</v>
      </c>
      <c r="AR166" s="41">
        <v>1.3259498656573446E7</v>
      </c>
      <c r="AS166" s="41">
        <v>3468728.6063863146</v>
      </c>
      <c r="AT166" s="41">
        <v>1.4179842374154722E7</v>
      </c>
      <c r="AU166" s="41">
        <v>4967083.679009657</v>
      </c>
      <c r="AV166" s="41">
        <v>1.1282900639327351E7</v>
      </c>
      <c r="AW166" s="41">
        <v>937073.0909028096</v>
      </c>
      <c r="AX166" s="41">
        <v>721706.0180891497</v>
      </c>
      <c r="AY166" s="41">
        <v>1.4581605391579416E8</v>
      </c>
      <c r="AZ166" s="41">
        <v>1626012.7970764427</v>
      </c>
      <c r="BA166" s="41">
        <v>4.251479345165482E7</v>
      </c>
      <c r="BB166" s="41">
        <v>8.079354704737076E7</v>
      </c>
      <c r="BC166" s="41">
        <v>1697301.637246383</v>
      </c>
      <c r="BD166" s="41">
        <v>442592.45233242214</v>
      </c>
      <c r="BE166" s="41">
        <v>8880314.644184807</v>
      </c>
      <c r="BF166" s="16">
        <f t="shared" si="25"/>
        <v>1396399359</v>
      </c>
    </row>
    <row r="167" ht="15.75" customHeight="1">
      <c r="B167" s="41">
        <v>6.0</v>
      </c>
      <c r="C167" s="41">
        <f t="shared" ref="C167:AB167" si="29">C138-C109</f>
        <v>-0.01119028126</v>
      </c>
      <c r="D167" s="41">
        <f t="shared" si="29"/>
        <v>-0.001459001626</v>
      </c>
      <c r="E167" s="41">
        <f t="shared" si="29"/>
        <v>-0.004117118719</v>
      </c>
      <c r="F167" s="41">
        <f t="shared" si="29"/>
        <v>-0.002080568989</v>
      </c>
      <c r="G167" s="41">
        <f t="shared" si="29"/>
        <v>-0.00962998526</v>
      </c>
      <c r="H167" s="41">
        <f t="shared" si="29"/>
        <v>0.8520161584</v>
      </c>
      <c r="I167" s="41">
        <f t="shared" si="29"/>
        <v>-0.00851525761</v>
      </c>
      <c r="J167" s="41">
        <f t="shared" si="29"/>
        <v>-0.03577682475</v>
      </c>
      <c r="K167" s="41">
        <f t="shared" si="29"/>
        <v>-0.003533482337</v>
      </c>
      <c r="L167" s="41">
        <f t="shared" si="29"/>
        <v>-0.00102889746</v>
      </c>
      <c r="M167" s="41">
        <f t="shared" si="29"/>
        <v>-0.009194256168</v>
      </c>
      <c r="N167" s="41">
        <f t="shared" si="29"/>
        <v>-0.001512689652</v>
      </c>
      <c r="O167" s="41">
        <f t="shared" si="29"/>
        <v>-0.005177985887</v>
      </c>
      <c r="P167" s="41">
        <f t="shared" si="29"/>
        <v>-0.00002698646091</v>
      </c>
      <c r="Q167" s="41">
        <f t="shared" si="29"/>
        <v>-0.0000120489268</v>
      </c>
      <c r="R167" s="41">
        <f t="shared" si="29"/>
        <v>-0.000009383902673</v>
      </c>
      <c r="S167" s="41">
        <f t="shared" si="29"/>
        <v>-0.00001651818035</v>
      </c>
      <c r="T167" s="41">
        <f t="shared" si="29"/>
        <v>-0.00001585999963</v>
      </c>
      <c r="U167" s="41">
        <f t="shared" si="29"/>
        <v>-0.00000465460952</v>
      </c>
      <c r="V167" s="41">
        <f t="shared" si="29"/>
        <v>-0.00001144233266</v>
      </c>
      <c r="W167" s="41">
        <f t="shared" si="29"/>
        <v>-0.000009702573279</v>
      </c>
      <c r="X167" s="41">
        <f t="shared" si="29"/>
        <v>-0.00000713019244</v>
      </c>
      <c r="Y167" s="41">
        <f t="shared" si="29"/>
        <v>-0.000001506222733</v>
      </c>
      <c r="Z167" s="41">
        <f t="shared" si="29"/>
        <v>-0.00002251525592</v>
      </c>
      <c r="AA167" s="41">
        <f t="shared" si="29"/>
        <v>-0.00001186122907</v>
      </c>
      <c r="AB167" s="41">
        <f t="shared" si="29"/>
        <v>-0.0000140155166</v>
      </c>
      <c r="AE167" s="41">
        <v>6.0</v>
      </c>
      <c r="AF167" s="41">
        <v>4699656.272775092</v>
      </c>
      <c r="AG167" s="41">
        <v>1.3177031792517537E7</v>
      </c>
      <c r="AH167" s="41">
        <v>4260495.608506029</v>
      </c>
      <c r="AI167" s="41">
        <v>4953872.428826914</v>
      </c>
      <c r="AJ167" s="41">
        <v>293347.3317143227</v>
      </c>
      <c r="AK167" s="41">
        <v>4.0398921039775527E8</v>
      </c>
      <c r="AL167" s="41">
        <v>2.644965069669679E8</v>
      </c>
      <c r="AM167" s="41">
        <v>1065074.765844355</v>
      </c>
      <c r="AN167" s="41">
        <v>9.835384890713038E7</v>
      </c>
      <c r="AO167" s="41">
        <v>1.2625279213166249E8</v>
      </c>
      <c r="AP167" s="41">
        <v>410931.6343207064</v>
      </c>
      <c r="AQ167" s="41">
        <v>16049.011789668557</v>
      </c>
      <c r="AR167" s="41">
        <v>1.900759463104419E7</v>
      </c>
      <c r="AS167" s="41">
        <v>1.4077229720956037E7</v>
      </c>
      <c r="AT167" s="41">
        <v>2.832907189116114E7</v>
      </c>
      <c r="AU167" s="41">
        <v>7809793.397675983</v>
      </c>
      <c r="AV167" s="41">
        <v>1.8284384584905136E7</v>
      </c>
      <c r="AW167" s="41">
        <v>626776.7131626497</v>
      </c>
      <c r="AX167" s="41">
        <v>1379069.1461803587</v>
      </c>
      <c r="AY167" s="41">
        <v>2.8456216090751433E8</v>
      </c>
      <c r="AZ167" s="41">
        <v>3184272.4166676765</v>
      </c>
      <c r="BA167" s="41">
        <v>7.139467003671473E7</v>
      </c>
      <c r="BB167" s="41">
        <v>1.1139504501344322E8</v>
      </c>
      <c r="BC167" s="41">
        <v>1134379.5586307412</v>
      </c>
      <c r="BD167" s="41">
        <v>834723.3063613554</v>
      </c>
      <c r="BE167" s="41">
        <v>2.214344777785325E7</v>
      </c>
      <c r="BF167" s="16">
        <f t="shared" si="25"/>
        <v>1506131436</v>
      </c>
    </row>
    <row r="168" ht="15.75" customHeight="1">
      <c r="B168" s="41">
        <v>7.0</v>
      </c>
      <c r="C168" s="41">
        <f t="shared" ref="C168:AB168" si="30">C139-C110</f>
        <v>-0.1033839698</v>
      </c>
      <c r="D168" s="41">
        <f t="shared" si="30"/>
        <v>-0.03077838086</v>
      </c>
      <c r="E168" s="41">
        <f t="shared" si="30"/>
        <v>-0.07654402043</v>
      </c>
      <c r="F168" s="41">
        <f t="shared" si="30"/>
        <v>-0.05264155731</v>
      </c>
      <c r="G168" s="41">
        <f t="shared" si="30"/>
        <v>-0.06152725518</v>
      </c>
      <c r="H168" s="41">
        <f t="shared" si="30"/>
        <v>-0.06117672938</v>
      </c>
      <c r="I168" s="41">
        <f t="shared" si="30"/>
        <v>0.7854318672</v>
      </c>
      <c r="J168" s="41">
        <f t="shared" si="30"/>
        <v>-0.01416511115</v>
      </c>
      <c r="K168" s="41">
        <f t="shared" si="30"/>
        <v>-0.05189795929</v>
      </c>
      <c r="L168" s="41">
        <f t="shared" si="30"/>
        <v>-0.07317529979</v>
      </c>
      <c r="M168" s="41">
        <f t="shared" si="30"/>
        <v>-0.055150236</v>
      </c>
      <c r="N168" s="41">
        <f t="shared" si="30"/>
        <v>-0.2347645061</v>
      </c>
      <c r="O168" s="41">
        <f t="shared" si="30"/>
        <v>-0.03986965314</v>
      </c>
      <c r="P168" s="41">
        <f t="shared" si="30"/>
        <v>-0.0001444953256</v>
      </c>
      <c r="Q168" s="41">
        <f t="shared" si="30"/>
        <v>-0.0002395199166</v>
      </c>
      <c r="R168" s="41">
        <f t="shared" si="30"/>
        <v>-0.000160572855</v>
      </c>
      <c r="S168" s="41">
        <f t="shared" si="30"/>
        <v>-0.0002760582184</v>
      </c>
      <c r="T168" s="41">
        <f t="shared" si="30"/>
        <v>-0.000328689134</v>
      </c>
      <c r="U168" s="41">
        <f t="shared" si="30"/>
        <v>-0.0001187175615</v>
      </c>
      <c r="V168" s="41">
        <f t="shared" si="30"/>
        <v>-0.0009988308393</v>
      </c>
      <c r="W168" s="41">
        <f t="shared" si="30"/>
        <v>-0.0003314528152</v>
      </c>
      <c r="X168" s="41">
        <f t="shared" si="30"/>
        <v>-0.0001576300669</v>
      </c>
      <c r="Y168" s="41">
        <f t="shared" si="30"/>
        <v>-0.00008563723393</v>
      </c>
      <c r="Z168" s="41">
        <f t="shared" si="30"/>
        <v>-0.0004364229789</v>
      </c>
      <c r="AA168" s="41">
        <f t="shared" si="30"/>
        <v>-0.0001639265803</v>
      </c>
      <c r="AB168" s="41">
        <f t="shared" si="30"/>
        <v>-0.00006354847507</v>
      </c>
      <c r="AE168" s="41">
        <v>7.0</v>
      </c>
      <c r="AF168" s="41">
        <v>2.4732341982075047E7</v>
      </c>
      <c r="AG168" s="41">
        <v>1.2441458621373552E8</v>
      </c>
      <c r="AH168" s="41">
        <v>3.547019735786053E7</v>
      </c>
      <c r="AI168" s="41">
        <v>5.45137458238862E7</v>
      </c>
      <c r="AJ168" s="41">
        <v>1168533.5423966595</v>
      </c>
      <c r="AK168" s="41">
        <v>1.9614632368853766E7</v>
      </c>
      <c r="AL168" s="41">
        <v>1.3410625101756975E10</v>
      </c>
      <c r="AM168" s="41">
        <v>424160.3436335756</v>
      </c>
      <c r="AN168" s="41">
        <v>8.263961368476945E8</v>
      </c>
      <c r="AO168" s="41">
        <v>2.540699680456248E9</v>
      </c>
      <c r="AP168" s="41">
        <v>1593120.1653360408</v>
      </c>
      <c r="AQ168" s="41">
        <v>485662.311498985</v>
      </c>
      <c r="AR168" s="41">
        <v>9.357912823918849E7</v>
      </c>
      <c r="AS168" s="41">
        <v>9.524309711603892E7</v>
      </c>
      <c r="AT168" s="41">
        <v>2.909171593421639E8</v>
      </c>
      <c r="AU168" s="41">
        <v>8.529924013237685E7</v>
      </c>
      <c r="AV168" s="41">
        <v>2.0303692318900657E8</v>
      </c>
      <c r="AW168" s="41">
        <v>7704945.860916137</v>
      </c>
      <c r="AX168" s="41">
        <v>2.1918269937312372E7</v>
      </c>
      <c r="AY168" s="41">
        <v>6.32986679230584E9</v>
      </c>
      <c r="AZ168" s="41">
        <v>5.0348939916989975E7</v>
      </c>
      <c r="BA168" s="41">
        <v>9.1774204288675E8</v>
      </c>
      <c r="BB168" s="41">
        <v>1.9347282708943202E9</v>
      </c>
      <c r="BC168" s="41">
        <v>1.3416317707532452E7</v>
      </c>
      <c r="BD168" s="41">
        <v>9893810.81625775</v>
      </c>
      <c r="BE168" s="41">
        <v>1.7347132847993848E8</v>
      </c>
      <c r="BF168" s="16">
        <f t="shared" si="25"/>
        <v>27267304166</v>
      </c>
    </row>
    <row r="169" ht="15.75" customHeight="1">
      <c r="B169" s="41">
        <v>8.0</v>
      </c>
      <c r="C169" s="41">
        <f t="shared" ref="C169:AB169" si="31">C140-C111</f>
        <v>-0.001095243022</v>
      </c>
      <c r="D169" s="41">
        <f t="shared" si="31"/>
        <v>-0.00275786423</v>
      </c>
      <c r="E169" s="41">
        <f t="shared" si="31"/>
        <v>-0.0109373251</v>
      </c>
      <c r="F169" s="41">
        <f t="shared" si="31"/>
        <v>-0.00002306210151</v>
      </c>
      <c r="G169" s="41">
        <f t="shared" si="31"/>
        <v>-0.0008495480386</v>
      </c>
      <c r="H169" s="41">
        <f t="shared" si="31"/>
        <v>-0.00004407525639</v>
      </c>
      <c r="I169" s="41">
        <f t="shared" si="31"/>
        <v>-0.00005693668942</v>
      </c>
      <c r="J169" s="41">
        <f t="shared" si="31"/>
        <v>0.9999903398</v>
      </c>
      <c r="K169" s="41">
        <f t="shared" si="31"/>
        <v>-0.00003392850934</v>
      </c>
      <c r="L169" s="41">
        <f t="shared" si="31"/>
        <v>-0.00007818999809</v>
      </c>
      <c r="M169" s="41">
        <f t="shared" si="31"/>
        <v>-0.0008408567475</v>
      </c>
      <c r="N169" s="41">
        <f t="shared" si="31"/>
        <v>-0.00002844300108</v>
      </c>
      <c r="O169" s="41">
        <f t="shared" si="31"/>
        <v>-0.002007898539</v>
      </c>
      <c r="P169" s="41">
        <f t="shared" si="31"/>
        <v>-0.000006872153649</v>
      </c>
      <c r="Q169" s="41">
        <f t="shared" si="31"/>
        <v>-0.00001869619858</v>
      </c>
      <c r="R169" s="41">
        <f t="shared" si="31"/>
        <v>-0.00000628860881</v>
      </c>
      <c r="S169" s="41">
        <f t="shared" si="31"/>
        <v>-0.000002126624423</v>
      </c>
      <c r="T169" s="41">
        <f t="shared" si="31"/>
        <v>-0.0000004998051968</v>
      </c>
      <c r="U169" s="41">
        <f t="shared" si="31"/>
        <v>-0.0000001335893958</v>
      </c>
      <c r="V169" s="41">
        <f t="shared" si="31"/>
        <v>-0.0000008697865054</v>
      </c>
      <c r="W169" s="41">
        <f t="shared" si="31"/>
        <v>-0.0000007979205431</v>
      </c>
      <c r="X169" s="41">
        <f t="shared" si="31"/>
        <v>-0.0000002390440643</v>
      </c>
      <c r="Y169" s="41">
        <f t="shared" si="31"/>
        <v>-0.0000002200517112</v>
      </c>
      <c r="Z169" s="41">
        <f t="shared" si="31"/>
        <v>-0.000000369093157</v>
      </c>
      <c r="AA169" s="41">
        <f t="shared" si="31"/>
        <v>-0.00000005419565401</v>
      </c>
      <c r="AB169" s="41">
        <f t="shared" si="31"/>
        <v>-0.000003137712843</v>
      </c>
      <c r="AE169" s="41">
        <v>8.0</v>
      </c>
      <c r="AF169" s="41">
        <v>80839.42105264294</v>
      </c>
      <c r="AG169" s="41">
        <v>2653204.883054028</v>
      </c>
      <c r="AH169" s="41">
        <v>1304340.903701602</v>
      </c>
      <c r="AI169" s="41">
        <v>287516.34643429535</v>
      </c>
      <c r="AJ169" s="41">
        <v>4730.793040402689</v>
      </c>
      <c r="AK169" s="41">
        <v>6667.47456329218</v>
      </c>
      <c r="AL169" s="41">
        <v>513868.4610443267</v>
      </c>
      <c r="AM169" s="41">
        <v>5771019.007584061</v>
      </c>
      <c r="AN169" s="41">
        <v>473413.66733218095</v>
      </c>
      <c r="AO169" s="41">
        <v>1310804.928211641</v>
      </c>
      <c r="AP169" s="41">
        <v>6799.430923961775</v>
      </c>
      <c r="AQ169" s="41">
        <v>56.46746860882889</v>
      </c>
      <c r="AR169" s="41">
        <v>1275475.558172355</v>
      </c>
      <c r="AS169" s="41">
        <v>551373.2444168613</v>
      </c>
      <c r="AT169" s="41">
        <v>3133749.6854259903</v>
      </c>
      <c r="AU169" s="41">
        <v>556649.1941132229</v>
      </c>
      <c r="AV169" s="41">
        <v>704792.1515662796</v>
      </c>
      <c r="AW169" s="41">
        <v>6463.399717061707</v>
      </c>
      <c r="AX169" s="41">
        <v>17552.894701010857</v>
      </c>
      <c r="AY169" s="41">
        <v>3440748.1940261577</v>
      </c>
      <c r="AZ169" s="41">
        <v>62674.244916857555</v>
      </c>
      <c r="BA169" s="41">
        <v>1243230.4032332178</v>
      </c>
      <c r="BB169" s="41">
        <v>2406317.8034546683</v>
      </c>
      <c r="BC169" s="41">
        <v>10336.228839936572</v>
      </c>
      <c r="BD169" s="41">
        <v>7186.144199716852</v>
      </c>
      <c r="BE169" s="41">
        <v>1075807.4709702933</v>
      </c>
      <c r="BF169" s="16">
        <f t="shared" si="25"/>
        <v>26905618.4</v>
      </c>
    </row>
    <row r="170" ht="15.75" customHeight="1">
      <c r="B170" s="41">
        <v>9.0</v>
      </c>
      <c r="C170" s="41">
        <f t="shared" ref="C170:AB170" si="32">C141-C112</f>
        <v>-0.06012214579</v>
      </c>
      <c r="D170" s="41">
        <f t="shared" si="32"/>
        <v>-0.0454776253</v>
      </c>
      <c r="E170" s="41">
        <f t="shared" si="32"/>
        <v>-0.04932078171</v>
      </c>
      <c r="F170" s="41">
        <f t="shared" si="32"/>
        <v>-0.09649298683</v>
      </c>
      <c r="G170" s="41">
        <f t="shared" si="32"/>
        <v>-0.05636567406</v>
      </c>
      <c r="H170" s="41">
        <f t="shared" si="32"/>
        <v>-0.06723091595</v>
      </c>
      <c r="I170" s="41">
        <f t="shared" si="32"/>
        <v>-0.05221220656</v>
      </c>
      <c r="J170" s="41">
        <f t="shared" si="32"/>
        <v>-0.06350246279</v>
      </c>
      <c r="K170" s="41">
        <f t="shared" si="32"/>
        <v>0.8757431109</v>
      </c>
      <c r="L170" s="41">
        <f t="shared" si="32"/>
        <v>-0.03825379817</v>
      </c>
      <c r="M170" s="41">
        <f t="shared" si="32"/>
        <v>-0.0499726769</v>
      </c>
      <c r="N170" s="41">
        <f t="shared" si="32"/>
        <v>-0.05150614985</v>
      </c>
      <c r="O170" s="41">
        <f t="shared" si="32"/>
        <v>-0.05433464672</v>
      </c>
      <c r="P170" s="41">
        <f t="shared" si="32"/>
        <v>-0.0001106797917</v>
      </c>
      <c r="Q170" s="41">
        <f t="shared" si="32"/>
        <v>-0.0002168572497</v>
      </c>
      <c r="R170" s="41">
        <f t="shared" si="32"/>
        <v>-0.0001545946942</v>
      </c>
      <c r="S170" s="41">
        <f t="shared" si="32"/>
        <v>-0.0002768770885</v>
      </c>
      <c r="T170" s="41">
        <f t="shared" si="32"/>
        <v>-0.001010162258</v>
      </c>
      <c r="U170" s="41">
        <f t="shared" si="32"/>
        <v>-0.00006282344138</v>
      </c>
      <c r="V170" s="41">
        <f t="shared" si="32"/>
        <v>-0.000193193337</v>
      </c>
      <c r="W170" s="41">
        <f t="shared" si="32"/>
        <v>-0.0001557314124</v>
      </c>
      <c r="X170" s="41">
        <f t="shared" si="32"/>
        <v>-0.0003704039724</v>
      </c>
      <c r="Y170" s="41">
        <f t="shared" si="32"/>
        <v>-0.0000697185469</v>
      </c>
      <c r="Z170" s="41">
        <f t="shared" si="32"/>
        <v>-0.0004049090441</v>
      </c>
      <c r="AA170" s="41">
        <f t="shared" si="32"/>
        <v>-0.0001982779716</v>
      </c>
      <c r="AB170" s="41">
        <f t="shared" si="32"/>
        <v>-0.00006229997938</v>
      </c>
      <c r="AE170" s="41">
        <v>9.0</v>
      </c>
      <c r="AF170" s="41">
        <v>2.0912996165020753E7</v>
      </c>
      <c r="AG170" s="41">
        <v>2.0042889346599168E8</v>
      </c>
      <c r="AH170" s="41">
        <v>3.384083235856951E7</v>
      </c>
      <c r="AI170" s="41">
        <v>1.0096057088870753E8</v>
      </c>
      <c r="AJ170" s="41">
        <v>1389057.4511760008</v>
      </c>
      <c r="AK170" s="41">
        <v>2.7708106344327252E7</v>
      </c>
      <c r="AL170" s="41">
        <v>1.3161376037638783E9</v>
      </c>
      <c r="AM170" s="41">
        <v>1598676.7495411208</v>
      </c>
      <c r="AN170" s="41">
        <v>1.456512887437724E10</v>
      </c>
      <c r="AO170" s="41">
        <v>1.9736297905633297E9</v>
      </c>
      <c r="AP170" s="41">
        <v>1875423.7150956665</v>
      </c>
      <c r="AQ170" s="41">
        <v>194292.93648006098</v>
      </c>
      <c r="AR170" s="41">
        <v>1.523553153350604E8</v>
      </c>
      <c r="AS170" s="41">
        <v>7.8369030515256E7</v>
      </c>
      <c r="AT170" s="41">
        <v>2.8744586657624394E8</v>
      </c>
      <c r="AU170" s="41">
        <v>8.57480462206327E7</v>
      </c>
      <c r="AV170" s="41">
        <v>2.1577218740835333E8</v>
      </c>
      <c r="AW170" s="41">
        <v>1.5182972800228572E7</v>
      </c>
      <c r="AX170" s="41">
        <v>1.5259054629534047E7</v>
      </c>
      <c r="AY170" s="41">
        <v>2.844699887178722E9</v>
      </c>
      <c r="AZ170" s="41">
        <v>3.555790697111403E7</v>
      </c>
      <c r="BA170" s="41">
        <v>1.3896522755034552E9</v>
      </c>
      <c r="BB170" s="41">
        <v>1.6359910597801976E9</v>
      </c>
      <c r="BC170" s="41">
        <v>1.385719007985158E7</v>
      </c>
      <c r="BD170" s="41">
        <v>9995299.828701645</v>
      </c>
      <c r="BE170" s="41">
        <v>1.7975246157858455E8</v>
      </c>
      <c r="BF170" s="16">
        <f t="shared" si="25"/>
        <v>25203443673</v>
      </c>
    </row>
    <row r="171" ht="15.75" customHeight="1">
      <c r="B171" s="41">
        <v>10.0</v>
      </c>
      <c r="C171" s="41">
        <f t="shared" ref="C171:AB171" si="33">C142-C113</f>
        <v>-0.07679356412</v>
      </c>
      <c r="D171" s="41">
        <f t="shared" si="33"/>
        <v>-0.06588824724</v>
      </c>
      <c r="E171" s="41">
        <f t="shared" si="33"/>
        <v>-0.07312237208</v>
      </c>
      <c r="F171" s="41">
        <f t="shared" si="33"/>
        <v>-0.1197412986</v>
      </c>
      <c r="G171" s="41">
        <f t="shared" si="33"/>
        <v>-0.07769508321</v>
      </c>
      <c r="H171" s="41">
        <f t="shared" si="33"/>
        <v>-0.04081763574</v>
      </c>
      <c r="I171" s="41">
        <f t="shared" si="33"/>
        <v>-0.06476973875</v>
      </c>
      <c r="J171" s="41">
        <f t="shared" si="33"/>
        <v>-0.01120212383</v>
      </c>
      <c r="K171" s="41">
        <f t="shared" si="33"/>
        <v>-0.1359269324</v>
      </c>
      <c r="L171" s="41">
        <f t="shared" si="33"/>
        <v>0.8101802146</v>
      </c>
      <c r="M171" s="41">
        <f t="shared" si="33"/>
        <v>-0.08158478485</v>
      </c>
      <c r="N171" s="41">
        <f t="shared" si="33"/>
        <v>-0.07353022571</v>
      </c>
      <c r="O171" s="41">
        <f t="shared" si="33"/>
        <v>-0.05443894454</v>
      </c>
      <c r="P171" s="41">
        <f t="shared" si="33"/>
        <v>-0.0000401458187</v>
      </c>
      <c r="Q171" s="41">
        <f t="shared" si="33"/>
        <v>-0.00008503611329</v>
      </c>
      <c r="R171" s="41">
        <f t="shared" si="33"/>
        <v>-0.00004725245576</v>
      </c>
      <c r="S171" s="41">
        <f t="shared" si="33"/>
        <v>-0.00008561844871</v>
      </c>
      <c r="T171" s="41">
        <f t="shared" si="33"/>
        <v>-0.0002365022202</v>
      </c>
      <c r="U171" s="41">
        <f t="shared" si="33"/>
        <v>-0.0000461531892</v>
      </c>
      <c r="V171" s="41">
        <f t="shared" si="33"/>
        <v>-0.00008534064437</v>
      </c>
      <c r="W171" s="41">
        <f t="shared" si="33"/>
        <v>-0.00006651594914</v>
      </c>
      <c r="X171" s="41">
        <f t="shared" si="33"/>
        <v>-0.00007505419715</v>
      </c>
      <c r="Y171" s="41">
        <f t="shared" si="33"/>
        <v>-0.00009539101371</v>
      </c>
      <c r="Z171" s="41">
        <f t="shared" si="33"/>
        <v>-0.0003150456431</v>
      </c>
      <c r="AA171" s="41">
        <f t="shared" si="33"/>
        <v>-0.00006888721892</v>
      </c>
      <c r="AB171" s="41">
        <f t="shared" si="33"/>
        <v>-0.00003641662681</v>
      </c>
      <c r="AE171" s="41">
        <v>10.0</v>
      </c>
      <c r="AF171" s="41">
        <v>3624217.727575831</v>
      </c>
      <c r="AG171" s="41">
        <v>3.821030848152652E7</v>
      </c>
      <c r="AH171" s="41">
        <v>6435829.874587809</v>
      </c>
      <c r="AI171" s="41">
        <v>1.7355302833313927E7</v>
      </c>
      <c r="AJ171" s="41">
        <v>262428.81233637716</v>
      </c>
      <c r="AK171" s="41">
        <v>2812476.850382631</v>
      </c>
      <c r="AL171" s="41">
        <v>2.2330633807788178E8</v>
      </c>
      <c r="AM171" s="41">
        <v>80513.58361581364</v>
      </c>
      <c r="AN171" s="41">
        <v>3.0860882023899084E8</v>
      </c>
      <c r="AO171" s="41">
        <v>4.587117049307096E9</v>
      </c>
      <c r="AP171" s="41">
        <v>385747.7365799124</v>
      </c>
      <c r="AQ171" s="41">
        <v>36159.28707194536</v>
      </c>
      <c r="AR171" s="41">
        <v>2.236163644960907E7</v>
      </c>
      <c r="AS171" s="41">
        <v>6556083.6965537425</v>
      </c>
      <c r="AT171" s="41">
        <v>2.5664219459718216E7</v>
      </c>
      <c r="AU171" s="41">
        <v>7097128.118168854</v>
      </c>
      <c r="AV171" s="41">
        <v>1.7785076711773444E7</v>
      </c>
      <c r="AW171" s="41">
        <v>959103.6832443693</v>
      </c>
      <c r="AX171" s="41">
        <v>1531510.5723927922</v>
      </c>
      <c r="AY171" s="41">
        <v>2.768920300387051E8</v>
      </c>
      <c r="AZ171" s="41">
        <v>3154090.7006518813</v>
      </c>
      <c r="BA171" s="41">
        <v>9.184808975614673E7</v>
      </c>
      <c r="BB171" s="41">
        <v>2.141227757017912E8</v>
      </c>
      <c r="BC171" s="41">
        <v>1534482.7751841208</v>
      </c>
      <c r="BD171" s="41">
        <v>809816.3580379966</v>
      </c>
      <c r="BE171" s="41">
        <v>1.7599094045148887E7</v>
      </c>
      <c r="BF171" s="16">
        <f t="shared" si="25"/>
        <v>5876150331</v>
      </c>
    </row>
    <row r="172" ht="15.75" customHeight="1">
      <c r="B172" s="41">
        <v>11.0</v>
      </c>
      <c r="C172" s="41">
        <f t="shared" ref="C172:AB172" si="34">C143-C114</f>
        <v>-0.003391091162</v>
      </c>
      <c r="D172" s="41">
        <f t="shared" si="34"/>
        <v>-0.000635727482</v>
      </c>
      <c r="E172" s="41">
        <f t="shared" si="34"/>
        <v>-0.0009010509439</v>
      </c>
      <c r="F172" s="41">
        <f t="shared" si="34"/>
        <v>-0.005380387347</v>
      </c>
      <c r="G172" s="41">
        <f t="shared" si="34"/>
        <v>-0.2260004233</v>
      </c>
      <c r="H172" s="41">
        <f t="shared" si="34"/>
        <v>-0.0009548248365</v>
      </c>
      <c r="I172" s="41">
        <f t="shared" si="34"/>
        <v>-0.002699126617</v>
      </c>
      <c r="J172" s="41">
        <f t="shared" si="34"/>
        <v>-0.001095696749</v>
      </c>
      <c r="K172" s="41">
        <f t="shared" si="34"/>
        <v>-0.002541511302</v>
      </c>
      <c r="L172" s="41">
        <f t="shared" si="34"/>
        <v>-0.005900005107</v>
      </c>
      <c r="M172" s="41">
        <f t="shared" si="34"/>
        <v>0.7711556645</v>
      </c>
      <c r="N172" s="41">
        <f t="shared" si="34"/>
        <v>-0.001625422528</v>
      </c>
      <c r="O172" s="41">
        <f t="shared" si="34"/>
        <v>-0.001372403087</v>
      </c>
      <c r="P172" s="41">
        <f t="shared" si="34"/>
        <v>-0.0000009471934774</v>
      </c>
      <c r="Q172" s="41">
        <f t="shared" si="34"/>
        <v>-0.000001066210409</v>
      </c>
      <c r="R172" s="41">
        <f t="shared" si="34"/>
        <v>-0.000002595110281</v>
      </c>
      <c r="S172" s="41">
        <f t="shared" si="34"/>
        <v>-0.000003732732316</v>
      </c>
      <c r="T172" s="41">
        <f t="shared" si="34"/>
        <v>-0.00002686272475</v>
      </c>
      <c r="U172" s="41">
        <f t="shared" si="34"/>
        <v>-0.0000004982253164</v>
      </c>
      <c r="V172" s="41">
        <f t="shared" si="34"/>
        <v>-0.000001294061839</v>
      </c>
      <c r="W172" s="41">
        <f t="shared" si="34"/>
        <v>-0.000002202677695</v>
      </c>
      <c r="X172" s="41">
        <f t="shared" si="34"/>
        <v>-0.0000007560667588</v>
      </c>
      <c r="Y172" s="41">
        <f t="shared" si="34"/>
        <v>-0.0000004892726266</v>
      </c>
      <c r="Z172" s="41">
        <f t="shared" si="34"/>
        <v>-0.00003126912507</v>
      </c>
      <c r="AA172" s="41">
        <f t="shared" si="34"/>
        <v>-0.000001956391514</v>
      </c>
      <c r="AB172" s="41">
        <f t="shared" si="34"/>
        <v>-0.000000415374663</v>
      </c>
      <c r="AE172" s="41">
        <v>11.0</v>
      </c>
      <c r="AF172" s="41">
        <v>5848463.536929764</v>
      </c>
      <c r="AG172" s="41">
        <v>2.130387140085936E7</v>
      </c>
      <c r="AH172" s="41">
        <v>4317264.2408206975</v>
      </c>
      <c r="AI172" s="41">
        <v>2.0297275169558864E7</v>
      </c>
      <c r="AJ172" s="41">
        <v>1.0639616467823215E7</v>
      </c>
      <c r="AK172" s="41">
        <v>2299897.5107515836</v>
      </c>
      <c r="AL172" s="41">
        <v>2.612788462840852E8</v>
      </c>
      <c r="AM172" s="41">
        <v>125878.00388438815</v>
      </c>
      <c r="AN172" s="41">
        <v>2.1561327849554694E8</v>
      </c>
      <c r="AO172" s="41">
        <v>9.383761528047105E8</v>
      </c>
      <c r="AP172" s="41">
        <v>5.961899319781896E7</v>
      </c>
      <c r="AQ172" s="41">
        <v>30937.68271506903</v>
      </c>
      <c r="AR172" s="41">
        <v>1.901295523472167E7</v>
      </c>
      <c r="AS172" s="41">
        <v>5329225.269588929</v>
      </c>
      <c r="AT172" s="41">
        <v>1.9564936875615604E7</v>
      </c>
      <c r="AU172" s="41">
        <v>6847795.5812440235</v>
      </c>
      <c r="AV172" s="41">
        <v>1.7174337894760936E7</v>
      </c>
      <c r="AW172" s="41">
        <v>1604820.6099047435</v>
      </c>
      <c r="AX172" s="41">
        <v>1092890.4879843327</v>
      </c>
      <c r="AY172" s="41">
        <v>2.279646543757251E8</v>
      </c>
      <c r="AZ172" s="41">
        <v>2642144.106933669</v>
      </c>
      <c r="BA172" s="41">
        <v>6.333505479681694E7</v>
      </c>
      <c r="BB172" s="41">
        <v>1.2210910952629912E8</v>
      </c>
      <c r="BC172" s="41">
        <v>2788084.2786962604</v>
      </c>
      <c r="BD172" s="41">
        <v>690913.6135961164</v>
      </c>
      <c r="BE172" s="41">
        <v>1.3017712157624984E7</v>
      </c>
      <c r="BF172" s="16">
        <f t="shared" si="25"/>
        <v>2042925110</v>
      </c>
    </row>
    <row r="173" ht="15.75" customHeight="1">
      <c r="B173" s="41">
        <v>12.0</v>
      </c>
      <c r="C173" s="41">
        <f t="shared" ref="C173:AB173" si="35">C144-C115</f>
        <v>-0.001158193698</v>
      </c>
      <c r="D173" s="41">
        <f t="shared" si="35"/>
        <v>-0.0007707325697</v>
      </c>
      <c r="E173" s="41">
        <f t="shared" si="35"/>
        <v>-0.00125664343</v>
      </c>
      <c r="F173" s="41">
        <f t="shared" si="35"/>
        <v>-0.0003952017422</v>
      </c>
      <c r="G173" s="41">
        <f t="shared" si="35"/>
        <v>-0.002112298029</v>
      </c>
      <c r="H173" s="41">
        <f t="shared" si="35"/>
        <v>-0.0002218520931</v>
      </c>
      <c r="I173" s="41">
        <f t="shared" si="35"/>
        <v>-0.0004235436939</v>
      </c>
      <c r="J173" s="41">
        <f t="shared" si="35"/>
        <v>-0.0003426631766</v>
      </c>
      <c r="K173" s="41">
        <f t="shared" si="35"/>
        <v>-0.0006404430695</v>
      </c>
      <c r="L173" s="41">
        <f t="shared" si="35"/>
        <v>-0.002754398992</v>
      </c>
      <c r="M173" s="41">
        <f t="shared" si="35"/>
        <v>-0.002133816097</v>
      </c>
      <c r="N173" s="41">
        <f t="shared" si="35"/>
        <v>0.9801096446</v>
      </c>
      <c r="O173" s="41">
        <f t="shared" si="35"/>
        <v>-0.001608366322</v>
      </c>
      <c r="P173" s="41">
        <f t="shared" si="35"/>
        <v>-0.00000004952609676</v>
      </c>
      <c r="Q173" s="41">
        <f t="shared" si="35"/>
        <v>-0.00000002443901222</v>
      </c>
      <c r="R173" s="41">
        <f t="shared" si="35"/>
        <v>-0.00000001617907105</v>
      </c>
      <c r="S173" s="41">
        <f t="shared" si="35"/>
        <v>-0.00000002911650879</v>
      </c>
      <c r="T173" s="41">
        <f t="shared" si="35"/>
        <v>-0.00000009975263019</v>
      </c>
      <c r="U173" s="41">
        <f t="shared" si="35"/>
        <v>-0.000000007923923991</v>
      </c>
      <c r="V173" s="41">
        <f t="shared" si="35"/>
        <v>-0.00000003010402726</v>
      </c>
      <c r="W173" s="41">
        <f t="shared" si="35"/>
        <v>-0.00000001238783637</v>
      </c>
      <c r="X173" s="41">
        <f t="shared" si="35"/>
        <v>-0.00000003800876456</v>
      </c>
      <c r="Y173" s="41">
        <f t="shared" si="35"/>
        <v>-0.00000002386332294</v>
      </c>
      <c r="Z173" s="41">
        <f t="shared" si="35"/>
        <v>-0.0000001171450976</v>
      </c>
      <c r="AA173" s="41">
        <f t="shared" si="35"/>
        <v>-0.000000130151296</v>
      </c>
      <c r="AB173" s="41">
        <f t="shared" si="35"/>
        <v>-0.000000008999155442</v>
      </c>
      <c r="AE173" s="41">
        <v>12.0</v>
      </c>
      <c r="AF173" s="41">
        <v>13533.307484679855</v>
      </c>
      <c r="AG173" s="41">
        <v>123071.59847925889</v>
      </c>
      <c r="AH173" s="41">
        <v>25749.682383532625</v>
      </c>
      <c r="AI173" s="41">
        <v>31649.689624986437</v>
      </c>
      <c r="AJ173" s="41">
        <v>1566.459962618212</v>
      </c>
      <c r="AK173" s="41">
        <v>5691.335031822672</v>
      </c>
      <c r="AL173" s="41">
        <v>500040.3235917746</v>
      </c>
      <c r="AM173" s="41">
        <v>354.0333377456971</v>
      </c>
      <c r="AN173" s="41">
        <v>583213.7474624412</v>
      </c>
      <c r="AO173" s="41">
        <v>3666996.893767749</v>
      </c>
      <c r="AP173" s="41">
        <v>2279.544820194001</v>
      </c>
      <c r="AQ173" s="41">
        <v>74634.18214807975</v>
      </c>
      <c r="AR173" s="41">
        <v>134181.7992372988</v>
      </c>
      <c r="AS173" s="41">
        <v>11170.512058917793</v>
      </c>
      <c r="AT173" s="41">
        <v>46976.98904968524</v>
      </c>
      <c r="AU173" s="41">
        <v>13148.863853494655</v>
      </c>
      <c r="AV173" s="41">
        <v>30807.340461597836</v>
      </c>
      <c r="AW173" s="41">
        <v>1466.8716597963828</v>
      </c>
      <c r="AX173" s="41">
        <v>2440.836699231436</v>
      </c>
      <c r="AY173" s="41">
        <v>483526.0083528337</v>
      </c>
      <c r="AZ173" s="41">
        <v>5590.5412751886015</v>
      </c>
      <c r="BA173" s="41">
        <v>180837.14817483426</v>
      </c>
      <c r="BB173" s="41">
        <v>313481.5765130234</v>
      </c>
      <c r="BC173" s="41">
        <v>2176.7765608801765</v>
      </c>
      <c r="BD173" s="41">
        <v>1346.1598485461257</v>
      </c>
      <c r="BE173" s="41">
        <v>32463.857875424223</v>
      </c>
      <c r="BF173" s="16">
        <f t="shared" si="25"/>
        <v>6288396.08</v>
      </c>
    </row>
    <row r="174" ht="15.75" customHeight="1">
      <c r="B174" s="41">
        <v>13.0</v>
      </c>
      <c r="C174" s="41">
        <f t="shared" ref="C174:AB174" si="36">C145-C116</f>
        <v>-0.00131082684</v>
      </c>
      <c r="D174" s="41">
        <f t="shared" si="36"/>
        <v>-0.003398817247</v>
      </c>
      <c r="E174" s="41">
        <f t="shared" si="36"/>
        <v>-0.001299425329</v>
      </c>
      <c r="F174" s="41">
        <f t="shared" si="36"/>
        <v>-0.006091870711</v>
      </c>
      <c r="G174" s="41">
        <f t="shared" si="36"/>
        <v>-0.001775225417</v>
      </c>
      <c r="H174" s="41">
        <f t="shared" si="36"/>
        <v>-0.0009914529127</v>
      </c>
      <c r="I174" s="41">
        <f t="shared" si="36"/>
        <v>-0.002314097177</v>
      </c>
      <c r="J174" s="41">
        <f t="shared" si="36"/>
        <v>-0.0007899339281</v>
      </c>
      <c r="K174" s="41">
        <f t="shared" si="36"/>
        <v>-0.006033425029</v>
      </c>
      <c r="L174" s="41">
        <f t="shared" si="36"/>
        <v>-0.003774402691</v>
      </c>
      <c r="M174" s="41">
        <f t="shared" si="36"/>
        <v>-0.001799711334</v>
      </c>
      <c r="N174" s="41">
        <f t="shared" si="36"/>
        <v>-0.002744107295</v>
      </c>
      <c r="O174" s="41">
        <f t="shared" si="36"/>
        <v>0.9900987304</v>
      </c>
      <c r="P174" s="41">
        <f t="shared" si="36"/>
        <v>-0.000009121527182</v>
      </c>
      <c r="Q174" s="41">
        <f t="shared" si="36"/>
        <v>-0.00001838887753</v>
      </c>
      <c r="R174" s="41">
        <f t="shared" si="36"/>
        <v>-0.0000126975959</v>
      </c>
      <c r="S174" s="41">
        <f t="shared" si="36"/>
        <v>-0.000009755379525</v>
      </c>
      <c r="T174" s="41">
        <f t="shared" si="36"/>
        <v>-0.00006454966833</v>
      </c>
      <c r="U174" s="41">
        <f t="shared" si="36"/>
        <v>-0.00001023593901</v>
      </c>
      <c r="V174" s="41">
        <f t="shared" si="36"/>
        <v>-0.00005634733288</v>
      </c>
      <c r="W174" s="41">
        <f t="shared" si="36"/>
        <v>-0.0001049474608</v>
      </c>
      <c r="X174" s="41">
        <f t="shared" si="36"/>
        <v>-0.0003406577963</v>
      </c>
      <c r="Y174" s="41">
        <f t="shared" si="36"/>
        <v>-0.00006322089127</v>
      </c>
      <c r="Z174" s="41">
        <f t="shared" si="36"/>
        <v>-0.00006389716645</v>
      </c>
      <c r="AA174" s="41">
        <f t="shared" si="36"/>
        <v>-0.00001736037385</v>
      </c>
      <c r="AB174" s="41">
        <f t="shared" si="36"/>
        <v>-0.00003654581355</v>
      </c>
      <c r="AE174" s="41">
        <v>13.0</v>
      </c>
      <c r="AF174" s="41">
        <v>167135.07688145078</v>
      </c>
      <c r="AG174" s="41">
        <v>3434763.1320253504</v>
      </c>
      <c r="AH174" s="41">
        <v>324519.4509420115</v>
      </c>
      <c r="AI174" s="41">
        <v>1528438.624940801</v>
      </c>
      <c r="AJ174" s="41">
        <v>13537.87825305137</v>
      </c>
      <c r="AK174" s="41">
        <v>163257.49452508916</v>
      </c>
      <c r="AL174" s="41">
        <v>1.575165992105986E7</v>
      </c>
      <c r="AM174" s="41">
        <v>8231.002455285347</v>
      </c>
      <c r="AN174" s="41">
        <v>2.5225583837659657E7</v>
      </c>
      <c r="AO174" s="41">
        <v>4.177359249982995E7</v>
      </c>
      <c r="AP174" s="41">
        <v>19459.11552470513</v>
      </c>
      <c r="AQ174" s="41">
        <v>2583.3794992941685</v>
      </c>
      <c r="AR174" s="41">
        <v>4.942342746982402E8</v>
      </c>
      <c r="AS174" s="41">
        <v>5382621.260256155</v>
      </c>
      <c r="AT174" s="41">
        <v>1.6394662641385568E7</v>
      </c>
      <c r="AU174" s="41">
        <v>5269404.513602347</v>
      </c>
      <c r="AV174" s="41">
        <v>1.070304129124855E7</v>
      </c>
      <c r="AW174" s="41">
        <v>473810.2011961659</v>
      </c>
      <c r="AX174" s="41">
        <v>1290900.2263682268</v>
      </c>
      <c r="AY174" s="41">
        <v>2.0940956346967688E8</v>
      </c>
      <c r="AZ174" s="41">
        <v>3978186.474310548</v>
      </c>
      <c r="BA174" s="41">
        <v>2.2550713743505743E8</v>
      </c>
      <c r="BB174" s="41">
        <v>2.170099197025221E8</v>
      </c>
      <c r="BC174" s="41">
        <v>743223.1732672215</v>
      </c>
      <c r="BD174" s="41">
        <v>597881.5396271134</v>
      </c>
      <c r="BE174" s="41">
        <v>1.731906770332359E7</v>
      </c>
      <c r="BF174" s="16">
        <f t="shared" si="25"/>
        <v>1296726456</v>
      </c>
    </row>
    <row r="175" ht="15.75" customHeight="1">
      <c r="B175" s="41">
        <v>14.0</v>
      </c>
      <c r="C175" s="41">
        <f t="shared" ref="C175:AB175" si="37">C146-C117</f>
        <v>-0.01550837378</v>
      </c>
      <c r="D175" s="41">
        <f t="shared" si="37"/>
        <v>-0.02850680796</v>
      </c>
      <c r="E175" s="41">
        <f t="shared" si="37"/>
        <v>-0.1088281615</v>
      </c>
      <c r="F175" s="41">
        <f t="shared" si="37"/>
        <v>-0.00008014600877</v>
      </c>
      <c r="G175" s="41">
        <f t="shared" si="37"/>
        <v>-0.00003183061603</v>
      </c>
      <c r="H175" s="41">
        <f t="shared" si="37"/>
        <v>-0.00006631147079</v>
      </c>
      <c r="I175" s="41">
        <f t="shared" si="37"/>
        <v>-0.0007175740932</v>
      </c>
      <c r="J175" s="41">
        <f t="shared" si="37"/>
        <v>-0.0002278280375</v>
      </c>
      <c r="K175" s="41">
        <f t="shared" si="37"/>
        <v>-0.0001299898067</v>
      </c>
      <c r="L175" s="41">
        <f t="shared" si="37"/>
        <v>-0.0001644527783</v>
      </c>
      <c r="M175" s="41">
        <f t="shared" si="37"/>
        <v>-0.00004086041522</v>
      </c>
      <c r="N175" s="41">
        <f t="shared" si="37"/>
        <v>-0.00000521317311</v>
      </c>
      <c r="O175" s="41">
        <f t="shared" si="37"/>
        <v>-0.005692333816</v>
      </c>
      <c r="P175" s="41">
        <f t="shared" si="37"/>
        <v>0.7996750996</v>
      </c>
      <c r="Q175" s="41">
        <f t="shared" si="37"/>
        <v>-0.2320392453</v>
      </c>
      <c r="R175" s="41">
        <f t="shared" si="37"/>
        <v>-0.04112155266</v>
      </c>
      <c r="S175" s="41">
        <f t="shared" si="37"/>
        <v>-0.002613946747</v>
      </c>
      <c r="T175" s="41">
        <f t="shared" si="37"/>
        <v>-0.001346256164</v>
      </c>
      <c r="U175" s="41">
        <f t="shared" si="37"/>
        <v>-0.004973638231</v>
      </c>
      <c r="V175" s="41">
        <f t="shared" si="37"/>
        <v>-0.009165985803</v>
      </c>
      <c r="W175" s="41">
        <f t="shared" si="37"/>
        <v>-0.0394525096</v>
      </c>
      <c r="X175" s="41">
        <f t="shared" si="37"/>
        <v>-0.001779586559</v>
      </c>
      <c r="Y175" s="41">
        <f t="shared" si="37"/>
        <v>-0.002709128619</v>
      </c>
      <c r="Z175" s="41">
        <f t="shared" si="37"/>
        <v>-0.002522918518</v>
      </c>
      <c r="AA175" s="41">
        <f t="shared" si="37"/>
        <v>-0.002911466934</v>
      </c>
      <c r="AB175" s="41">
        <f t="shared" si="37"/>
        <v>-0.01103695104</v>
      </c>
      <c r="AE175" s="41">
        <v>14.0</v>
      </c>
      <c r="AF175" s="41">
        <v>2.788325742281752E7</v>
      </c>
      <c r="AG175" s="41">
        <v>7.347451152049979E8</v>
      </c>
      <c r="AH175" s="41">
        <v>2.724381116734253E8</v>
      </c>
      <c r="AI175" s="41">
        <v>9.47751133077468E7</v>
      </c>
      <c r="AJ175" s="41">
        <v>153031.98135629942</v>
      </c>
      <c r="AK175" s="41">
        <v>3800480.649433135</v>
      </c>
      <c r="AL175" s="41">
        <v>6.966621389182494E8</v>
      </c>
      <c r="AM175" s="41">
        <v>1124173.90975978</v>
      </c>
      <c r="AN175" s="41">
        <v>2.585074643398284E8</v>
      </c>
      <c r="AO175" s="41">
        <v>6.028888958130324E8</v>
      </c>
      <c r="AP175" s="41">
        <v>214049.10824012436</v>
      </c>
      <c r="AQ175" s="41">
        <v>35418.33476889792</v>
      </c>
      <c r="AR175" s="41">
        <v>1.4676368613551462E8</v>
      </c>
      <c r="AS175" s="41">
        <v>1.0808835146337827E12</v>
      </c>
      <c r="AT175" s="41">
        <v>6.039695022573799E11</v>
      </c>
      <c r="AU175" s="41">
        <v>6.868800883305092E10</v>
      </c>
      <c r="AV175" s="41">
        <v>6.2235796265576645E10</v>
      </c>
      <c r="AW175" s="41">
        <v>4.6611686089521927E8</v>
      </c>
      <c r="AX175" s="41">
        <v>2.998415076603787E9</v>
      </c>
      <c r="AY175" s="41">
        <v>4.366318502428198E11</v>
      </c>
      <c r="AZ175" s="41">
        <v>1.6773231504633331E10</v>
      </c>
      <c r="BA175" s="41">
        <v>8.104116513754268E10</v>
      </c>
      <c r="BB175" s="41">
        <v>2.70971026585971E11</v>
      </c>
      <c r="BC175" s="41">
        <v>8.800079624241681E8</v>
      </c>
      <c r="BD175" s="41">
        <v>1.0315629763179699E9</v>
      </c>
      <c r="BE175" s="41">
        <v>1.0323607391576329E11</v>
      </c>
      <c r="BF175" s="16">
        <f t="shared" si="25"/>
        <v>2732646263190</v>
      </c>
    </row>
    <row r="176" ht="15.75" customHeight="1">
      <c r="B176" s="41">
        <v>15.0</v>
      </c>
      <c r="C176" s="41">
        <f t="shared" ref="C176:AB176" si="38">C147-C118</f>
        <v>-0.0003718219365</v>
      </c>
      <c r="D176" s="41">
        <f t="shared" si="38"/>
        <v>-0.03644136877</v>
      </c>
      <c r="E176" s="41">
        <f t="shared" si="38"/>
        <v>-0.01770632042</v>
      </c>
      <c r="F176" s="41">
        <f t="shared" si="38"/>
        <v>-0.00784227341</v>
      </c>
      <c r="G176" s="41">
        <f t="shared" si="38"/>
        <v>-0.0000123391912</v>
      </c>
      <c r="H176" s="41">
        <f t="shared" si="38"/>
        <v>-0.00006049136295</v>
      </c>
      <c r="I176" s="41">
        <f t="shared" si="38"/>
        <v>-0.002036580302</v>
      </c>
      <c r="J176" s="41">
        <f t="shared" si="38"/>
        <v>-0.0002737819784</v>
      </c>
      <c r="K176" s="41">
        <f t="shared" si="38"/>
        <v>-0.001108021701</v>
      </c>
      <c r="L176" s="41">
        <f t="shared" si="38"/>
        <v>-0.0003899996923</v>
      </c>
      <c r="M176" s="41">
        <f t="shared" si="38"/>
        <v>-0.00001281580555</v>
      </c>
      <c r="N176" s="41">
        <f t="shared" si="38"/>
        <v>-0.00003618988875</v>
      </c>
      <c r="O176" s="41">
        <f t="shared" si="38"/>
        <v>-0.01284916739</v>
      </c>
      <c r="P176" s="41">
        <f t="shared" si="38"/>
        <v>-0.002825495421</v>
      </c>
      <c r="Q176" s="41">
        <f t="shared" si="38"/>
        <v>0.863760113</v>
      </c>
      <c r="R176" s="41">
        <f t="shared" si="38"/>
        <v>-0.07999938023</v>
      </c>
      <c r="S176" s="41">
        <f t="shared" si="38"/>
        <v>-0.03918642528</v>
      </c>
      <c r="T176" s="41">
        <f t="shared" si="38"/>
        <v>-0.003064406968</v>
      </c>
      <c r="U176" s="41">
        <f t="shared" si="38"/>
        <v>-0.001294682375</v>
      </c>
      <c r="V176" s="41">
        <f t="shared" si="38"/>
        <v>-0.002316830815</v>
      </c>
      <c r="W176" s="41">
        <f t="shared" si="38"/>
        <v>-0.01691784723</v>
      </c>
      <c r="X176" s="41">
        <f t="shared" si="38"/>
        <v>-0.003115283212</v>
      </c>
      <c r="Y176" s="41">
        <f t="shared" si="38"/>
        <v>-0.003354565426</v>
      </c>
      <c r="Z176" s="41">
        <f t="shared" si="38"/>
        <v>-0.004438510552</v>
      </c>
      <c r="AA176" s="41">
        <f t="shared" si="38"/>
        <v>-0.003078700058</v>
      </c>
      <c r="AB176" s="41">
        <f t="shared" si="38"/>
        <v>-0.07370158622</v>
      </c>
      <c r="AE176" s="41">
        <v>15.0</v>
      </c>
      <c r="AF176" s="41">
        <v>674425.7890821315</v>
      </c>
      <c r="AG176" s="41">
        <v>1.0059206241603927E8</v>
      </c>
      <c r="AH176" s="41">
        <v>8828827.378020825</v>
      </c>
      <c r="AI176" s="41">
        <v>1.1837411127421267E7</v>
      </c>
      <c r="AJ176" s="41">
        <v>20842.88757820655</v>
      </c>
      <c r="AK176" s="41">
        <v>422662.2650654486</v>
      </c>
      <c r="AL176" s="41">
        <v>7.951170327062365E7</v>
      </c>
      <c r="AM176" s="41">
        <v>83306.4427407182</v>
      </c>
      <c r="AN176" s="41">
        <v>4.696687081177526E7</v>
      </c>
      <c r="AO176" s="41">
        <v>1.1671341713311364E8</v>
      </c>
      <c r="AP176" s="41">
        <v>29534.391220505546</v>
      </c>
      <c r="AQ176" s="41">
        <v>4508.306954709091</v>
      </c>
      <c r="AR176" s="41">
        <v>2.7910214576440148E7</v>
      </c>
      <c r="AS176" s="41">
        <v>1.3198056919275846E9</v>
      </c>
      <c r="AT176" s="41">
        <v>3.290220754070237E11</v>
      </c>
      <c r="AU176" s="41">
        <v>1.2856770724323887E10</v>
      </c>
      <c r="AV176" s="41">
        <v>1.6367003332448639E10</v>
      </c>
      <c r="AW176" s="41">
        <v>6.467406426766938E7</v>
      </c>
      <c r="AX176" s="41">
        <v>1.9228593222487244E8</v>
      </c>
      <c r="AY176" s="41">
        <v>2.5100556626820576E10</v>
      </c>
      <c r="AZ176" s="41">
        <v>1.1150467736513808E9</v>
      </c>
      <c r="BA176" s="41">
        <v>1.1442378809667652E10</v>
      </c>
      <c r="BB176" s="41">
        <v>3.745845180733425E10</v>
      </c>
      <c r="BC176" s="41">
        <v>1.224663505651706E8</v>
      </c>
      <c r="BD176" s="41">
        <v>1.1896852754845442E8</v>
      </c>
      <c r="BE176" s="41">
        <v>3.3665085818469803E10</v>
      </c>
      <c r="BF176" s="16">
        <f t="shared" si="25"/>
        <v>469239165653</v>
      </c>
    </row>
    <row r="177" ht="15.75" customHeight="1">
      <c r="B177" s="41">
        <v>16.0</v>
      </c>
      <c r="C177" s="41">
        <f t="shared" ref="C177:AB177" si="39">C148-C119</f>
        <v>-0.00002542894</v>
      </c>
      <c r="D177" s="41">
        <f t="shared" si="39"/>
        <v>-0.0001985935929</v>
      </c>
      <c r="E177" s="41">
        <f t="shared" si="39"/>
        <v>-0.0005740287339</v>
      </c>
      <c r="F177" s="41">
        <f t="shared" si="39"/>
        <v>-0.01599422767</v>
      </c>
      <c r="G177" s="41">
        <f t="shared" si="39"/>
        <v>-0.00001276265471</v>
      </c>
      <c r="H177" s="41">
        <f t="shared" si="39"/>
        <v>-0.0001227038878</v>
      </c>
      <c r="I177" s="41">
        <f t="shared" si="39"/>
        <v>-0.000148088927</v>
      </c>
      <c r="J177" s="41">
        <f t="shared" si="39"/>
        <v>-0.00005893933918</v>
      </c>
      <c r="K177" s="41">
        <f t="shared" si="39"/>
        <v>-0.0002538629188</v>
      </c>
      <c r="L177" s="41">
        <f t="shared" si="39"/>
        <v>-0.0001101633711</v>
      </c>
      <c r="M177" s="41">
        <f t="shared" si="39"/>
        <v>-0.00001460664523</v>
      </c>
      <c r="N177" s="41">
        <f t="shared" si="39"/>
        <v>-0.000006476257245</v>
      </c>
      <c r="O177" s="41">
        <f t="shared" si="39"/>
        <v>-0.0005695619744</v>
      </c>
      <c r="P177" s="41">
        <f t="shared" si="39"/>
        <v>-0.001070858166</v>
      </c>
      <c r="Q177" s="41">
        <f t="shared" si="39"/>
        <v>-0.006792947912</v>
      </c>
      <c r="R177" s="41">
        <f t="shared" si="39"/>
        <v>0.927838692</v>
      </c>
      <c r="S177" s="41">
        <f t="shared" si="39"/>
        <v>-0.3191939758</v>
      </c>
      <c r="T177" s="41">
        <f t="shared" si="39"/>
        <v>-0.003120813838</v>
      </c>
      <c r="U177" s="41">
        <f t="shared" si="39"/>
        <v>-0.00125778832</v>
      </c>
      <c r="V177" s="41">
        <f t="shared" si="39"/>
        <v>-0.001624883164</v>
      </c>
      <c r="W177" s="41">
        <f t="shared" si="39"/>
        <v>-0.01258954118</v>
      </c>
      <c r="X177" s="41">
        <f t="shared" si="39"/>
        <v>-0.0009647252237</v>
      </c>
      <c r="Y177" s="41">
        <f t="shared" si="39"/>
        <v>-0.000643984119</v>
      </c>
      <c r="Z177" s="41">
        <f t="shared" si="39"/>
        <v>-0.001136260119</v>
      </c>
      <c r="AA177" s="41">
        <f t="shared" si="39"/>
        <v>-0.003843195891</v>
      </c>
      <c r="AB177" s="41">
        <f t="shared" si="39"/>
        <v>-0.01512559481</v>
      </c>
      <c r="AE177" s="41">
        <v>16.0</v>
      </c>
      <c r="AF177" s="41">
        <v>6370969.163310516</v>
      </c>
      <c r="AG177" s="41">
        <v>1.6255481492671236E8</v>
      </c>
      <c r="AH177" s="41">
        <v>5.751408820505838E7</v>
      </c>
      <c r="AI177" s="41">
        <v>3.532070078584803E8</v>
      </c>
      <c r="AJ177" s="41">
        <v>185938.41868888374</v>
      </c>
      <c r="AK177" s="41">
        <v>4554382.111594562</v>
      </c>
      <c r="AL177" s="41">
        <v>5.946400899050345E8</v>
      </c>
      <c r="AM177" s="41">
        <v>931041.975269746</v>
      </c>
      <c r="AN177" s="41">
        <v>5.535662519978205E8</v>
      </c>
      <c r="AO177" s="41">
        <v>9.204643220702858E8</v>
      </c>
      <c r="AP177" s="41">
        <v>262407.5113716869</v>
      </c>
      <c r="AQ177" s="41">
        <v>36627.80147598469</v>
      </c>
      <c r="AR177" s="41">
        <v>1.5332266575475952E8</v>
      </c>
      <c r="AS177" s="41">
        <v>1.3999971756662003E10</v>
      </c>
      <c r="AT177" s="41">
        <v>1.2610866094891537E11</v>
      </c>
      <c r="AU177" s="41">
        <v>2.3312527715087305E12</v>
      </c>
      <c r="AV177" s="41">
        <v>1.2197443719245005E12</v>
      </c>
      <c r="AW177" s="41">
        <v>8.6833506462187E8</v>
      </c>
      <c r="AX177" s="41">
        <v>2.348750875001827E9</v>
      </c>
      <c r="AY177" s="41">
        <v>2.9230086338461975E11</v>
      </c>
      <c r="AZ177" s="41">
        <v>1.4293604703917425E10</v>
      </c>
      <c r="BA177" s="41">
        <v>9.410178845628984E10</v>
      </c>
      <c r="BB177" s="41">
        <v>2.901899437143285E11</v>
      </c>
      <c r="BC177" s="41">
        <v>1.1349251635305998E9</v>
      </c>
      <c r="BD177" s="41">
        <v>1.8927540477719839E9</v>
      </c>
      <c r="BE177" s="41">
        <v>2.2459928610750293E11</v>
      </c>
      <c r="BF177" s="16">
        <f t="shared" si="25"/>
        <v>4615643638264</v>
      </c>
    </row>
    <row r="178" ht="15.75" customHeight="1">
      <c r="B178" s="41">
        <v>17.0</v>
      </c>
      <c r="C178" s="41">
        <f t="shared" ref="C178:AB178" si="40">C149-C120</f>
        <v>-0.0002155323627</v>
      </c>
      <c r="D178" s="41">
        <f t="shared" si="40"/>
        <v>-0.004228411092</v>
      </c>
      <c r="E178" s="41">
        <f t="shared" si="40"/>
        <v>-0.02025192085</v>
      </c>
      <c r="F178" s="41">
        <f t="shared" si="40"/>
        <v>-0.04443934019</v>
      </c>
      <c r="G178" s="41">
        <f t="shared" si="40"/>
        <v>-0.00002891100358</v>
      </c>
      <c r="H178" s="41">
        <f t="shared" si="40"/>
        <v>-0.0001034578522</v>
      </c>
      <c r="I178" s="41">
        <f t="shared" si="40"/>
        <v>-0.0008348776859</v>
      </c>
      <c r="J178" s="41">
        <f t="shared" si="40"/>
        <v>-0.0005178653381</v>
      </c>
      <c r="K178" s="41">
        <f t="shared" si="40"/>
        <v>-0.003917697575</v>
      </c>
      <c r="L178" s="41">
        <f t="shared" si="40"/>
        <v>-0.0004714195927</v>
      </c>
      <c r="M178" s="41">
        <f t="shared" si="40"/>
        <v>-0.000030659835</v>
      </c>
      <c r="N178" s="41">
        <f t="shared" si="40"/>
        <v>-0.00002838204154</v>
      </c>
      <c r="O178" s="41">
        <f t="shared" si="40"/>
        <v>-0.009583324118</v>
      </c>
      <c r="P178" s="41">
        <f t="shared" si="40"/>
        <v>-0.00213670219</v>
      </c>
      <c r="Q178" s="41">
        <f t="shared" si="40"/>
        <v>-0.03128989661</v>
      </c>
      <c r="R178" s="41">
        <f t="shared" si="40"/>
        <v>-0.01653424764</v>
      </c>
      <c r="S178" s="41">
        <f t="shared" si="40"/>
        <v>0.9216006174</v>
      </c>
      <c r="T178" s="41">
        <f t="shared" si="40"/>
        <v>-0.002345727052</v>
      </c>
      <c r="U178" s="41">
        <f t="shared" si="40"/>
        <v>-0.0007742545602</v>
      </c>
      <c r="V178" s="41">
        <f t="shared" si="40"/>
        <v>-0.001662954574</v>
      </c>
      <c r="W178" s="41">
        <f t="shared" si="40"/>
        <v>-0.007388326637</v>
      </c>
      <c r="X178" s="41">
        <f t="shared" si="40"/>
        <v>-0.001588004229</v>
      </c>
      <c r="Y178" s="41">
        <f t="shared" si="40"/>
        <v>-0.00259330706</v>
      </c>
      <c r="Z178" s="41">
        <f t="shared" si="40"/>
        <v>-0.004328494393</v>
      </c>
      <c r="AA178" s="41">
        <f t="shared" si="40"/>
        <v>-0.002414626402</v>
      </c>
      <c r="AB178" s="41">
        <f t="shared" si="40"/>
        <v>-0.04252483401</v>
      </c>
      <c r="AE178" s="41">
        <v>17.0</v>
      </c>
      <c r="AF178" s="41">
        <v>871717.1584163652</v>
      </c>
      <c r="AG178" s="41">
        <v>3.559504385867033E7</v>
      </c>
      <c r="AH178" s="41">
        <v>1.4720320748308713E7</v>
      </c>
      <c r="AI178" s="41">
        <v>5.708926942219104E7</v>
      </c>
      <c r="AJ178" s="41">
        <v>30897.56723647066</v>
      </c>
      <c r="AK178" s="41">
        <v>634176.2327947256</v>
      </c>
      <c r="AL178" s="41">
        <v>8.653200881170405E7</v>
      </c>
      <c r="AM178" s="41">
        <v>113675.04200955313</v>
      </c>
      <c r="AN178" s="41">
        <v>1.2223645542370112E8</v>
      </c>
      <c r="AO178" s="41">
        <v>1.516496051870644E8</v>
      </c>
      <c r="AP178" s="41">
        <v>43502.009536695325</v>
      </c>
      <c r="AQ178" s="41">
        <v>5820.481756978565</v>
      </c>
      <c r="AR178" s="41">
        <v>3.7315791983378984E7</v>
      </c>
      <c r="AS178" s="41">
        <v>1.5434250306181102E9</v>
      </c>
      <c r="AT178" s="41">
        <v>2.3680676164230694E10</v>
      </c>
      <c r="AU178" s="41">
        <v>5.928706150353453E9</v>
      </c>
      <c r="AV178" s="41">
        <v>3.8926051207966113E11</v>
      </c>
      <c r="AW178" s="41">
        <v>8.20433431287563E7</v>
      </c>
      <c r="AX178" s="41">
        <v>2.1561806853599954E8</v>
      </c>
      <c r="AY178" s="41">
        <v>3.0076158122808044E10</v>
      </c>
      <c r="AZ178" s="41">
        <v>9.878461012712913E8</v>
      </c>
      <c r="BA178" s="41">
        <v>1.1979679410520796E10</v>
      </c>
      <c r="BB178" s="41">
        <v>4.779504545685374E10</v>
      </c>
      <c r="BC178" s="41">
        <v>1.8012798111655372E8</v>
      </c>
      <c r="BD178" s="41">
        <v>1.4975274506275523E8</v>
      </c>
      <c r="BE178" s="41">
        <v>3.592316584867252E10</v>
      </c>
      <c r="BF178" s="16">
        <f t="shared" si="25"/>
        <v>548309594787</v>
      </c>
    </row>
    <row r="179" ht="15.75" customHeight="1">
      <c r="B179" s="41">
        <v>18.0</v>
      </c>
      <c r="C179" s="41">
        <f t="shared" ref="C179:AB179" si="41">C150-C121</f>
        <v>-0.00003101750552</v>
      </c>
      <c r="D179" s="41">
        <f t="shared" si="41"/>
        <v>-0.00005408845054</v>
      </c>
      <c r="E179" s="41">
        <f t="shared" si="41"/>
        <v>-0.00003158991752</v>
      </c>
      <c r="F179" s="41">
        <f t="shared" si="41"/>
        <v>-0.00006928642216</v>
      </c>
      <c r="G179" s="41">
        <f t="shared" si="41"/>
        <v>-0.001064152217</v>
      </c>
      <c r="H179" s="41">
        <f t="shared" si="41"/>
        <v>-0.000003875378719</v>
      </c>
      <c r="I179" s="41">
        <f t="shared" si="41"/>
        <v>-0.0001429099498</v>
      </c>
      <c r="J179" s="41">
        <f t="shared" si="41"/>
        <v>-0.00003773861258</v>
      </c>
      <c r="K179" s="41">
        <f t="shared" si="41"/>
        <v>-0.00005817769369</v>
      </c>
      <c r="L179" s="41">
        <f t="shared" si="41"/>
        <v>-0.00001139684422</v>
      </c>
      <c r="M179" s="41">
        <f t="shared" si="41"/>
        <v>-0.001033953114</v>
      </c>
      <c r="N179" s="41">
        <f t="shared" si="41"/>
        <v>-0.00001264894603</v>
      </c>
      <c r="O179" s="41">
        <f t="shared" si="41"/>
        <v>-0.000008074232414</v>
      </c>
      <c r="P179" s="41">
        <f t="shared" si="41"/>
        <v>-0.0002126291031</v>
      </c>
      <c r="Q179" s="41">
        <f t="shared" si="41"/>
        <v>-0.0004161137462</v>
      </c>
      <c r="R179" s="41">
        <f t="shared" si="41"/>
        <v>-0.0003827372157</v>
      </c>
      <c r="S179" s="41">
        <f t="shared" si="41"/>
        <v>-0.0006252552812</v>
      </c>
      <c r="T179" s="41">
        <f t="shared" si="41"/>
        <v>0.9633220525</v>
      </c>
      <c r="U179" s="41">
        <f t="shared" si="41"/>
        <v>-0.0003773283262</v>
      </c>
      <c r="V179" s="41">
        <f t="shared" si="41"/>
        <v>-0.0006034669845</v>
      </c>
      <c r="W179" s="41">
        <f t="shared" si="41"/>
        <v>-0.0003988839859</v>
      </c>
      <c r="X179" s="41">
        <f t="shared" si="41"/>
        <v>-0.0003478964228</v>
      </c>
      <c r="Y179" s="41">
        <f t="shared" si="41"/>
        <v>-0.0004726982662</v>
      </c>
      <c r="Z179" s="41">
        <f t="shared" si="41"/>
        <v>-0.03284023471</v>
      </c>
      <c r="AA179" s="41">
        <f t="shared" si="41"/>
        <v>-0.005960373615</v>
      </c>
      <c r="AB179" s="41">
        <f t="shared" si="41"/>
        <v>-0.0004613271069</v>
      </c>
      <c r="AE179" s="41">
        <v>18.0</v>
      </c>
      <c r="AF179" s="41">
        <v>6506862.899038868</v>
      </c>
      <c r="AG179" s="41">
        <v>5.4568144824512936E7</v>
      </c>
      <c r="AH179" s="41">
        <v>1.070016190917639E7</v>
      </c>
      <c r="AI179" s="41">
        <v>2.5508655403503954E7</v>
      </c>
      <c r="AJ179" s="41">
        <v>1486277.5287529563</v>
      </c>
      <c r="AK179" s="41">
        <v>3451431.1766923596</v>
      </c>
      <c r="AL179" s="41">
        <v>6.827176735002235E8</v>
      </c>
      <c r="AM179" s="41">
        <v>962822.4487715169</v>
      </c>
      <c r="AN179" s="41">
        <v>2.1722762659773704E8</v>
      </c>
      <c r="AO179" s="41">
        <v>4.313557182340972E8</v>
      </c>
      <c r="AP179" s="41">
        <v>2147512.218029355</v>
      </c>
      <c r="AQ179" s="41">
        <v>34894.95648712214</v>
      </c>
      <c r="AR179" s="41">
        <v>1.9661462750050336E7</v>
      </c>
      <c r="AS179" s="41">
        <v>8.564841828531889E9</v>
      </c>
      <c r="AT179" s="41">
        <v>2.827477309124934E10</v>
      </c>
      <c r="AU179" s="41">
        <v>9.783449373615282E9</v>
      </c>
      <c r="AV179" s="41">
        <v>2.3714661966387985E10</v>
      </c>
      <c r="AW179" s="41">
        <v>6.186878805165299E11</v>
      </c>
      <c r="AX179" s="41">
        <v>2.7422433503445363E9</v>
      </c>
      <c r="AY179" s="41">
        <v>3.565430653358715E11</v>
      </c>
      <c r="AZ179" s="41">
        <v>4.1336707109705753E9</v>
      </c>
      <c r="BA179" s="41">
        <v>9.88387062167976E10</v>
      </c>
      <c r="BB179" s="41">
        <v>3.4945355184725507E11</v>
      </c>
      <c r="BC179" s="41">
        <v>3.640790736663724E10</v>
      </c>
      <c r="BD179" s="41">
        <v>9.28786928789147E9</v>
      </c>
      <c r="BE179" s="41">
        <v>3.050857114503297E10</v>
      </c>
      <c r="BF179" s="16">
        <f t="shared" si="25"/>
        <v>1578397521282</v>
      </c>
    </row>
    <row r="180" ht="15.75" customHeight="1">
      <c r="B180" s="41">
        <v>19.0</v>
      </c>
      <c r="C180" s="41">
        <f t="shared" ref="C180:AB180" si="42">C151-C122</f>
        <v>-0.004956818682</v>
      </c>
      <c r="D180" s="41">
        <f t="shared" si="42"/>
        <v>-0.001678460799</v>
      </c>
      <c r="E180" s="41">
        <f t="shared" si="42"/>
        <v>-0.01876442446</v>
      </c>
      <c r="F180" s="41">
        <f t="shared" si="42"/>
        <v>-0.000844817971</v>
      </c>
      <c r="G180" s="41">
        <f t="shared" si="42"/>
        <v>-0.0004000386504</v>
      </c>
      <c r="H180" s="41">
        <f t="shared" si="42"/>
        <v>-0.04727344629</v>
      </c>
      <c r="I180" s="41">
        <f t="shared" si="42"/>
        <v>-0.02761232644</v>
      </c>
      <c r="J180" s="41">
        <f t="shared" si="42"/>
        <v>-0.6426427725</v>
      </c>
      <c r="K180" s="41">
        <f t="shared" si="42"/>
        <v>-0.004914040077</v>
      </c>
      <c r="L180" s="41">
        <f t="shared" si="42"/>
        <v>-0.0002697013305</v>
      </c>
      <c r="M180" s="41">
        <f t="shared" si="42"/>
        <v>-0.0004823403154</v>
      </c>
      <c r="N180" s="41">
        <f t="shared" si="42"/>
        <v>-0.0001237668267</v>
      </c>
      <c r="O180" s="41">
        <f t="shared" si="42"/>
        <v>-0.0006414240186</v>
      </c>
      <c r="P180" s="41">
        <f t="shared" si="42"/>
        <v>-0.004108888476</v>
      </c>
      <c r="Q180" s="41">
        <f t="shared" si="42"/>
        <v>-0.004656298882</v>
      </c>
      <c r="R180" s="41">
        <f t="shared" si="42"/>
        <v>-0.006126275439</v>
      </c>
      <c r="S180" s="41">
        <f t="shared" si="42"/>
        <v>-0.006815359137</v>
      </c>
      <c r="T180" s="41">
        <f t="shared" si="42"/>
        <v>-0.005282308311</v>
      </c>
      <c r="U180" s="41">
        <f t="shared" si="42"/>
        <v>0.8827277952</v>
      </c>
      <c r="V180" s="41">
        <f t="shared" si="42"/>
        <v>-0.05812158243</v>
      </c>
      <c r="W180" s="41">
        <f t="shared" si="42"/>
        <v>-0.04598384962</v>
      </c>
      <c r="X180" s="41">
        <f t="shared" si="42"/>
        <v>-0.02035334297</v>
      </c>
      <c r="Y180" s="41">
        <f t="shared" si="42"/>
        <v>-0.001219211278</v>
      </c>
      <c r="Z180" s="41">
        <f t="shared" si="42"/>
        <v>-0.009728944219</v>
      </c>
      <c r="AA180" s="41">
        <f t="shared" si="42"/>
        <v>-0.01015138427</v>
      </c>
      <c r="AB180" s="41">
        <f t="shared" si="42"/>
        <v>-0.001530164089</v>
      </c>
      <c r="AE180" s="41">
        <v>19.0</v>
      </c>
      <c r="AF180" s="41">
        <v>1.5869739199184783E7</v>
      </c>
      <c r="AG180" s="41">
        <v>9.471023211228597E7</v>
      </c>
      <c r="AH180" s="41">
        <v>3.7244582138107374E7</v>
      </c>
      <c r="AI180" s="41">
        <v>3.898229623903989E7</v>
      </c>
      <c r="AJ180" s="41">
        <v>331036.8099690099</v>
      </c>
      <c r="AK180" s="41">
        <v>3.584499186814489E7</v>
      </c>
      <c r="AL180" s="41">
        <v>2.0035810883544822E9</v>
      </c>
      <c r="AM180" s="41">
        <v>2.590860835974984E7</v>
      </c>
      <c r="AN180" s="41">
        <v>4.19521707001008E8</v>
      </c>
      <c r="AO180" s="41">
        <v>7.085807563176428E8</v>
      </c>
      <c r="AP180" s="41">
        <v>459118.0244016493</v>
      </c>
      <c r="AQ180" s="41">
        <v>85749.00463744462</v>
      </c>
      <c r="AR180" s="41">
        <v>4.093806914883208E7</v>
      </c>
      <c r="AS180" s="41">
        <v>1.085365334525246E10</v>
      </c>
      <c r="AT180" s="41">
        <v>2.529139561212368E10</v>
      </c>
      <c r="AU180" s="41">
        <v>8.713942431518145E9</v>
      </c>
      <c r="AV180" s="41">
        <v>1.824481976615921E10</v>
      </c>
      <c r="AW180" s="41">
        <v>5.658154863730037E8</v>
      </c>
      <c r="AX180" s="41">
        <v>9.824094326131612E10</v>
      </c>
      <c r="AY180" s="41">
        <v>8.116179873943462E11</v>
      </c>
      <c r="AZ180" s="41">
        <v>9.311629473234663E9</v>
      </c>
      <c r="BA180" s="41">
        <v>1.5139817379486874E11</v>
      </c>
      <c r="BB180" s="41">
        <v>1.812858498382218E11</v>
      </c>
      <c r="BC180" s="41">
        <v>1.0480029970421714E9</v>
      </c>
      <c r="BD180" s="41">
        <v>1.2290945264060302E9</v>
      </c>
      <c r="BE180" s="41">
        <v>1.6802659211195463E10</v>
      </c>
      <c r="BF180" s="16">
        <f t="shared" si="25"/>
        <v>1338026025113</v>
      </c>
    </row>
    <row r="181" ht="15.75" customHeight="1">
      <c r="B181" s="41">
        <v>20.0</v>
      </c>
      <c r="C181" s="41">
        <f t="shared" ref="C181:AB181" si="43">C152-C123</f>
        <v>-0.1524998974</v>
      </c>
      <c r="D181" s="41">
        <f t="shared" si="43"/>
        <v>-0.02982623645</v>
      </c>
      <c r="E181" s="41">
        <f t="shared" si="43"/>
        <v>-0.04204023341</v>
      </c>
      <c r="F181" s="41">
        <f t="shared" si="43"/>
        <v>-0.06401154902</v>
      </c>
      <c r="G181" s="41">
        <f t="shared" si="43"/>
        <v>-0.009514408279</v>
      </c>
      <c r="H181" s="41">
        <f t="shared" si="43"/>
        <v>-0.01637639727</v>
      </c>
      <c r="I181" s="41">
        <f t="shared" si="43"/>
        <v>-0.1753082893</v>
      </c>
      <c r="J181" s="41">
        <f t="shared" si="43"/>
        <v>-0.01934257139</v>
      </c>
      <c r="K181" s="41">
        <f t="shared" si="43"/>
        <v>-0.01917867847</v>
      </c>
      <c r="L181" s="41">
        <f t="shared" si="43"/>
        <v>-0.02122064168</v>
      </c>
      <c r="M181" s="41">
        <f t="shared" si="43"/>
        <v>-0.007031582267</v>
      </c>
      <c r="N181" s="41">
        <f t="shared" si="43"/>
        <v>-0.00972120577</v>
      </c>
      <c r="O181" s="41">
        <f t="shared" si="43"/>
        <v>-0.01230617482</v>
      </c>
      <c r="P181" s="41">
        <f t="shared" si="43"/>
        <v>-0.07912228861</v>
      </c>
      <c r="Q181" s="41">
        <f t="shared" si="43"/>
        <v>-0.08638539001</v>
      </c>
      <c r="R181" s="41">
        <f t="shared" si="43"/>
        <v>-0.07182869096</v>
      </c>
      <c r="S181" s="41">
        <f t="shared" si="43"/>
        <v>-0.09720568752</v>
      </c>
      <c r="T181" s="41">
        <f t="shared" si="43"/>
        <v>-0.1252313002</v>
      </c>
      <c r="U181" s="41">
        <f t="shared" si="43"/>
        <v>-0.1211553055</v>
      </c>
      <c r="V181" s="41">
        <f t="shared" si="43"/>
        <v>0.5965197463</v>
      </c>
      <c r="W181" s="41">
        <f t="shared" si="43"/>
        <v>-0.2308226296</v>
      </c>
      <c r="X181" s="41">
        <f t="shared" si="43"/>
        <v>-0.09018987912</v>
      </c>
      <c r="Y181" s="41">
        <f t="shared" si="43"/>
        <v>-0.06934692855</v>
      </c>
      <c r="Z181" s="41">
        <f t="shared" si="43"/>
        <v>-0.1243401511</v>
      </c>
      <c r="AA181" s="41">
        <f t="shared" si="43"/>
        <v>-0.1121835321</v>
      </c>
      <c r="AB181" s="41">
        <f t="shared" si="43"/>
        <v>-0.04301739392</v>
      </c>
      <c r="AE181" s="41">
        <v>20.0</v>
      </c>
      <c r="AF181" s="41">
        <v>1.0423166885573116E8</v>
      </c>
      <c r="AG181" s="41">
        <v>4.7408630060713917E8</v>
      </c>
      <c r="AH181" s="41">
        <v>1.089826715269329E8</v>
      </c>
      <c r="AI181" s="41">
        <v>2.21663023010176E8</v>
      </c>
      <c r="AJ181" s="41">
        <v>1455426.686988615</v>
      </c>
      <c r="AK181" s="41">
        <v>3.554540357611874E7</v>
      </c>
      <c r="AL181" s="41">
        <v>8.572281504181322E9</v>
      </c>
      <c r="AM181" s="41">
        <v>6539950.256932486</v>
      </c>
      <c r="AN181" s="41">
        <v>1.627090753879673E9</v>
      </c>
      <c r="AO181" s="41">
        <v>4.0968537524804235E9</v>
      </c>
      <c r="AP181" s="41">
        <v>1960792.725911871</v>
      </c>
      <c r="AQ181" s="41">
        <v>395231.93327667064</v>
      </c>
      <c r="AR181" s="41">
        <v>1.844975307440618E8</v>
      </c>
      <c r="AS181" s="41">
        <v>6.24322303069354E10</v>
      </c>
      <c r="AT181" s="41">
        <v>1.527580735898458E11</v>
      </c>
      <c r="AU181" s="41">
        <v>4.774783645472251E10</v>
      </c>
      <c r="AV181" s="41">
        <v>1.0420903435960808E11</v>
      </c>
      <c r="AW181" s="41">
        <v>3.8512063978201E9</v>
      </c>
      <c r="AX181" s="41">
        <v>1.776621890020515E10</v>
      </c>
      <c r="AY181" s="41">
        <v>8.370331386352123E12</v>
      </c>
      <c r="AZ181" s="41">
        <v>3.592906728227918E10</v>
      </c>
      <c r="BA181" s="41">
        <v>5.60626494881226E11</v>
      </c>
      <c r="BB181" s="41">
        <v>1.3890147982245305E12</v>
      </c>
      <c r="BC181" s="41">
        <v>6.186966946725405E9</v>
      </c>
      <c r="BD181" s="41">
        <v>6.846059336426939E9</v>
      </c>
      <c r="BE181" s="41">
        <v>1.041823924399935E11</v>
      </c>
      <c r="BF181" s="16">
        <f t="shared" si="25"/>
        <v>10877317349483</v>
      </c>
    </row>
    <row r="182" ht="15.75" customHeight="1">
      <c r="B182" s="41">
        <v>21.0</v>
      </c>
      <c r="C182" s="41">
        <f t="shared" ref="C182:AB182" si="44">C153-C124</f>
        <v>-0.003000402276</v>
      </c>
      <c r="D182" s="41">
        <f t="shared" si="44"/>
        <v>-0.00003517951647</v>
      </c>
      <c r="E182" s="41">
        <f t="shared" si="44"/>
        <v>-0.0003866655374</v>
      </c>
      <c r="F182" s="41">
        <f t="shared" si="44"/>
        <v>-0.00005416074759</v>
      </c>
      <c r="G182" s="41">
        <f t="shared" si="44"/>
        <v>-0.00005521428412</v>
      </c>
      <c r="H182" s="41">
        <f t="shared" si="44"/>
        <v>-0.00006642790544</v>
      </c>
      <c r="I182" s="41">
        <f t="shared" si="44"/>
        <v>-0.0004717920312</v>
      </c>
      <c r="J182" s="41">
        <f t="shared" si="44"/>
        <v>-0.0003454381787</v>
      </c>
      <c r="K182" s="41">
        <f t="shared" si="44"/>
        <v>-0.00002925100395</v>
      </c>
      <c r="L182" s="41">
        <f t="shared" si="44"/>
        <v>-0.00002707844364</v>
      </c>
      <c r="M182" s="41">
        <f t="shared" si="44"/>
        <v>-0.00005679503977</v>
      </c>
      <c r="N182" s="41">
        <f t="shared" si="44"/>
        <v>-0.00001073426208</v>
      </c>
      <c r="O182" s="41">
        <f t="shared" si="44"/>
        <v>-0.00002189706929</v>
      </c>
      <c r="P182" s="41">
        <f t="shared" si="44"/>
        <v>-0.06431873416</v>
      </c>
      <c r="Q182" s="41">
        <f t="shared" si="44"/>
        <v>-0.0006012000912</v>
      </c>
      <c r="R182" s="41">
        <f t="shared" si="44"/>
        <v>-0.002922547606</v>
      </c>
      <c r="S182" s="41">
        <f t="shared" si="44"/>
        <v>-0.001091613114</v>
      </c>
      <c r="T182" s="41">
        <f t="shared" si="44"/>
        <v>-0.0004516155823</v>
      </c>
      <c r="U182" s="41">
        <f t="shared" si="44"/>
        <v>-0.003094283728</v>
      </c>
      <c r="V182" s="41">
        <f t="shared" si="44"/>
        <v>-0.00135566462</v>
      </c>
      <c r="W182" s="41">
        <f t="shared" si="44"/>
        <v>0.8431675004</v>
      </c>
      <c r="X182" s="41">
        <f t="shared" si="44"/>
        <v>-0.0004301509697</v>
      </c>
      <c r="Y182" s="41">
        <f t="shared" si="44"/>
        <v>-0.0003837593513</v>
      </c>
      <c r="Z182" s="41">
        <f t="shared" si="44"/>
        <v>-0.0004069478294</v>
      </c>
      <c r="AA182" s="41">
        <f t="shared" si="44"/>
        <v>-0.0009868896358</v>
      </c>
      <c r="AB182" s="41">
        <f t="shared" si="44"/>
        <v>-0.0002979135396</v>
      </c>
      <c r="AE182" s="41">
        <v>21.0</v>
      </c>
      <c r="AF182" s="41">
        <v>4503755.724647195</v>
      </c>
      <c r="AG182" s="41">
        <v>4.1881286423796594E7</v>
      </c>
      <c r="AH182" s="41">
        <v>1.541145470388705E7</v>
      </c>
      <c r="AI182" s="41">
        <v>7116845.2709018625</v>
      </c>
      <c r="AJ182" s="41">
        <v>24111.750542189184</v>
      </c>
      <c r="AK182" s="41">
        <v>724157.7050414026</v>
      </c>
      <c r="AL182" s="41">
        <v>1.1876452409468402E8</v>
      </c>
      <c r="AM182" s="41">
        <v>278416.3292639927</v>
      </c>
      <c r="AN182" s="41">
        <v>2.927616124429204E7</v>
      </c>
      <c r="AO182" s="41">
        <v>6.756112035185161E7</v>
      </c>
      <c r="AP182" s="41">
        <v>33731.14182694739</v>
      </c>
      <c r="AQ182" s="41">
        <v>5507.6388706984135</v>
      </c>
      <c r="AR182" s="41">
        <v>9318379.669598253</v>
      </c>
      <c r="AS182" s="41">
        <v>5.428036081717769E10</v>
      </c>
      <c r="AT182" s="41">
        <v>3.221770992387581E10</v>
      </c>
      <c r="AU182" s="41">
        <v>5.659257721640628E9</v>
      </c>
      <c r="AV182" s="41">
        <v>5.860841449113608E9</v>
      </c>
      <c r="AW182" s="41">
        <v>6.6401895796801515E7</v>
      </c>
      <c r="AX182" s="41">
        <v>8.486422192111168E8</v>
      </c>
      <c r="AY182" s="41">
        <v>6.119050021076102E10</v>
      </c>
      <c r="AZ182" s="41">
        <v>1.6459206667336478E11</v>
      </c>
      <c r="BA182" s="41">
        <v>1.142692875001857E10</v>
      </c>
      <c r="BB182" s="41">
        <v>3.21794141951566E10</v>
      </c>
      <c r="BC182" s="41">
        <v>1.1142500524004015E8</v>
      </c>
      <c r="BD182" s="41">
        <v>1.7187247315736046E8</v>
      </c>
      <c r="BE182" s="41">
        <v>6.820070884810554E9</v>
      </c>
      <c r="BF182" s="16">
        <f t="shared" si="25"/>
        <v>375720391671</v>
      </c>
    </row>
    <row r="183" ht="15.75" customHeight="1">
      <c r="B183" s="41">
        <v>22.0</v>
      </c>
      <c r="C183" s="41">
        <f t="shared" ref="C183:AB183" si="45">C154-C125</f>
        <v>-0.00931831518</v>
      </c>
      <c r="D183" s="41">
        <f t="shared" si="45"/>
        <v>-0.02508407227</v>
      </c>
      <c r="E183" s="41">
        <f t="shared" si="45"/>
        <v>-0.02163489181</v>
      </c>
      <c r="F183" s="41">
        <f t="shared" si="45"/>
        <v>-0.08535530431</v>
      </c>
      <c r="G183" s="41">
        <f t="shared" si="45"/>
        <v>-0.01058463497</v>
      </c>
      <c r="H183" s="41">
        <f t="shared" si="45"/>
        <v>-0.02562309319</v>
      </c>
      <c r="I183" s="41">
        <f t="shared" si="45"/>
        <v>-0.03550638096</v>
      </c>
      <c r="J183" s="41">
        <f t="shared" si="45"/>
        <v>-0.08854859864</v>
      </c>
      <c r="K183" s="41">
        <f t="shared" si="45"/>
        <v>-0.04160223989</v>
      </c>
      <c r="L183" s="41">
        <f t="shared" si="45"/>
        <v>-0.00652326488</v>
      </c>
      <c r="M183" s="41">
        <f t="shared" si="45"/>
        <v>-0.01276767151</v>
      </c>
      <c r="N183" s="41">
        <f t="shared" si="45"/>
        <v>-0.01313950472</v>
      </c>
      <c r="O183" s="41">
        <f t="shared" si="45"/>
        <v>-0.005484299924</v>
      </c>
      <c r="P183" s="41">
        <f t="shared" si="45"/>
        <v>-0.06697580073</v>
      </c>
      <c r="Q183" s="41">
        <f t="shared" si="45"/>
        <v>-0.1265250888</v>
      </c>
      <c r="R183" s="41">
        <f t="shared" si="45"/>
        <v>-0.1155159443</v>
      </c>
      <c r="S183" s="41">
        <f t="shared" si="45"/>
        <v>-0.1323078673</v>
      </c>
      <c r="T183" s="41">
        <f t="shared" si="45"/>
        <v>-0.09364600636</v>
      </c>
      <c r="U183" s="41">
        <f t="shared" si="45"/>
        <v>-0.0861563623</v>
      </c>
      <c r="V183" s="41">
        <f t="shared" si="45"/>
        <v>-0.1086743866</v>
      </c>
      <c r="W183" s="41">
        <f t="shared" si="45"/>
        <v>-0.2043359244</v>
      </c>
      <c r="X183" s="41">
        <f t="shared" si="45"/>
        <v>0.8347606455</v>
      </c>
      <c r="Y183" s="41">
        <f t="shared" si="45"/>
        <v>-0.06203655932</v>
      </c>
      <c r="Z183" s="41">
        <f t="shared" si="45"/>
        <v>-0.09406529708</v>
      </c>
      <c r="AA183" s="41">
        <f t="shared" si="45"/>
        <v>-0.09221967695</v>
      </c>
      <c r="AB183" s="41">
        <f t="shared" si="45"/>
        <v>-0.1099968315</v>
      </c>
      <c r="AE183" s="41">
        <v>22.0</v>
      </c>
      <c r="AF183" s="41">
        <v>7.164162285765271E7</v>
      </c>
      <c r="AG183" s="41">
        <v>8.225959255132706E8</v>
      </c>
      <c r="AH183" s="41">
        <v>1.5589693062190732E8</v>
      </c>
      <c r="AI183" s="41">
        <v>4.9127639416291595E8</v>
      </c>
      <c r="AJ183" s="41">
        <v>2336175.5524570253</v>
      </c>
      <c r="AK183" s="41">
        <v>7.049903868034916E7</v>
      </c>
      <c r="AL183" s="41">
        <v>7.620769165057837E9</v>
      </c>
      <c r="AM183" s="41">
        <v>1.7005805890679717E7</v>
      </c>
      <c r="AN183" s="41">
        <v>3.9561045011770787E9</v>
      </c>
      <c r="AO183" s="41">
        <v>5.01319838135015E9</v>
      </c>
      <c r="AP183" s="41">
        <v>3441139.0862505124</v>
      </c>
      <c r="AQ183" s="41">
        <v>488384.774584931</v>
      </c>
      <c r="AR183" s="41">
        <v>2.783812172583738E8</v>
      </c>
      <c r="AS183" s="41">
        <v>1.2017805564272635E11</v>
      </c>
      <c r="AT183" s="41">
        <v>3.9082718817668774E11</v>
      </c>
      <c r="AU183" s="41">
        <v>1.3444312723118489E11</v>
      </c>
      <c r="AV183" s="41">
        <v>2.7747950369909033E11</v>
      </c>
      <c r="AW183" s="41">
        <v>6.885311438431117E9</v>
      </c>
      <c r="AX183" s="41">
        <v>3.0467398853539265E10</v>
      </c>
      <c r="AY183" s="41">
        <v>3.588729027711809E12</v>
      </c>
      <c r="AZ183" s="41">
        <v>7.081888746857732E10</v>
      </c>
      <c r="BA183" s="41">
        <v>8.636295413332951E12</v>
      </c>
      <c r="BB183" s="41">
        <v>2.78583260276964E12</v>
      </c>
      <c r="BC183" s="41">
        <v>1.1126087248900663E10</v>
      </c>
      <c r="BD183" s="41">
        <v>1.2894310513151682E10</v>
      </c>
      <c r="BE183" s="41">
        <v>3.5901420713008154E11</v>
      </c>
      <c r="BF183" s="16">
        <f t="shared" si="25"/>
        <v>16443494755899</v>
      </c>
    </row>
    <row r="184" ht="15.75" customHeight="1">
      <c r="B184" s="41">
        <v>23.0</v>
      </c>
      <c r="C184" s="41">
        <f t="shared" ref="C184:AB184" si="46">C155-C126</f>
        <v>-0.00508910242</v>
      </c>
      <c r="D184" s="41">
        <f t="shared" si="46"/>
        <v>-0.01178969046</v>
      </c>
      <c r="E184" s="41">
        <f t="shared" si="46"/>
        <v>-0.005746621507</v>
      </c>
      <c r="F184" s="41">
        <f t="shared" si="46"/>
        <v>-0.06162439575</v>
      </c>
      <c r="G184" s="41">
        <f t="shared" si="46"/>
        <v>-0.003672249048</v>
      </c>
      <c r="H184" s="41">
        <f t="shared" si="46"/>
        <v>-0.0046681523</v>
      </c>
      <c r="I184" s="41">
        <f t="shared" si="46"/>
        <v>-0.01745512988</v>
      </c>
      <c r="J184" s="41">
        <f t="shared" si="46"/>
        <v>-0.01332301663</v>
      </c>
      <c r="K184" s="41">
        <f t="shared" si="46"/>
        <v>-0.0143655859</v>
      </c>
      <c r="L184" s="41">
        <f t="shared" si="46"/>
        <v>-0.02638435792</v>
      </c>
      <c r="M184" s="41">
        <f t="shared" si="46"/>
        <v>-0.003727681857</v>
      </c>
      <c r="N184" s="41">
        <f t="shared" si="46"/>
        <v>-0.002115708586</v>
      </c>
      <c r="O184" s="41">
        <f t="shared" si="46"/>
        <v>-0.00489013001</v>
      </c>
      <c r="P184" s="41">
        <f t="shared" si="46"/>
        <v>-0.04432625479</v>
      </c>
      <c r="Q184" s="41">
        <f t="shared" si="46"/>
        <v>-0.06291693193</v>
      </c>
      <c r="R184" s="41">
        <f t="shared" si="46"/>
        <v>-0.04681823704</v>
      </c>
      <c r="S184" s="41">
        <f t="shared" si="46"/>
        <v>-0.04960956421</v>
      </c>
      <c r="T184" s="41">
        <f t="shared" si="46"/>
        <v>-0.1726569203</v>
      </c>
      <c r="U184" s="41">
        <f t="shared" si="46"/>
        <v>-0.08062617621</v>
      </c>
      <c r="V184" s="41">
        <f t="shared" si="46"/>
        <v>-0.07466945559</v>
      </c>
      <c r="W184" s="41">
        <f t="shared" si="46"/>
        <v>-0.09112488407</v>
      </c>
      <c r="X184" s="41">
        <f t="shared" si="46"/>
        <v>-0.1082310681</v>
      </c>
      <c r="Y184" s="41">
        <f t="shared" si="46"/>
        <v>0.7850981789</v>
      </c>
      <c r="Z184" s="41">
        <f t="shared" si="46"/>
        <v>-0.1513882395</v>
      </c>
      <c r="AA184" s="41">
        <f t="shared" si="46"/>
        <v>-0.1209488703</v>
      </c>
      <c r="AB184" s="41">
        <f t="shared" si="46"/>
        <v>-0.111531924</v>
      </c>
      <c r="AE184" s="41">
        <v>23.0</v>
      </c>
      <c r="AF184" s="41">
        <v>3013157.0150984954</v>
      </c>
      <c r="AG184" s="41">
        <v>3.0888188803990394E7</v>
      </c>
      <c r="AH184" s="41">
        <v>5663404.9057948515</v>
      </c>
      <c r="AI184" s="41">
        <v>2.093131753961735E7</v>
      </c>
      <c r="AJ184" s="41">
        <v>88893.84575348464</v>
      </c>
      <c r="AK184" s="41">
        <v>2165640.6696341312</v>
      </c>
      <c r="AL184" s="41">
        <v>3.0313220361358017E8</v>
      </c>
      <c r="AM184" s="41">
        <v>581249.1002235421</v>
      </c>
      <c r="AN184" s="41">
        <v>1.3446466773469228E8</v>
      </c>
      <c r="AO184" s="41">
        <v>3.9162821342018116E8</v>
      </c>
      <c r="AP184" s="41">
        <v>126881.9634313189</v>
      </c>
      <c r="AQ184" s="41">
        <v>17276.588280654803</v>
      </c>
      <c r="AR184" s="41">
        <v>1.2007089034427255E7</v>
      </c>
      <c r="AS184" s="41">
        <v>4.842957530713021E9</v>
      </c>
      <c r="AT184" s="41">
        <v>1.3949637465792397E10</v>
      </c>
      <c r="AU184" s="41">
        <v>4.2851889013825035E9</v>
      </c>
      <c r="AV184" s="41">
        <v>8.536170584741906E9</v>
      </c>
      <c r="AW184" s="41">
        <v>5.484904135073477E8</v>
      </c>
      <c r="AX184" s="41">
        <v>1.5614697982409077E9</v>
      </c>
      <c r="AY184" s="41">
        <v>1.547511822647399E11</v>
      </c>
      <c r="AZ184" s="41">
        <v>2.4108844698942714E9</v>
      </c>
      <c r="BA184" s="41">
        <v>7.260264438976575E10</v>
      </c>
      <c r="BB184" s="41">
        <v>1.4449269593449927E12</v>
      </c>
      <c r="BC184" s="41">
        <v>8.14108467420208E8</v>
      </c>
      <c r="BD184" s="41">
        <v>8.281895212623827E8</v>
      </c>
      <c r="BE184" s="41">
        <v>1.865967991091673E10</v>
      </c>
      <c r="BF184" s="16">
        <f t="shared" si="25"/>
        <v>1729622271248</v>
      </c>
    </row>
    <row r="185" ht="15.75" customHeight="1">
      <c r="B185" s="41">
        <v>24.0</v>
      </c>
      <c r="C185" s="41">
        <f t="shared" ref="C185:AB185" si="47">C156-C127</f>
        <v>-0.0000205325037</v>
      </c>
      <c r="D185" s="41">
        <f t="shared" si="47"/>
        <v>-0.0001027333933</v>
      </c>
      <c r="E185" s="41">
        <f t="shared" si="47"/>
        <v>-0.0000264994424</v>
      </c>
      <c r="F185" s="41">
        <f t="shared" si="47"/>
        <v>-0.0001671188006</v>
      </c>
      <c r="G185" s="41">
        <f t="shared" si="47"/>
        <v>-0.002351569584</v>
      </c>
      <c r="H185" s="41">
        <f t="shared" si="47"/>
        <v>-0.00001597366134</v>
      </c>
      <c r="I185" s="41">
        <f t="shared" si="47"/>
        <v>-0.0006581049234</v>
      </c>
      <c r="J185" s="41">
        <f t="shared" si="47"/>
        <v>-0.0000899083377</v>
      </c>
      <c r="K185" s="41">
        <f t="shared" si="47"/>
        <v>-0.000171923805</v>
      </c>
      <c r="L185" s="41">
        <f t="shared" si="47"/>
        <v>-0.00001882006022</v>
      </c>
      <c r="M185" s="41">
        <f t="shared" si="47"/>
        <v>-0.003271682832</v>
      </c>
      <c r="N185" s="41">
        <f t="shared" si="47"/>
        <v>-0.00003126341118</v>
      </c>
      <c r="O185" s="41">
        <f t="shared" si="47"/>
        <v>-0.00001667369123</v>
      </c>
      <c r="P185" s="41">
        <f t="shared" si="47"/>
        <v>-0.000600366624</v>
      </c>
      <c r="Q185" s="41">
        <f t="shared" si="47"/>
        <v>-0.00120849335</v>
      </c>
      <c r="R185" s="41">
        <f t="shared" si="47"/>
        <v>-0.001418503979</v>
      </c>
      <c r="S185" s="41">
        <f t="shared" si="47"/>
        <v>-0.001887904518</v>
      </c>
      <c r="T185" s="41">
        <f t="shared" si="47"/>
        <v>-0.07727175276</v>
      </c>
      <c r="U185" s="41">
        <f t="shared" si="47"/>
        <v>-0.001388836201</v>
      </c>
      <c r="V185" s="41">
        <f t="shared" si="47"/>
        <v>-0.001318245737</v>
      </c>
      <c r="W185" s="41">
        <f t="shared" si="47"/>
        <v>-0.0009742685296</v>
      </c>
      <c r="X185" s="41">
        <f t="shared" si="47"/>
        <v>-0.001007307371</v>
      </c>
      <c r="Y185" s="41">
        <f t="shared" si="47"/>
        <v>-0.001391852636</v>
      </c>
      <c r="Z185" s="41">
        <f t="shared" si="47"/>
        <v>0.9163773365</v>
      </c>
      <c r="AA185" s="41">
        <f t="shared" si="47"/>
        <v>-0.01157763535</v>
      </c>
      <c r="AB185" s="41">
        <f t="shared" si="47"/>
        <v>-0.001753668397</v>
      </c>
      <c r="AE185" s="41">
        <v>24.0</v>
      </c>
      <c r="AF185" s="41">
        <v>4366596.764616287</v>
      </c>
      <c r="AG185" s="41">
        <v>3.7930797917810954E7</v>
      </c>
      <c r="AH185" s="41">
        <v>7531349.485174294</v>
      </c>
      <c r="AI185" s="41">
        <v>1.8754908227630388E7</v>
      </c>
      <c r="AJ185" s="41">
        <v>1003282.8749557006</v>
      </c>
      <c r="AK185" s="41">
        <v>2739698.9654900385</v>
      </c>
      <c r="AL185" s="41">
        <v>5.714778564051533E8</v>
      </c>
      <c r="AM185" s="41">
        <v>784096.2823757278</v>
      </c>
      <c r="AN185" s="41">
        <v>1.6796978474124983E8</v>
      </c>
      <c r="AO185" s="41">
        <v>3.2852766513605624E8</v>
      </c>
      <c r="AP185" s="41">
        <v>1744964.1331744161</v>
      </c>
      <c r="AQ185" s="41">
        <v>27978.35746446684</v>
      </c>
      <c r="AR185" s="41">
        <v>1.4748635479422001E7</v>
      </c>
      <c r="AS185" s="41">
        <v>6.217392472905838E9</v>
      </c>
      <c r="AT185" s="41">
        <v>2.1255643924105305E10</v>
      </c>
      <c r="AU185" s="41">
        <v>8.3356729608515E9</v>
      </c>
      <c r="AV185" s="41">
        <v>1.880216078513674E10</v>
      </c>
      <c r="AW185" s="41">
        <v>1.4585430707761026E10</v>
      </c>
      <c r="AX185" s="41">
        <v>2.318755435832968E9</v>
      </c>
      <c r="AY185" s="41">
        <v>2.3229646226627176E11</v>
      </c>
      <c r="AZ185" s="41">
        <v>2.8744728690062284E9</v>
      </c>
      <c r="BA185" s="41">
        <v>7.447676362267719E10</v>
      </c>
      <c r="BB185" s="41">
        <v>2.6830834146185245E11</v>
      </c>
      <c r="BC185" s="41">
        <v>2.8980688550357666E11</v>
      </c>
      <c r="BD185" s="41">
        <v>5.168553599529235E9</v>
      </c>
      <c r="BE185" s="41">
        <v>2.6821758438123116E10</v>
      </c>
      <c r="BF185" s="16">
        <f t="shared" si="25"/>
        <v>972425901662</v>
      </c>
    </row>
    <row r="186" ht="15.75" customHeight="1">
      <c r="B186" s="41">
        <v>25.0</v>
      </c>
      <c r="C186" s="41">
        <f t="shared" ref="C186:AB186" si="48">C157-C128</f>
        <v>-0.000007233435615</v>
      </c>
      <c r="D186" s="41">
        <f t="shared" si="48"/>
        <v>-0.00004241570461</v>
      </c>
      <c r="E186" s="41">
        <f t="shared" si="48"/>
        <v>-0.00001345170637</v>
      </c>
      <c r="F186" s="41">
        <f t="shared" si="48"/>
        <v>-0.00007935522742</v>
      </c>
      <c r="G186" s="41">
        <f t="shared" si="48"/>
        <v>-0.0002571060657</v>
      </c>
      <c r="H186" s="41">
        <f t="shared" si="48"/>
        <v>-0.00002043549079</v>
      </c>
      <c r="I186" s="41">
        <f t="shared" si="48"/>
        <v>-0.00006103435791</v>
      </c>
      <c r="J186" s="41">
        <f t="shared" si="48"/>
        <v>-0.00004990078884</v>
      </c>
      <c r="K186" s="41">
        <f t="shared" si="48"/>
        <v>-0.0001418928502</v>
      </c>
      <c r="L186" s="41">
        <f t="shared" si="48"/>
        <v>-0.00001147408482</v>
      </c>
      <c r="M186" s="41">
        <f t="shared" si="48"/>
        <v>-0.0002852436981</v>
      </c>
      <c r="N186" s="41">
        <f t="shared" si="48"/>
        <v>-0.000004577302369</v>
      </c>
      <c r="O186" s="41">
        <f t="shared" si="48"/>
        <v>-0.00000848799468</v>
      </c>
      <c r="P186" s="41">
        <f t="shared" si="48"/>
        <v>-0.001282913366</v>
      </c>
      <c r="Q186" s="41">
        <f t="shared" si="48"/>
        <v>-0.000811688243</v>
      </c>
      <c r="R186" s="41">
        <f t="shared" si="48"/>
        <v>-0.0005962029268</v>
      </c>
      <c r="S186" s="41">
        <f t="shared" si="48"/>
        <v>-0.0006618171107</v>
      </c>
      <c r="T186" s="41">
        <f t="shared" si="48"/>
        <v>-0.008680845179</v>
      </c>
      <c r="U186" s="41">
        <f t="shared" si="48"/>
        <v>-0.0007496647544</v>
      </c>
      <c r="V186" s="41">
        <f t="shared" si="48"/>
        <v>-0.000542602049</v>
      </c>
      <c r="W186" s="41">
        <f t="shared" si="48"/>
        <v>-0.001479460546</v>
      </c>
      <c r="X186" s="41">
        <f t="shared" si="48"/>
        <v>-0.0005683555212</v>
      </c>
      <c r="Y186" s="41">
        <f t="shared" si="48"/>
        <v>-0.0007707629993</v>
      </c>
      <c r="Z186" s="41">
        <f t="shared" si="48"/>
        <v>-0.007850969944</v>
      </c>
      <c r="AA186" s="41">
        <f t="shared" si="48"/>
        <v>0.954663401</v>
      </c>
      <c r="AB186" s="41">
        <f t="shared" si="48"/>
        <v>-0.001250578248</v>
      </c>
      <c r="AE186" s="41">
        <v>25.0</v>
      </c>
      <c r="AF186" s="41">
        <v>62814.82926526697</v>
      </c>
      <c r="AG186" s="41">
        <v>683131.9612493463</v>
      </c>
      <c r="AH186" s="41">
        <v>150550.95298973686</v>
      </c>
      <c r="AI186" s="41">
        <v>293757.2541289208</v>
      </c>
      <c r="AJ186" s="41">
        <v>4668.1087406687075</v>
      </c>
      <c r="AK186" s="41">
        <v>43281.89899198951</v>
      </c>
      <c r="AL186" s="41">
        <v>5868614.62509442</v>
      </c>
      <c r="AM186" s="41">
        <v>13471.812187446616</v>
      </c>
      <c r="AN186" s="41">
        <v>3014554.737341993</v>
      </c>
      <c r="AO186" s="41">
        <v>4702147.479935979</v>
      </c>
      <c r="AP186" s="41">
        <v>7077.240800837148</v>
      </c>
      <c r="AQ186" s="41">
        <v>314.61459384716574</v>
      </c>
      <c r="AR186" s="41">
        <v>234949.83478480473</v>
      </c>
      <c r="AS186" s="41">
        <v>2.5720106094048178E8</v>
      </c>
      <c r="AT186" s="41">
        <v>4.885816507771976E8</v>
      </c>
      <c r="AU186" s="41">
        <v>1.3564567790839896E8</v>
      </c>
      <c r="AV186" s="41">
        <v>2.6474845562623614E8</v>
      </c>
      <c r="AW186" s="41">
        <v>6.086136816627831E7</v>
      </c>
      <c r="AX186" s="41">
        <v>4.015525992950001E7</v>
      </c>
      <c r="AY186" s="41">
        <v>3.4691704329931808E9</v>
      </c>
      <c r="AZ186" s="41">
        <v>8.286324171429104E7</v>
      </c>
      <c r="BA186" s="41">
        <v>1.3187486185274835E9</v>
      </c>
      <c r="BB186" s="41">
        <v>4.757505121719645E9</v>
      </c>
      <c r="BC186" s="41">
        <v>9.067200955642514E7</v>
      </c>
      <c r="BD186" s="41">
        <v>1.248212102163299E10</v>
      </c>
      <c r="BE186" s="41">
        <v>5.706346564471151E8</v>
      </c>
      <c r="BF186" s="16">
        <f t="shared" si="25"/>
        <v>24033987911</v>
      </c>
    </row>
    <row r="187" ht="15.75" customHeight="1">
      <c r="B187" s="41">
        <v>26.0</v>
      </c>
      <c r="C187" s="41">
        <f t="shared" ref="C187:AB187" si="49">C158-C129</f>
        <v>-0.0004846124597</v>
      </c>
      <c r="D187" s="41">
        <f t="shared" si="49"/>
        <v>-0.001134907126</v>
      </c>
      <c r="E187" s="41">
        <f t="shared" si="49"/>
        <v>-0.0006287997182</v>
      </c>
      <c r="F187" s="41">
        <f t="shared" si="49"/>
        <v>-0.001761230318</v>
      </c>
      <c r="G187" s="41">
        <f t="shared" si="49"/>
        <v>-0.0005826186503</v>
      </c>
      <c r="H187" s="41">
        <f t="shared" si="49"/>
        <v>-0.0003760117191</v>
      </c>
      <c r="I187" s="41">
        <f t="shared" si="49"/>
        <v>-0.001570656704</v>
      </c>
      <c r="J187" s="41">
        <f t="shared" si="49"/>
        <v>-0.0006703853705</v>
      </c>
      <c r="K187" s="41">
        <f t="shared" si="49"/>
        <v>-0.00892275863</v>
      </c>
      <c r="L187" s="41">
        <f t="shared" si="49"/>
        <v>-0.02547062674</v>
      </c>
      <c r="M187" s="41">
        <f t="shared" si="49"/>
        <v>-0.0005923028947</v>
      </c>
      <c r="N187" s="41">
        <f t="shared" si="49"/>
        <v>-0.0007442409952</v>
      </c>
      <c r="O187" s="41">
        <f t="shared" si="49"/>
        <v>-0.002494874099</v>
      </c>
      <c r="P187" s="41">
        <f t="shared" si="49"/>
        <v>-0.002214868344</v>
      </c>
      <c r="Q187" s="41">
        <f t="shared" si="49"/>
        <v>-0.003256823872</v>
      </c>
      <c r="R187" s="41">
        <f t="shared" si="49"/>
        <v>-0.002568370126</v>
      </c>
      <c r="S187" s="41">
        <f t="shared" si="49"/>
        <v>-0.004898568762</v>
      </c>
      <c r="T187" s="41">
        <f t="shared" si="49"/>
        <v>-0.005289193915</v>
      </c>
      <c r="U187" s="41">
        <f t="shared" si="49"/>
        <v>-0.004275054895</v>
      </c>
      <c r="V187" s="41">
        <f t="shared" si="49"/>
        <v>-0.005263945279</v>
      </c>
      <c r="W187" s="41">
        <f t="shared" si="49"/>
        <v>-0.005708123558</v>
      </c>
      <c r="X187" s="41">
        <f t="shared" si="49"/>
        <v>-0.01012120054</v>
      </c>
      <c r="Y187" s="41">
        <f t="shared" si="49"/>
        <v>-0.01391051791</v>
      </c>
      <c r="Z187" s="41">
        <f t="shared" si="49"/>
        <v>-0.00681468535</v>
      </c>
      <c r="AA187" s="41">
        <f t="shared" si="49"/>
        <v>-0.00414772913</v>
      </c>
      <c r="AB187" s="41">
        <f t="shared" si="49"/>
        <v>0.9906736309</v>
      </c>
      <c r="AE187" s="41">
        <v>26.0</v>
      </c>
      <c r="AF187" s="41">
        <v>352054.9402351667</v>
      </c>
      <c r="AG187" s="41">
        <v>3696337.9217559816</v>
      </c>
      <c r="AH187" s="41">
        <v>639843.0349481712</v>
      </c>
      <c r="AI187" s="41">
        <v>1783184.2543076759</v>
      </c>
      <c r="AJ187" s="41">
        <v>17437.147874901217</v>
      </c>
      <c r="AK187" s="41">
        <v>275215.0627360017</v>
      </c>
      <c r="AL187" s="41">
        <v>3.0194435988287803E7</v>
      </c>
      <c r="AM187" s="41">
        <v>39461.370513325506</v>
      </c>
      <c r="AN187" s="41">
        <v>3.8503057951178364E7</v>
      </c>
      <c r="AO187" s="41">
        <v>1.7944371995377713E8</v>
      </c>
      <c r="AP187" s="41">
        <v>25147.809661269992</v>
      </c>
      <c r="AQ187" s="41">
        <v>2866.834786303231</v>
      </c>
      <c r="AR187" s="41">
        <v>2444382.4721499304</v>
      </c>
      <c r="AS187" s="41">
        <v>2.825560333789833E8</v>
      </c>
      <c r="AT187" s="41">
        <v>8.247672474277775E8</v>
      </c>
      <c r="AU187" s="41">
        <v>2.6072062525436834E8</v>
      </c>
      <c r="AV187" s="41">
        <v>6.225035104075843E8</v>
      </c>
      <c r="AW187" s="41">
        <v>2.36671431860137E7</v>
      </c>
      <c r="AX187" s="41">
        <v>8.979379447916606E7</v>
      </c>
      <c r="AY187" s="41">
        <v>1.0182862067265768E10</v>
      </c>
      <c r="AZ187" s="41">
        <v>1.5352584017208838E8</v>
      </c>
      <c r="BA187" s="41">
        <v>5.640166634592104E9</v>
      </c>
      <c r="BB187" s="41">
        <v>2.1263088427078194E10</v>
      </c>
      <c r="BC187" s="41">
        <v>4.145471986449372E7</v>
      </c>
      <c r="BD187" s="41">
        <v>3.825191068059293E7</v>
      </c>
      <c r="BE187" s="41">
        <v>8.390176952379012E10</v>
      </c>
      <c r="BF187" s="16">
        <f t="shared" si="25"/>
        <v>123582544622</v>
      </c>
    </row>
    <row r="188" ht="15.75" customHeight="1">
      <c r="AE188" s="16"/>
      <c r="AF188" s="2" t="s">
        <v>1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4"/>
      <c r="AS188" s="2" t="s">
        <v>2</v>
      </c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4"/>
    </row>
    <row r="189" ht="15.75" customHeight="1">
      <c r="B189" s="39" t="s">
        <v>60</v>
      </c>
      <c r="AF189" s="5" t="s">
        <v>4</v>
      </c>
      <c r="AG189" s="5" t="s">
        <v>5</v>
      </c>
      <c r="AH189" s="5" t="s">
        <v>6</v>
      </c>
      <c r="AI189" s="5" t="s">
        <v>7</v>
      </c>
      <c r="AJ189" s="5" t="s">
        <v>8</v>
      </c>
      <c r="AK189" s="5" t="s">
        <v>9</v>
      </c>
      <c r="AL189" s="5" t="s">
        <v>10</v>
      </c>
      <c r="AM189" s="5" t="s">
        <v>11</v>
      </c>
      <c r="AN189" s="5" t="s">
        <v>12</v>
      </c>
      <c r="AO189" s="5" t="s">
        <v>13</v>
      </c>
      <c r="AP189" s="5" t="s">
        <v>14</v>
      </c>
      <c r="AQ189" s="5" t="s">
        <v>15</v>
      </c>
      <c r="AR189" s="5" t="s">
        <v>16</v>
      </c>
      <c r="AS189" s="5" t="s">
        <v>4</v>
      </c>
      <c r="AT189" s="5" t="s">
        <v>5</v>
      </c>
      <c r="AU189" s="5" t="s">
        <v>6</v>
      </c>
      <c r="AV189" s="5" t="s">
        <v>7</v>
      </c>
      <c r="AW189" s="5" t="s">
        <v>8</v>
      </c>
      <c r="AX189" s="5" t="s">
        <v>9</v>
      </c>
      <c r="AY189" s="5" t="s">
        <v>10</v>
      </c>
      <c r="AZ189" s="5" t="s">
        <v>11</v>
      </c>
      <c r="BA189" s="5" t="s">
        <v>12</v>
      </c>
      <c r="BB189" s="5" t="s">
        <v>13</v>
      </c>
      <c r="BC189" s="5" t="s">
        <v>14</v>
      </c>
      <c r="BD189" s="5" t="s">
        <v>15</v>
      </c>
      <c r="BE189" s="5" t="s">
        <v>16</v>
      </c>
    </row>
    <row r="190" ht="15.75" customHeight="1">
      <c r="B190" s="40"/>
      <c r="C190" s="41">
        <v>1.0</v>
      </c>
      <c r="D190" s="41">
        <v>2.0</v>
      </c>
      <c r="E190" s="41">
        <v>3.0</v>
      </c>
      <c r="F190" s="41">
        <v>4.0</v>
      </c>
      <c r="G190" s="41">
        <v>5.0</v>
      </c>
      <c r="H190" s="41">
        <v>6.0</v>
      </c>
      <c r="I190" s="41">
        <v>7.0</v>
      </c>
      <c r="J190" s="41">
        <v>8.0</v>
      </c>
      <c r="K190" s="41">
        <v>9.0</v>
      </c>
      <c r="L190" s="41">
        <v>10.0</v>
      </c>
      <c r="M190" s="41">
        <v>11.0</v>
      </c>
      <c r="N190" s="41">
        <v>12.0</v>
      </c>
      <c r="O190" s="41">
        <v>13.0</v>
      </c>
      <c r="P190" s="41">
        <v>14.0</v>
      </c>
      <c r="Q190" s="41">
        <v>15.0</v>
      </c>
      <c r="R190" s="41">
        <v>16.0</v>
      </c>
      <c r="S190" s="41">
        <v>17.0</v>
      </c>
      <c r="T190" s="41">
        <v>18.0</v>
      </c>
      <c r="U190" s="41">
        <v>19.0</v>
      </c>
      <c r="V190" s="41">
        <v>20.0</v>
      </c>
      <c r="W190" s="41">
        <v>21.0</v>
      </c>
      <c r="X190" s="41">
        <v>22.0</v>
      </c>
      <c r="Y190" s="41">
        <v>23.0</v>
      </c>
      <c r="Z190" s="41">
        <v>24.0</v>
      </c>
      <c r="AA190" s="41">
        <v>25.0</v>
      </c>
      <c r="AB190" s="41">
        <v>26.0</v>
      </c>
      <c r="AE190" s="39" t="s">
        <v>61</v>
      </c>
      <c r="AF190" s="16">
        <f t="shared" ref="AF190:BE190" si="50">SUM(AF162:AF187)</f>
        <v>1283682643</v>
      </c>
      <c r="AG190" s="16">
        <f t="shared" si="50"/>
        <v>4478457278</v>
      </c>
      <c r="AH190" s="16">
        <f t="shared" si="50"/>
        <v>5280562170</v>
      </c>
      <c r="AI190" s="16">
        <f t="shared" si="50"/>
        <v>2725626509</v>
      </c>
      <c r="AJ190" s="16">
        <f t="shared" si="50"/>
        <v>69130163.46</v>
      </c>
      <c r="AK190" s="16">
        <f t="shared" si="50"/>
        <v>620350170.3</v>
      </c>
      <c r="AL190" s="16">
        <f t="shared" si="50"/>
        <v>37150056511</v>
      </c>
      <c r="AM190" s="16">
        <f t="shared" si="50"/>
        <v>65569412.48</v>
      </c>
      <c r="AN190" s="16">
        <f t="shared" si="50"/>
        <v>24269083660</v>
      </c>
      <c r="AO190" s="16">
        <f t="shared" si="50"/>
        <v>24162738709</v>
      </c>
      <c r="AP190" s="16">
        <f t="shared" si="50"/>
        <v>85214363.09</v>
      </c>
      <c r="AQ190" s="16">
        <f t="shared" si="50"/>
        <v>2019329.075</v>
      </c>
      <c r="AR190" s="16">
        <f t="shared" si="50"/>
        <v>1898968295</v>
      </c>
      <c r="AS190" s="16">
        <f t="shared" si="50"/>
        <v>1365898517746</v>
      </c>
      <c r="AT190" s="16">
        <f t="shared" si="50"/>
        <v>1749856053387</v>
      </c>
      <c r="AU190" s="16">
        <f t="shared" si="50"/>
        <v>2638439900707</v>
      </c>
      <c r="AV190" s="16">
        <f t="shared" si="50"/>
        <v>2146194513020</v>
      </c>
      <c r="AW190" s="16">
        <f t="shared" si="50"/>
        <v>646786272453</v>
      </c>
      <c r="AX190" s="16">
        <f t="shared" si="50"/>
        <v>159879684900</v>
      </c>
      <c r="AY190" s="16">
        <f t="shared" si="50"/>
        <v>14384325506184</v>
      </c>
      <c r="AZ190" s="16">
        <f t="shared" si="50"/>
        <v>323597418574</v>
      </c>
      <c r="BA190" s="16">
        <f t="shared" si="50"/>
        <v>9814335455180</v>
      </c>
      <c r="BB190" s="16">
        <f t="shared" si="50"/>
        <v>7128480727851</v>
      </c>
      <c r="BC190" s="16">
        <f t="shared" si="50"/>
        <v>347990806876</v>
      </c>
      <c r="BD190" s="16">
        <f t="shared" si="50"/>
        <v>52164644228</v>
      </c>
      <c r="BE190" s="16">
        <f t="shared" si="50"/>
        <v>1045420573051</v>
      </c>
    </row>
    <row r="191" ht="15.75" customHeight="1">
      <c r="B191" s="41">
        <v>1.0</v>
      </c>
      <c r="C191" s="41">
        <f t="array" ref="C191:AB216">MINVERSE(C162:AB187)</f>
        <v>1.060487396</v>
      </c>
      <c r="D191" s="41">
        <v>0.033224634342446026</v>
      </c>
      <c r="E191" s="41">
        <v>0.08453121911035405</v>
      </c>
      <c r="F191" s="41">
        <v>0.009941381199645216</v>
      </c>
      <c r="G191" s="41">
        <v>2.0608216591096244E-4</v>
      </c>
      <c r="H191" s="41">
        <v>1.3334157313798906E-4</v>
      </c>
      <c r="I191" s="41">
        <v>4.4812504988872944E-4</v>
      </c>
      <c r="J191" s="41">
        <v>8.564539483464828E-4</v>
      </c>
      <c r="K191" s="41">
        <v>6.088301833771149E-4</v>
      </c>
      <c r="L191" s="41">
        <v>3.226658261712102E-4</v>
      </c>
      <c r="M191" s="41">
        <v>2.012623774018166E-4</v>
      </c>
      <c r="N191" s="41">
        <v>2.0566691911439304E-4</v>
      </c>
      <c r="O191" s="41">
        <v>0.004267176903557858</v>
      </c>
      <c r="P191" s="41">
        <v>2.1841047313089813E-5</v>
      </c>
      <c r="Q191" s="41">
        <v>1.8827068906774873E-4</v>
      </c>
      <c r="R191" s="41">
        <v>1.4262325736740596E-4</v>
      </c>
      <c r="S191" s="41">
        <v>7.421624833486222E-5</v>
      </c>
      <c r="T191" s="41">
        <v>1.4707132000536122E-5</v>
      </c>
      <c r="U191" s="41">
        <v>1.0673069381853997E-5</v>
      </c>
      <c r="V191" s="41">
        <v>1.4804327478673154E-5</v>
      </c>
      <c r="W191" s="41">
        <v>2.6781746517232596E-5</v>
      </c>
      <c r="X191" s="41">
        <v>1.0993779500806596E-5</v>
      </c>
      <c r="Y191" s="41">
        <v>1.0293027310409469E-5</v>
      </c>
      <c r="Z191" s="41">
        <v>1.54149133850321E-5</v>
      </c>
      <c r="AA191" s="41">
        <v>6.847038152775963E-6</v>
      </c>
      <c r="AB191" s="41">
        <v>4.840737093356424E-5</v>
      </c>
    </row>
    <row r="192" ht="15.75" customHeight="1">
      <c r="B192" s="41">
        <v>2.0</v>
      </c>
      <c r="C192" s="41">
        <v>7.507304146892707E-4</v>
      </c>
      <c r="D192" s="41">
        <v>1.065595559140566</v>
      </c>
      <c r="E192" s="41">
        <v>0.1117153101838734</v>
      </c>
      <c r="F192" s="41">
        <v>0.02027092825739227</v>
      </c>
      <c r="G192" s="41">
        <v>0.0019693335437448852</v>
      </c>
      <c r="H192" s="41">
        <v>5.559113411880844E-4</v>
      </c>
      <c r="I192" s="41">
        <v>0.0012827179580018324</v>
      </c>
      <c r="J192" s="41">
        <v>0.0013770879664810874</v>
      </c>
      <c r="K192" s="41">
        <v>0.0019747840450670515</v>
      </c>
      <c r="L192" s="41">
        <v>0.002102319640123106</v>
      </c>
      <c r="M192" s="41">
        <v>0.001961891474924347</v>
      </c>
      <c r="N192" s="41">
        <v>8.660640534321564E-4</v>
      </c>
      <c r="O192" s="41">
        <v>0.03734808010720195</v>
      </c>
      <c r="P192" s="41">
        <v>3.1544630168326146E-5</v>
      </c>
      <c r="Q192" s="41">
        <v>5.250689939967538E-4</v>
      </c>
      <c r="R192" s="41">
        <v>2.552870370883078E-4</v>
      </c>
      <c r="S192" s="41">
        <v>2.6400840977033305E-4</v>
      </c>
      <c r="T192" s="41">
        <v>4.446583492275128E-5</v>
      </c>
      <c r="U192" s="41">
        <v>3.7871843150069955E-5</v>
      </c>
      <c r="V192" s="41">
        <v>5.397612391464425E-5</v>
      </c>
      <c r="W192" s="41">
        <v>1.0516009774012176E-4</v>
      </c>
      <c r="X192" s="41">
        <v>5.380027319360722E-5</v>
      </c>
      <c r="Y192" s="41">
        <v>3.9222449082221197E-5</v>
      </c>
      <c r="Z192" s="41">
        <v>6.934329188306243E-5</v>
      </c>
      <c r="AA192" s="41">
        <v>2.8609723265679512E-5</v>
      </c>
      <c r="AB192" s="41">
        <v>3.316762678853341E-4</v>
      </c>
      <c r="AE192" s="39" t="s">
        <v>62</v>
      </c>
    </row>
    <row r="193" ht="15.75" customHeight="1">
      <c r="B193" s="41">
        <v>3.0</v>
      </c>
      <c r="C193" s="41">
        <v>4.8699873059159947E-4</v>
      </c>
      <c r="D193" s="41">
        <v>0.012848047091055935</v>
      </c>
      <c r="E193" s="41">
        <v>1.0058752702301148</v>
      </c>
      <c r="F193" s="41">
        <v>0.11426903834604933</v>
      </c>
      <c r="G193" s="41">
        <v>6.541911397687796E-4</v>
      </c>
      <c r="H193" s="41">
        <v>4.1915277457873953E-4</v>
      </c>
      <c r="I193" s="41">
        <v>5.464640419921991E-4</v>
      </c>
      <c r="J193" s="41">
        <v>0.008967483809916802</v>
      </c>
      <c r="K193" s="41">
        <v>0.00335716699128866</v>
      </c>
      <c r="L193" s="41">
        <v>6.024199654740738E-4</v>
      </c>
      <c r="M193" s="41">
        <v>6.343627776493994E-4</v>
      </c>
      <c r="N193" s="41">
        <v>5.585409321340358E-4</v>
      </c>
      <c r="O193" s="41">
        <v>0.004346869914813361</v>
      </c>
      <c r="P193" s="41">
        <v>6.671826291763597E-6</v>
      </c>
      <c r="Q193" s="41">
        <v>3.383596528820231E-5</v>
      </c>
      <c r="R193" s="41">
        <v>1.9256176882488013E-5</v>
      </c>
      <c r="S193" s="41">
        <v>8.499953865717483E-5</v>
      </c>
      <c r="T193" s="41">
        <v>1.6904209008787124E-5</v>
      </c>
      <c r="U193" s="41">
        <v>5.5231827833880205E-6</v>
      </c>
      <c r="V193" s="41">
        <v>1.1610511117414064E-5</v>
      </c>
      <c r="W193" s="41">
        <v>2.5417505718017458E-5</v>
      </c>
      <c r="X193" s="41">
        <v>1.008442611401188E-5</v>
      </c>
      <c r="Y193" s="41">
        <v>5.82473735695669E-6</v>
      </c>
      <c r="Z193" s="41">
        <v>1.89669855235047E-5</v>
      </c>
      <c r="AA193" s="41">
        <v>5.46135626095146E-6</v>
      </c>
      <c r="AB193" s="41">
        <v>2.4214380285744693E-5</v>
      </c>
      <c r="AE193" s="40"/>
      <c r="AF193" s="41">
        <v>1.0</v>
      </c>
      <c r="AG193" s="41">
        <v>2.0</v>
      </c>
      <c r="AH193" s="41">
        <v>3.0</v>
      </c>
      <c r="AI193" s="41">
        <v>4.0</v>
      </c>
      <c r="AJ193" s="41">
        <v>5.0</v>
      </c>
      <c r="AK193" s="41">
        <v>6.0</v>
      </c>
      <c r="AL193" s="41">
        <v>7.0</v>
      </c>
      <c r="AM193" s="41">
        <v>8.0</v>
      </c>
      <c r="AN193" s="41">
        <v>9.0</v>
      </c>
      <c r="AO193" s="41">
        <v>10.0</v>
      </c>
      <c r="AP193" s="41">
        <v>11.0</v>
      </c>
      <c r="AQ193" s="41">
        <v>12.0</v>
      </c>
      <c r="AR193" s="41">
        <v>13.0</v>
      </c>
      <c r="AS193" s="41">
        <v>14.0</v>
      </c>
      <c r="AT193" s="41">
        <v>15.0</v>
      </c>
      <c r="AU193" s="41">
        <v>16.0</v>
      </c>
      <c r="AV193" s="41">
        <v>17.0</v>
      </c>
      <c r="AW193" s="41">
        <v>18.0</v>
      </c>
      <c r="AX193" s="41">
        <v>19.0</v>
      </c>
      <c r="AY193" s="41">
        <v>20.0</v>
      </c>
      <c r="AZ193" s="41">
        <v>21.0</v>
      </c>
      <c r="BA193" s="41">
        <v>22.0</v>
      </c>
      <c r="BB193" s="41">
        <v>23.0</v>
      </c>
      <c r="BC193" s="41">
        <v>24.0</v>
      </c>
      <c r="BD193" s="41">
        <v>25.0</v>
      </c>
      <c r="BE193" s="41">
        <v>26.0</v>
      </c>
      <c r="BF193" s="39" t="s">
        <v>59</v>
      </c>
    </row>
    <row r="194" ht="15.75" customHeight="1">
      <c r="B194" s="41">
        <v>4.0</v>
      </c>
      <c r="C194" s="41">
        <v>0.0012343487152659536</v>
      </c>
      <c r="D194" s="41">
        <v>0.007885527037060814</v>
      </c>
      <c r="E194" s="41">
        <v>0.014389856676173771</v>
      </c>
      <c r="F194" s="41">
        <v>1.0595156969312125</v>
      </c>
      <c r="G194" s="41">
        <v>0.001290409305025692</v>
      </c>
      <c r="H194" s="41">
        <v>6.419940374327751E-4</v>
      </c>
      <c r="I194" s="41">
        <v>0.0010820129677371396</v>
      </c>
      <c r="J194" s="41">
        <v>0.0011458403291051578</v>
      </c>
      <c r="K194" s="41">
        <v>0.0015124701403809561</v>
      </c>
      <c r="L194" s="41">
        <v>0.002188341925471427</v>
      </c>
      <c r="M194" s="41">
        <v>0.001291658021112962</v>
      </c>
      <c r="N194" s="41">
        <v>9.616749881241775E-4</v>
      </c>
      <c r="O194" s="41">
        <v>0.016636367717031954</v>
      </c>
      <c r="P194" s="41">
        <v>1.8563081434972686E-5</v>
      </c>
      <c r="Q194" s="41">
        <v>1.204539074346187E-4</v>
      </c>
      <c r="R194" s="41">
        <v>5.0174729344969033E-5</v>
      </c>
      <c r="S194" s="41">
        <v>3.3044127473755286E-4</v>
      </c>
      <c r="T194" s="41">
        <v>2.6391233508437736E-5</v>
      </c>
      <c r="U194" s="41">
        <v>1.7700927903821545E-5</v>
      </c>
      <c r="V194" s="41">
        <v>2.506499432305885E-5</v>
      </c>
      <c r="W194" s="41">
        <v>3.4728309937603065E-5</v>
      </c>
      <c r="X194" s="41">
        <v>2.3983355633955387E-5</v>
      </c>
      <c r="Y194" s="41">
        <v>1.7350948751998403E-5</v>
      </c>
      <c r="Z194" s="41">
        <v>2.490959702858057E-5</v>
      </c>
      <c r="AA194" s="41">
        <v>1.3677940212448056E-5</v>
      </c>
      <c r="AB194" s="41">
        <v>1.1370827926337134E-4</v>
      </c>
      <c r="AE194" s="41">
        <v>1.0</v>
      </c>
      <c r="AF194" s="41">
        <f t="array" ref="AF194:BE219">(MMULT(MMULT(AF104:BE129,C191:AB216),C220:AB245))</f>
        <v>3398.658954</v>
      </c>
      <c r="AG194" s="41">
        <v>1353.0058452388455</v>
      </c>
      <c r="AH194" s="41">
        <v>465.379386559128</v>
      </c>
      <c r="AI194" s="41">
        <v>98.4845777959506</v>
      </c>
      <c r="AJ194" s="41">
        <v>0.035017244256553136</v>
      </c>
      <c r="AK194" s="41">
        <v>0.5132963786773178</v>
      </c>
      <c r="AL194" s="41">
        <v>97.75440270469836</v>
      </c>
      <c r="AM194" s="41">
        <v>0.2386147306773026</v>
      </c>
      <c r="AN194" s="41">
        <v>107.41921375506516</v>
      </c>
      <c r="AO194" s="41">
        <v>137.91178699740811</v>
      </c>
      <c r="AP194" s="41">
        <v>0.0493255410885521</v>
      </c>
      <c r="AQ194" s="41">
        <v>0.0064618140431923635</v>
      </c>
      <c r="AR194" s="41">
        <v>119.12306098799614</v>
      </c>
      <c r="AS194" s="41">
        <v>59.220663331648076</v>
      </c>
      <c r="AT194" s="41">
        <v>1037.9522554229336</v>
      </c>
      <c r="AU194" s="41">
        <v>340.72321885170163</v>
      </c>
      <c r="AV194" s="41">
        <v>265.8764997093984</v>
      </c>
      <c r="AW194" s="41">
        <v>1.9900086161846513</v>
      </c>
      <c r="AX194" s="41">
        <v>7.3667700665946105</v>
      </c>
      <c r="AY194" s="41">
        <v>783.9227014181587</v>
      </c>
      <c r="AZ194" s="41">
        <v>17.897158052862423</v>
      </c>
      <c r="BA194" s="41">
        <v>303.0317760815719</v>
      </c>
      <c r="BB194" s="41">
        <v>876.6046134714347</v>
      </c>
      <c r="BC194" s="41">
        <v>3.3758184838374943</v>
      </c>
      <c r="BD194" s="41">
        <v>1.965874034716504</v>
      </c>
      <c r="BE194" s="41">
        <v>336.4734979779392</v>
      </c>
      <c r="BF194" s="16">
        <f t="shared" ref="BF194:BF219" si="51">SUM(AF194:BE194)</f>
        <v>9814.9808</v>
      </c>
    </row>
    <row r="195" ht="15.75" customHeight="1">
      <c r="B195" s="41">
        <v>5.0</v>
      </c>
      <c r="C195" s="41">
        <v>0.012125024780353193</v>
      </c>
      <c r="D195" s="41">
        <v>0.0016988376434369267</v>
      </c>
      <c r="E195" s="41">
        <v>0.002639079177267259</v>
      </c>
      <c r="F195" s="41">
        <v>0.004520714887843513</v>
      </c>
      <c r="G195" s="41">
        <v>1.1796432512568924</v>
      </c>
      <c r="H195" s="41">
        <v>0.0016711029710614479</v>
      </c>
      <c r="I195" s="41">
        <v>0.0030545380272448937</v>
      </c>
      <c r="J195" s="41">
        <v>0.0012673431243869953</v>
      </c>
      <c r="K195" s="41">
        <v>0.003460506659593049</v>
      </c>
      <c r="L195" s="41">
        <v>0.006421094089685876</v>
      </c>
      <c r="M195" s="41">
        <v>0.18112242945618395</v>
      </c>
      <c r="N195" s="41">
        <v>0.002865464041411308</v>
      </c>
      <c r="O195" s="41">
        <v>0.001978853540547997</v>
      </c>
      <c r="P195" s="41">
        <v>5.329816529879816E-6</v>
      </c>
      <c r="Q195" s="41">
        <v>1.0715649106492282E-5</v>
      </c>
      <c r="R195" s="41">
        <v>8.662272526579872E-6</v>
      </c>
      <c r="S195" s="41">
        <v>1.3121441642563624E-5</v>
      </c>
      <c r="T195" s="41">
        <v>2.8852818633963837E-5</v>
      </c>
      <c r="U195" s="41">
        <v>4.356264992256026E-6</v>
      </c>
      <c r="V195" s="41">
        <v>1.1472617878878134E-5</v>
      </c>
      <c r="W195" s="41">
        <v>1.0137258625315928E-5</v>
      </c>
      <c r="X195" s="41">
        <v>6.4259992405994645E-6</v>
      </c>
      <c r="Y195" s="41">
        <v>3.952371816590566E-6</v>
      </c>
      <c r="Z195" s="41">
        <v>3.228960837038916E-5</v>
      </c>
      <c r="AA195" s="41">
        <v>6.422332853769066E-6</v>
      </c>
      <c r="AB195" s="41">
        <v>5.322684598729032E-6</v>
      </c>
      <c r="AE195" s="41">
        <v>2.0</v>
      </c>
      <c r="AF195" s="41">
        <v>0.0</v>
      </c>
      <c r="AG195" s="41">
        <v>0.0</v>
      </c>
      <c r="AH195" s="41">
        <v>0.0</v>
      </c>
      <c r="AI195" s="41">
        <v>0.0</v>
      </c>
      <c r="AJ195" s="41">
        <v>0.0</v>
      </c>
      <c r="AK195" s="41">
        <v>0.0</v>
      </c>
      <c r="AL195" s="41">
        <v>0.0</v>
      </c>
      <c r="AM195" s="41">
        <v>0.0</v>
      </c>
      <c r="AN195" s="41">
        <v>0.0</v>
      </c>
      <c r="AO195" s="41">
        <v>0.0</v>
      </c>
      <c r="AP195" s="41">
        <v>0.0</v>
      </c>
      <c r="AQ195" s="41">
        <v>0.0</v>
      </c>
      <c r="AR195" s="41">
        <v>0.0</v>
      </c>
      <c r="AS195" s="41">
        <v>0.0</v>
      </c>
      <c r="AT195" s="41">
        <v>0.0</v>
      </c>
      <c r="AU195" s="41">
        <v>0.0</v>
      </c>
      <c r="AV195" s="41">
        <v>0.0</v>
      </c>
      <c r="AW195" s="41">
        <v>0.0</v>
      </c>
      <c r="AX195" s="41">
        <v>0.0</v>
      </c>
      <c r="AY195" s="41">
        <v>0.0</v>
      </c>
      <c r="AZ195" s="41">
        <v>0.0</v>
      </c>
      <c r="BA195" s="41">
        <v>0.0</v>
      </c>
      <c r="BB195" s="41">
        <v>0.0</v>
      </c>
      <c r="BC195" s="41">
        <v>0.0</v>
      </c>
      <c r="BD195" s="41">
        <v>0.0</v>
      </c>
      <c r="BE195" s="41">
        <v>0.0</v>
      </c>
      <c r="BF195" s="16">
        <f t="shared" si="51"/>
        <v>0</v>
      </c>
    </row>
    <row r="196" ht="15.75" customHeight="1">
      <c r="B196" s="41">
        <v>6.0</v>
      </c>
      <c r="C196" s="41">
        <v>0.016423627844138984</v>
      </c>
      <c r="D196" s="41">
        <v>0.0036239584209388086</v>
      </c>
      <c r="E196" s="41">
        <v>0.00866712753009341</v>
      </c>
      <c r="F196" s="41">
        <v>0.005600520528119851</v>
      </c>
      <c r="G196" s="41">
        <v>0.019335066144880852</v>
      </c>
      <c r="H196" s="41">
        <v>1.1753635430608385</v>
      </c>
      <c r="I196" s="41">
        <v>0.013579629192252685</v>
      </c>
      <c r="J196" s="41">
        <v>0.04281460439699787</v>
      </c>
      <c r="K196" s="41">
        <v>0.006243248778523448</v>
      </c>
      <c r="L196" s="41">
        <v>0.00330824490432431</v>
      </c>
      <c r="M196" s="41">
        <v>0.018778694258045358</v>
      </c>
      <c r="N196" s="41">
        <v>0.005720886846930058</v>
      </c>
      <c r="O196" s="41">
        <v>0.007625653012277052</v>
      </c>
      <c r="P196" s="41">
        <v>5.814635093467646E-5</v>
      </c>
      <c r="Q196" s="41">
        <v>5.754965931434048E-5</v>
      </c>
      <c r="R196" s="41">
        <v>3.661282514730402E-5</v>
      </c>
      <c r="S196" s="41">
        <v>5.716161189694676E-5</v>
      </c>
      <c r="T196" s="41">
        <v>5.1878924179869196E-5</v>
      </c>
      <c r="U196" s="41">
        <v>2.2377075919205363E-5</v>
      </c>
      <c r="V196" s="41">
        <v>6.018630304418164E-5</v>
      </c>
      <c r="W196" s="41">
        <v>5.3366670935982814E-5</v>
      </c>
      <c r="X196" s="41">
        <v>2.900879687373557E-5</v>
      </c>
      <c r="Y196" s="41">
        <v>1.4649079022434861E-5</v>
      </c>
      <c r="Z196" s="41">
        <v>5.801301934279536E-5</v>
      </c>
      <c r="AA196" s="41">
        <v>3.256077072367867E-5</v>
      </c>
      <c r="AB196" s="41">
        <v>3.567885845665421E-5</v>
      </c>
      <c r="AE196" s="41">
        <v>3.0</v>
      </c>
      <c r="AF196" s="41">
        <v>0.0</v>
      </c>
      <c r="AG196" s="41">
        <v>0.0</v>
      </c>
      <c r="AH196" s="41">
        <v>0.0</v>
      </c>
      <c r="AI196" s="41">
        <v>0.0</v>
      </c>
      <c r="AJ196" s="41">
        <v>0.0</v>
      </c>
      <c r="AK196" s="41">
        <v>0.0</v>
      </c>
      <c r="AL196" s="41">
        <v>0.0</v>
      </c>
      <c r="AM196" s="41">
        <v>0.0</v>
      </c>
      <c r="AN196" s="41">
        <v>0.0</v>
      </c>
      <c r="AO196" s="41">
        <v>0.0</v>
      </c>
      <c r="AP196" s="41">
        <v>0.0</v>
      </c>
      <c r="AQ196" s="41">
        <v>0.0</v>
      </c>
      <c r="AR196" s="41">
        <v>0.0</v>
      </c>
      <c r="AS196" s="41">
        <v>0.0</v>
      </c>
      <c r="AT196" s="41">
        <v>0.0</v>
      </c>
      <c r="AU196" s="41">
        <v>0.0</v>
      </c>
      <c r="AV196" s="41">
        <v>0.0</v>
      </c>
      <c r="AW196" s="41">
        <v>0.0</v>
      </c>
      <c r="AX196" s="41">
        <v>0.0</v>
      </c>
      <c r="AY196" s="41">
        <v>0.0</v>
      </c>
      <c r="AZ196" s="41">
        <v>0.0</v>
      </c>
      <c r="BA196" s="41">
        <v>0.0</v>
      </c>
      <c r="BB196" s="41">
        <v>0.0</v>
      </c>
      <c r="BC196" s="41">
        <v>0.0</v>
      </c>
      <c r="BD196" s="41">
        <v>0.0</v>
      </c>
      <c r="BE196" s="41">
        <v>0.0</v>
      </c>
      <c r="BF196" s="16">
        <f t="shared" si="51"/>
        <v>0</v>
      </c>
    </row>
    <row r="197" ht="15.75" customHeight="1">
      <c r="B197" s="41">
        <v>7.0</v>
      </c>
      <c r="C197" s="41">
        <v>0.1623235786152009</v>
      </c>
      <c r="D197" s="41">
        <v>0.06426141399709677</v>
      </c>
      <c r="E197" s="41">
        <v>0.13551645594393413</v>
      </c>
      <c r="F197" s="41">
        <v>0.11574519350730156</v>
      </c>
      <c r="G197" s="41">
        <v>0.14464987697765927</v>
      </c>
      <c r="H197" s="41">
        <v>0.10717561586025157</v>
      </c>
      <c r="I197" s="41">
        <v>1.2930947771845747</v>
      </c>
      <c r="J197" s="41">
        <v>0.032022502480438364</v>
      </c>
      <c r="K197" s="41">
        <v>0.09851921092793633</v>
      </c>
      <c r="L197" s="41">
        <v>0.12503262792295572</v>
      </c>
      <c r="M197" s="41">
        <v>0.13672808026382635</v>
      </c>
      <c r="N197" s="41">
        <v>0.32513433159390565</v>
      </c>
      <c r="O197" s="41">
        <v>0.07050862395962403</v>
      </c>
      <c r="P197" s="41">
        <v>7.388429645602955E-4</v>
      </c>
      <c r="Q197" s="41">
        <v>0.0011099236728378736</v>
      </c>
      <c r="R197" s="41">
        <v>7.510212481124217E-4</v>
      </c>
      <c r="S197" s="41">
        <v>0.0011920995074610717</v>
      </c>
      <c r="T197" s="41">
        <v>0.0011977358970422505</v>
      </c>
      <c r="U197" s="41">
        <v>6.679391967258283E-4</v>
      </c>
      <c r="V197" s="41">
        <v>0.00251436575805198</v>
      </c>
      <c r="W197" s="41">
        <v>0.0015847603385309697</v>
      </c>
      <c r="X197" s="41">
        <v>7.003222418210228E-4</v>
      </c>
      <c r="Y197" s="41">
        <v>4.7783481774917334E-4</v>
      </c>
      <c r="Z197" s="41">
        <v>0.0012885870930591336</v>
      </c>
      <c r="AA197" s="41">
        <v>7.24818223489336E-4</v>
      </c>
      <c r="AB197" s="41">
        <v>5.249365085415481E-4</v>
      </c>
      <c r="AE197" s="41">
        <v>4.0</v>
      </c>
      <c r="AF197" s="41">
        <v>0.0</v>
      </c>
      <c r="AG197" s="41">
        <v>0.0</v>
      </c>
      <c r="AH197" s="41">
        <v>0.0</v>
      </c>
      <c r="AI197" s="41">
        <v>0.0</v>
      </c>
      <c r="AJ197" s="41">
        <v>0.0</v>
      </c>
      <c r="AK197" s="41">
        <v>0.0</v>
      </c>
      <c r="AL197" s="41">
        <v>0.0</v>
      </c>
      <c r="AM197" s="41">
        <v>0.0</v>
      </c>
      <c r="AN197" s="41">
        <v>0.0</v>
      </c>
      <c r="AO197" s="41">
        <v>0.0</v>
      </c>
      <c r="AP197" s="41">
        <v>0.0</v>
      </c>
      <c r="AQ197" s="41">
        <v>0.0</v>
      </c>
      <c r="AR197" s="41">
        <v>0.0</v>
      </c>
      <c r="AS197" s="41">
        <v>0.0</v>
      </c>
      <c r="AT197" s="41">
        <v>0.0</v>
      </c>
      <c r="AU197" s="41">
        <v>0.0</v>
      </c>
      <c r="AV197" s="41">
        <v>0.0</v>
      </c>
      <c r="AW197" s="41">
        <v>0.0</v>
      </c>
      <c r="AX197" s="41">
        <v>0.0</v>
      </c>
      <c r="AY197" s="41">
        <v>0.0</v>
      </c>
      <c r="AZ197" s="41">
        <v>0.0</v>
      </c>
      <c r="BA197" s="41">
        <v>0.0</v>
      </c>
      <c r="BB197" s="41">
        <v>0.0</v>
      </c>
      <c r="BC197" s="41">
        <v>0.0</v>
      </c>
      <c r="BD197" s="41">
        <v>0.0</v>
      </c>
      <c r="BE197" s="41">
        <v>0.0</v>
      </c>
      <c r="BF197" s="16">
        <f t="shared" si="51"/>
        <v>0</v>
      </c>
    </row>
    <row r="198" ht="15.75" customHeight="1">
      <c r="B198" s="41">
        <v>8.0</v>
      </c>
      <c r="C198" s="41">
        <v>0.0012179173600264355</v>
      </c>
      <c r="D198" s="41">
        <v>0.0031457776788999746</v>
      </c>
      <c r="E198" s="41">
        <v>0.011439256677511318</v>
      </c>
      <c r="F198" s="41">
        <v>0.001401321360852461</v>
      </c>
      <c r="G198" s="41">
        <v>0.0013442780128219472</v>
      </c>
      <c r="H198" s="41">
        <v>8.36287187682814E-5</v>
      </c>
      <c r="I198" s="41">
        <v>1.1373956418810928E-4</v>
      </c>
      <c r="J198" s="41">
        <v>1.000128886521356</v>
      </c>
      <c r="K198" s="41">
        <v>1.2955426024952745E-4</v>
      </c>
      <c r="L198" s="41">
        <v>1.4807657219695943E-4</v>
      </c>
      <c r="M198" s="41">
        <v>0.001339553329029861</v>
      </c>
      <c r="N198" s="41">
        <v>8.677707498329479E-5</v>
      </c>
      <c r="O198" s="41">
        <v>0.002206041333520114</v>
      </c>
      <c r="P198" s="41">
        <v>9.818442057095068E-6</v>
      </c>
      <c r="Q198" s="41">
        <v>2.7445196214862072E-5</v>
      </c>
      <c r="R198" s="41">
        <v>1.1250372632468893E-5</v>
      </c>
      <c r="S198" s="41">
        <v>9.498976316802773E-6</v>
      </c>
      <c r="T198" s="41">
        <v>2.3063793976762658E-6</v>
      </c>
      <c r="U198" s="41">
        <v>1.227884923343757E-6</v>
      </c>
      <c r="V198" s="41">
        <v>3.137364905017001E-6</v>
      </c>
      <c r="W198" s="41">
        <v>4.528356748445419E-6</v>
      </c>
      <c r="X198" s="41">
        <v>2.177745749212583E-6</v>
      </c>
      <c r="Y198" s="41">
        <v>1.3642345964456085E-6</v>
      </c>
      <c r="Z198" s="41">
        <v>2.278876654563679E-6</v>
      </c>
      <c r="AA198" s="41">
        <v>1.208480620767929E-6</v>
      </c>
      <c r="AB198" s="41">
        <v>7.472946799708893E-6</v>
      </c>
      <c r="AE198" s="41">
        <v>5.0</v>
      </c>
      <c r="AF198" s="41">
        <v>0.0</v>
      </c>
      <c r="AG198" s="41">
        <v>0.0</v>
      </c>
      <c r="AH198" s="41">
        <v>0.0</v>
      </c>
      <c r="AI198" s="41">
        <v>0.0</v>
      </c>
      <c r="AJ198" s="41">
        <v>0.0</v>
      </c>
      <c r="AK198" s="41">
        <v>0.0</v>
      </c>
      <c r="AL198" s="41">
        <v>0.0</v>
      </c>
      <c r="AM198" s="41">
        <v>0.0</v>
      </c>
      <c r="AN198" s="41">
        <v>0.0</v>
      </c>
      <c r="AO198" s="41">
        <v>0.0</v>
      </c>
      <c r="AP198" s="41">
        <v>0.0</v>
      </c>
      <c r="AQ198" s="41">
        <v>0.0</v>
      </c>
      <c r="AR198" s="41">
        <v>0.0</v>
      </c>
      <c r="AS198" s="41">
        <v>0.0</v>
      </c>
      <c r="AT198" s="41">
        <v>0.0</v>
      </c>
      <c r="AU198" s="41">
        <v>0.0</v>
      </c>
      <c r="AV198" s="41">
        <v>0.0</v>
      </c>
      <c r="AW198" s="41">
        <v>0.0</v>
      </c>
      <c r="AX198" s="41">
        <v>0.0</v>
      </c>
      <c r="AY198" s="41">
        <v>0.0</v>
      </c>
      <c r="AZ198" s="41">
        <v>0.0</v>
      </c>
      <c r="BA198" s="41">
        <v>0.0</v>
      </c>
      <c r="BB198" s="41">
        <v>0.0</v>
      </c>
      <c r="BC198" s="41">
        <v>0.0</v>
      </c>
      <c r="BD198" s="41">
        <v>0.0</v>
      </c>
      <c r="BE198" s="41">
        <v>0.0</v>
      </c>
      <c r="BF198" s="16">
        <f t="shared" si="51"/>
        <v>0</v>
      </c>
    </row>
    <row r="199" ht="15.75" customHeight="1">
      <c r="B199" s="41">
        <v>9.0</v>
      </c>
      <c r="C199" s="41">
        <v>0.09161424862430927</v>
      </c>
      <c r="D199" s="41">
        <v>0.06909867304729199</v>
      </c>
      <c r="E199" s="41">
        <v>0.08629782846352856</v>
      </c>
      <c r="F199" s="41">
        <v>0.14308006826716455</v>
      </c>
      <c r="G199" s="41">
        <v>0.11476976555113548</v>
      </c>
      <c r="H199" s="41">
        <v>0.10105389591657882</v>
      </c>
      <c r="I199" s="41">
        <v>0.08470577767192425</v>
      </c>
      <c r="J199" s="41">
        <v>0.08055940782334549</v>
      </c>
      <c r="K199" s="41">
        <v>1.15898383520344</v>
      </c>
      <c r="L199" s="41">
        <v>0.06482852175481424</v>
      </c>
      <c r="M199" s="41">
        <v>0.10743331713140475</v>
      </c>
      <c r="N199" s="41">
        <v>0.08681921207972951</v>
      </c>
      <c r="O199" s="41">
        <v>0.07662160677168159</v>
      </c>
      <c r="P199" s="41">
        <v>4.057826814792734E-4</v>
      </c>
      <c r="Q199" s="41">
        <v>7.319985900921447E-4</v>
      </c>
      <c r="R199" s="41">
        <v>5.039201167471921E-4</v>
      </c>
      <c r="S199" s="41">
        <v>8.455968371900338E-4</v>
      </c>
      <c r="T199" s="41">
        <v>0.001575355918854678</v>
      </c>
      <c r="U199" s="41">
        <v>3.1037639688764266E-4</v>
      </c>
      <c r="V199" s="41">
        <v>7.542246793320104E-4</v>
      </c>
      <c r="W199" s="41">
        <v>7.470331126814818E-4</v>
      </c>
      <c r="X199" s="41">
        <v>7.078053407346568E-4</v>
      </c>
      <c r="Y199" s="41">
        <v>2.696926685826923E-4</v>
      </c>
      <c r="Z199" s="41">
        <v>8.883539090451706E-4</v>
      </c>
      <c r="AA199" s="41">
        <v>4.887555802519292E-4</v>
      </c>
      <c r="AB199" s="41">
        <v>3.6306494704678585E-4</v>
      </c>
      <c r="AE199" s="41">
        <v>6.0</v>
      </c>
      <c r="AF199" s="41">
        <v>0.0</v>
      </c>
      <c r="AG199" s="41">
        <v>0.0</v>
      </c>
      <c r="AH199" s="41">
        <v>0.0</v>
      </c>
      <c r="AI199" s="41">
        <v>0.0</v>
      </c>
      <c r="AJ199" s="41">
        <v>0.0</v>
      </c>
      <c r="AK199" s="41">
        <v>0.0</v>
      </c>
      <c r="AL199" s="41">
        <v>0.0</v>
      </c>
      <c r="AM199" s="41">
        <v>0.0</v>
      </c>
      <c r="AN199" s="41">
        <v>0.0</v>
      </c>
      <c r="AO199" s="41">
        <v>0.0</v>
      </c>
      <c r="AP199" s="41">
        <v>0.0</v>
      </c>
      <c r="AQ199" s="41">
        <v>0.0</v>
      </c>
      <c r="AR199" s="41">
        <v>0.0</v>
      </c>
      <c r="AS199" s="41">
        <v>0.0</v>
      </c>
      <c r="AT199" s="41">
        <v>0.0</v>
      </c>
      <c r="AU199" s="41">
        <v>0.0</v>
      </c>
      <c r="AV199" s="41">
        <v>0.0</v>
      </c>
      <c r="AW199" s="41">
        <v>0.0</v>
      </c>
      <c r="AX199" s="41">
        <v>0.0</v>
      </c>
      <c r="AY199" s="41">
        <v>0.0</v>
      </c>
      <c r="AZ199" s="41">
        <v>0.0</v>
      </c>
      <c r="BA199" s="41">
        <v>0.0</v>
      </c>
      <c r="BB199" s="41">
        <v>0.0</v>
      </c>
      <c r="BC199" s="41">
        <v>0.0</v>
      </c>
      <c r="BD199" s="41">
        <v>0.0</v>
      </c>
      <c r="BE199" s="41">
        <v>0.0</v>
      </c>
      <c r="BF199" s="16">
        <f t="shared" si="51"/>
        <v>0</v>
      </c>
    </row>
    <row r="200" ht="15.75" customHeight="1">
      <c r="B200" s="41">
        <v>10.0</v>
      </c>
      <c r="C200" s="41">
        <v>0.13260890512281132</v>
      </c>
      <c r="D200" s="41">
        <v>0.11002758106062692</v>
      </c>
      <c r="E200" s="41">
        <v>0.13708029462265753</v>
      </c>
      <c r="F200" s="41">
        <v>0.20543345955986014</v>
      </c>
      <c r="G200" s="41">
        <v>0.18110500129898022</v>
      </c>
      <c r="H200" s="41">
        <v>0.08567356025430654</v>
      </c>
      <c r="I200" s="41">
        <v>0.12003956939418768</v>
      </c>
      <c r="J200" s="41">
        <v>0.0338872562193955</v>
      </c>
      <c r="K200" s="41">
        <v>0.20510820036470023</v>
      </c>
      <c r="L200" s="41">
        <v>1.2584961513123953</v>
      </c>
      <c r="M200" s="41">
        <v>0.18456723710193793</v>
      </c>
      <c r="N200" s="41">
        <v>0.1349554196322278</v>
      </c>
      <c r="O200" s="41">
        <v>0.09393098355484637</v>
      </c>
      <c r="P200" s="41">
        <v>2.8353401346819813E-4</v>
      </c>
      <c r="Q200" s="41">
        <v>5.458758481412006E-4</v>
      </c>
      <c r="R200" s="41">
        <v>3.483627823278894E-4</v>
      </c>
      <c r="S200" s="41">
        <v>5.821504950275796E-4</v>
      </c>
      <c r="T200" s="41">
        <v>8.311876400585811E-4</v>
      </c>
      <c r="U200" s="41">
        <v>2.601912582049307E-4</v>
      </c>
      <c r="V200" s="41">
        <v>6.131777416638933E-4</v>
      </c>
      <c r="W200" s="41">
        <v>5.534641356290775E-4</v>
      </c>
      <c r="X200" s="41">
        <v>3.9074143169642487E-4</v>
      </c>
      <c r="Y200" s="41">
        <v>2.948239237654366E-4</v>
      </c>
      <c r="Z200" s="41">
        <v>8.216455433846741E-4</v>
      </c>
      <c r="AA200" s="41">
        <v>3.3074561159584625E-4</v>
      </c>
      <c r="AB200" s="41">
        <v>2.969008420464845E-4</v>
      </c>
      <c r="AE200" s="41">
        <v>7.0</v>
      </c>
      <c r="AF200" s="41">
        <v>0.0</v>
      </c>
      <c r="AG200" s="41">
        <v>0.0</v>
      </c>
      <c r="AH200" s="41">
        <v>0.0</v>
      </c>
      <c r="AI200" s="41">
        <v>0.0</v>
      </c>
      <c r="AJ200" s="41">
        <v>0.0</v>
      </c>
      <c r="AK200" s="41">
        <v>0.0</v>
      </c>
      <c r="AL200" s="41">
        <v>0.0</v>
      </c>
      <c r="AM200" s="41">
        <v>0.0</v>
      </c>
      <c r="AN200" s="41">
        <v>0.0</v>
      </c>
      <c r="AO200" s="41">
        <v>0.0</v>
      </c>
      <c r="AP200" s="41">
        <v>0.0</v>
      </c>
      <c r="AQ200" s="41">
        <v>0.0</v>
      </c>
      <c r="AR200" s="41">
        <v>0.0</v>
      </c>
      <c r="AS200" s="41">
        <v>0.0</v>
      </c>
      <c r="AT200" s="41">
        <v>0.0</v>
      </c>
      <c r="AU200" s="41">
        <v>0.0</v>
      </c>
      <c r="AV200" s="41">
        <v>0.0</v>
      </c>
      <c r="AW200" s="41">
        <v>0.0</v>
      </c>
      <c r="AX200" s="41">
        <v>0.0</v>
      </c>
      <c r="AY200" s="41">
        <v>0.0</v>
      </c>
      <c r="AZ200" s="41">
        <v>0.0</v>
      </c>
      <c r="BA200" s="41">
        <v>0.0</v>
      </c>
      <c r="BB200" s="41">
        <v>0.0</v>
      </c>
      <c r="BC200" s="41">
        <v>0.0</v>
      </c>
      <c r="BD200" s="41">
        <v>0.0</v>
      </c>
      <c r="BE200" s="41">
        <v>0.0</v>
      </c>
      <c r="BF200" s="16">
        <f t="shared" si="51"/>
        <v>0</v>
      </c>
    </row>
    <row r="201" ht="15.75" customHeight="1">
      <c r="B201" s="41">
        <v>11.0</v>
      </c>
      <c r="C201" s="41">
        <v>0.01014342180710285</v>
      </c>
      <c r="D201" s="41">
        <v>0.002907795387190812</v>
      </c>
      <c r="E201" s="41">
        <v>0.0043587643946976775</v>
      </c>
      <c r="F201" s="41">
        <v>0.011388355439549906</v>
      </c>
      <c r="G201" s="41">
        <v>0.34804002554260893</v>
      </c>
      <c r="H201" s="41">
        <v>0.00332086049397393</v>
      </c>
      <c r="I201" s="41">
        <v>0.006657511401900398</v>
      </c>
      <c r="J201" s="41">
        <v>0.0025113161330549685</v>
      </c>
      <c r="K201" s="41">
        <v>0.006792575638151619</v>
      </c>
      <c r="L201" s="41">
        <v>0.012203188565849213</v>
      </c>
      <c r="M201" s="41">
        <v>1.3521353043858304</v>
      </c>
      <c r="N201" s="41">
        <v>0.005473215422415624</v>
      </c>
      <c r="O201" s="41">
        <v>0.003785639052434249</v>
      </c>
      <c r="P201" s="41">
        <v>1.092468805282521E-5</v>
      </c>
      <c r="Q201" s="41">
        <v>1.9725524527572955E-5</v>
      </c>
      <c r="R201" s="41">
        <v>1.593250938008106E-5</v>
      </c>
      <c r="S201" s="41">
        <v>2.6646723874263406E-5</v>
      </c>
      <c r="T201" s="41">
        <v>6.592411388837157E-5</v>
      </c>
      <c r="U201" s="41">
        <v>8.801032773504936E-6</v>
      </c>
      <c r="V201" s="41">
        <v>2.3929175328941125E-5</v>
      </c>
      <c r="W201" s="41">
        <v>2.1976377022246205E-5</v>
      </c>
      <c r="X201" s="41">
        <v>1.2771672568350033E-5</v>
      </c>
      <c r="Y201" s="41">
        <v>7.969520857621844E-6</v>
      </c>
      <c r="Z201" s="41">
        <v>7.076404889003963E-5</v>
      </c>
      <c r="AA201" s="41">
        <v>1.3375671235325589E-5</v>
      </c>
      <c r="AB201" s="41">
        <v>1.0409744537267466E-5</v>
      </c>
      <c r="AE201" s="41">
        <v>8.0</v>
      </c>
      <c r="AF201" s="41">
        <v>0.0</v>
      </c>
      <c r="AG201" s="41">
        <v>0.0</v>
      </c>
      <c r="AH201" s="41">
        <v>0.0</v>
      </c>
      <c r="AI201" s="41">
        <v>0.0</v>
      </c>
      <c r="AJ201" s="41">
        <v>0.0</v>
      </c>
      <c r="AK201" s="41">
        <v>0.0</v>
      </c>
      <c r="AL201" s="41">
        <v>0.0</v>
      </c>
      <c r="AM201" s="41">
        <v>0.0</v>
      </c>
      <c r="AN201" s="41">
        <v>0.0</v>
      </c>
      <c r="AO201" s="41">
        <v>0.0</v>
      </c>
      <c r="AP201" s="41">
        <v>0.0</v>
      </c>
      <c r="AQ201" s="41">
        <v>0.0</v>
      </c>
      <c r="AR201" s="41">
        <v>0.0</v>
      </c>
      <c r="AS201" s="41">
        <v>0.0</v>
      </c>
      <c r="AT201" s="41">
        <v>0.0</v>
      </c>
      <c r="AU201" s="41">
        <v>0.0</v>
      </c>
      <c r="AV201" s="41">
        <v>0.0</v>
      </c>
      <c r="AW201" s="41">
        <v>0.0</v>
      </c>
      <c r="AX201" s="41">
        <v>0.0</v>
      </c>
      <c r="AY201" s="41">
        <v>0.0</v>
      </c>
      <c r="AZ201" s="41">
        <v>0.0</v>
      </c>
      <c r="BA201" s="41">
        <v>0.0</v>
      </c>
      <c r="BB201" s="41">
        <v>0.0</v>
      </c>
      <c r="BC201" s="41">
        <v>0.0</v>
      </c>
      <c r="BD201" s="41">
        <v>0.0</v>
      </c>
      <c r="BE201" s="41">
        <v>0.0</v>
      </c>
      <c r="BF201" s="16">
        <f t="shared" si="51"/>
        <v>0</v>
      </c>
    </row>
    <row r="202" ht="15.75" customHeight="1">
      <c r="B202" s="41">
        <v>12.0</v>
      </c>
      <c r="C202" s="41">
        <v>0.001814835111718402</v>
      </c>
      <c r="D202" s="41">
        <v>0.0012988340852674789</v>
      </c>
      <c r="E202" s="41">
        <v>0.0020100976920031993</v>
      </c>
      <c r="F202" s="41">
        <v>0.001373040203501884</v>
      </c>
      <c r="G202" s="41">
        <v>0.0039619869667633974</v>
      </c>
      <c r="H202" s="41">
        <v>6.353994360320831E-4</v>
      </c>
      <c r="I202" s="41">
        <v>9.851519499068891E-4</v>
      </c>
      <c r="J202" s="41">
        <v>5.461176631925937E-4</v>
      </c>
      <c r="K202" s="41">
        <v>0.0014206178164680996</v>
      </c>
      <c r="L202" s="41">
        <v>0.0036872062079746104</v>
      </c>
      <c r="M202" s="41">
        <v>0.003997368399544223</v>
      </c>
      <c r="N202" s="41">
        <v>1.0208996701722235</v>
      </c>
      <c r="O202" s="41">
        <v>0.002065730743473155</v>
      </c>
      <c r="P202" s="41">
        <v>1.7705515366078033E-6</v>
      </c>
      <c r="Q202" s="41">
        <v>3.662063001787578E-6</v>
      </c>
      <c r="R202" s="41">
        <v>2.3654411548746863E-6</v>
      </c>
      <c r="S202" s="41">
        <v>3.695800765788979E-6</v>
      </c>
      <c r="T202" s="41">
        <v>4.6590830328527405E-6</v>
      </c>
      <c r="U202" s="41">
        <v>1.5197993037165172E-6</v>
      </c>
      <c r="V202" s="41">
        <v>3.92437572085824E-6</v>
      </c>
      <c r="W202" s="41">
        <v>3.5953732164150256E-6</v>
      </c>
      <c r="X202" s="41">
        <v>2.819562976824871E-6</v>
      </c>
      <c r="Y202" s="41">
        <v>1.581927930884743E-6</v>
      </c>
      <c r="Z202" s="41">
        <v>4.271802378784346E-6</v>
      </c>
      <c r="AA202" s="41">
        <v>2.015018292041448E-6</v>
      </c>
      <c r="AB202" s="41">
        <v>2.0072250129375568E-6</v>
      </c>
      <c r="AE202" s="41">
        <v>9.0</v>
      </c>
      <c r="AF202" s="41">
        <v>0.0</v>
      </c>
      <c r="AG202" s="41">
        <v>0.0</v>
      </c>
      <c r="AH202" s="41">
        <v>0.0</v>
      </c>
      <c r="AI202" s="41">
        <v>0.0</v>
      </c>
      <c r="AJ202" s="41">
        <v>0.0</v>
      </c>
      <c r="AK202" s="41">
        <v>0.0</v>
      </c>
      <c r="AL202" s="41">
        <v>0.0</v>
      </c>
      <c r="AM202" s="41">
        <v>0.0</v>
      </c>
      <c r="AN202" s="41">
        <v>0.0</v>
      </c>
      <c r="AO202" s="41">
        <v>0.0</v>
      </c>
      <c r="AP202" s="41">
        <v>0.0</v>
      </c>
      <c r="AQ202" s="41">
        <v>0.0</v>
      </c>
      <c r="AR202" s="41">
        <v>0.0</v>
      </c>
      <c r="AS202" s="41">
        <v>0.0</v>
      </c>
      <c r="AT202" s="41">
        <v>0.0</v>
      </c>
      <c r="AU202" s="41">
        <v>0.0</v>
      </c>
      <c r="AV202" s="41">
        <v>0.0</v>
      </c>
      <c r="AW202" s="41">
        <v>0.0</v>
      </c>
      <c r="AX202" s="41">
        <v>0.0</v>
      </c>
      <c r="AY202" s="41">
        <v>0.0</v>
      </c>
      <c r="AZ202" s="41">
        <v>0.0</v>
      </c>
      <c r="BA202" s="41">
        <v>0.0</v>
      </c>
      <c r="BB202" s="41">
        <v>0.0</v>
      </c>
      <c r="BC202" s="41">
        <v>0.0</v>
      </c>
      <c r="BD202" s="41">
        <v>0.0</v>
      </c>
      <c r="BE202" s="41">
        <v>0.0</v>
      </c>
      <c r="BF202" s="16">
        <f t="shared" si="51"/>
        <v>0</v>
      </c>
    </row>
    <row r="203" ht="15.75" customHeight="1">
      <c r="B203" s="41">
        <v>13.0</v>
      </c>
      <c r="C203" s="41">
        <v>0.0029789200705052712</v>
      </c>
      <c r="D203" s="41">
        <v>0.004817820885377672</v>
      </c>
      <c r="E203" s="41">
        <v>0.0033670071787788897</v>
      </c>
      <c r="F203" s="41">
        <v>0.008812919922034906</v>
      </c>
      <c r="G203" s="41">
        <v>0.004550953194800214</v>
      </c>
      <c r="H203" s="41">
        <v>0.0024225002003529475</v>
      </c>
      <c r="I203" s="41">
        <v>0.004124606690622726</v>
      </c>
      <c r="J203" s="41">
        <v>0.001687535106232993</v>
      </c>
      <c r="K203" s="41">
        <v>0.008166740433199187</v>
      </c>
      <c r="L203" s="41">
        <v>0.005582731377314464</v>
      </c>
      <c r="M203" s="41">
        <v>0.004535311874230757</v>
      </c>
      <c r="N203" s="41">
        <v>0.0046966858867847775</v>
      </c>
      <c r="O203" s="41">
        <v>1.0112789873169508</v>
      </c>
      <c r="P203" s="41">
        <v>1.1339328439929483E-4</v>
      </c>
      <c r="Q203" s="41">
        <v>1.69863919083093E-4</v>
      </c>
      <c r="R203" s="41">
        <v>1.2599214809294812E-4</v>
      </c>
      <c r="S203" s="41">
        <v>1.7065521538949026E-4</v>
      </c>
      <c r="T203" s="41">
        <v>2.0001877386363812E-4</v>
      </c>
      <c r="U203" s="41">
        <v>1.0683122664760994E-4</v>
      </c>
      <c r="V203" s="41">
        <v>2.2589430066189472E-4</v>
      </c>
      <c r="W203" s="41">
        <v>3.4004256108427554E-4</v>
      </c>
      <c r="X203" s="41">
        <v>4.673179503993187E-4</v>
      </c>
      <c r="Y203" s="41">
        <v>1.4555002339910458E-4</v>
      </c>
      <c r="Z203" s="41">
        <v>1.9385390974015418E-4</v>
      </c>
      <c r="AA203" s="41">
        <v>1.1894755672319284E-4</v>
      </c>
      <c r="AB203" s="41">
        <v>1.4232410559157177E-4</v>
      </c>
      <c r="AE203" s="41">
        <v>10.0</v>
      </c>
      <c r="AF203" s="41">
        <v>0.0</v>
      </c>
      <c r="AG203" s="41">
        <v>0.0</v>
      </c>
      <c r="AH203" s="41">
        <v>0.0</v>
      </c>
      <c r="AI203" s="41">
        <v>0.0</v>
      </c>
      <c r="AJ203" s="41">
        <v>0.0</v>
      </c>
      <c r="AK203" s="41">
        <v>0.0</v>
      </c>
      <c r="AL203" s="41">
        <v>0.0</v>
      </c>
      <c r="AM203" s="41">
        <v>0.0</v>
      </c>
      <c r="AN203" s="41">
        <v>0.0</v>
      </c>
      <c r="AO203" s="41">
        <v>0.0</v>
      </c>
      <c r="AP203" s="41">
        <v>0.0</v>
      </c>
      <c r="AQ203" s="41">
        <v>0.0</v>
      </c>
      <c r="AR203" s="41">
        <v>0.0</v>
      </c>
      <c r="AS203" s="41">
        <v>0.0</v>
      </c>
      <c r="AT203" s="41">
        <v>0.0</v>
      </c>
      <c r="AU203" s="41">
        <v>0.0</v>
      </c>
      <c r="AV203" s="41">
        <v>0.0</v>
      </c>
      <c r="AW203" s="41">
        <v>0.0</v>
      </c>
      <c r="AX203" s="41">
        <v>0.0</v>
      </c>
      <c r="AY203" s="41">
        <v>0.0</v>
      </c>
      <c r="AZ203" s="41">
        <v>0.0</v>
      </c>
      <c r="BA203" s="41">
        <v>0.0</v>
      </c>
      <c r="BB203" s="41">
        <v>0.0</v>
      </c>
      <c r="BC203" s="41">
        <v>0.0</v>
      </c>
      <c r="BD203" s="41">
        <v>0.0</v>
      </c>
      <c r="BE203" s="41">
        <v>0.0</v>
      </c>
      <c r="BF203" s="16">
        <f t="shared" si="51"/>
        <v>0</v>
      </c>
    </row>
    <row r="204" ht="15.75" customHeight="1">
      <c r="B204" s="41">
        <v>14.0</v>
      </c>
      <c r="C204" s="41">
        <v>0.027555773594941272</v>
      </c>
      <c r="D204" s="41">
        <v>0.05714370818626868</v>
      </c>
      <c r="E204" s="41">
        <v>0.15672887845313643</v>
      </c>
      <c r="F204" s="41">
        <v>0.03030009475738698</v>
      </c>
      <c r="G204" s="41">
        <v>0.0028524091478491368</v>
      </c>
      <c r="H204" s="41">
        <v>0.003126850191977715</v>
      </c>
      <c r="I204" s="41">
        <v>0.010114776211835326</v>
      </c>
      <c r="J204" s="41">
        <v>0.012779428764322656</v>
      </c>
      <c r="K204" s="41">
        <v>0.004640432589212856</v>
      </c>
      <c r="L204" s="41">
        <v>0.00446745354483987</v>
      </c>
      <c r="M204" s="41">
        <v>0.002766147523094684</v>
      </c>
      <c r="N204" s="41">
        <v>0.003570337733628045</v>
      </c>
      <c r="O204" s="41">
        <v>0.016650780239785074</v>
      </c>
      <c r="P204" s="41">
        <v>1.2625548656504122</v>
      </c>
      <c r="Q204" s="41">
        <v>0.34696967491748604</v>
      </c>
      <c r="R204" s="41">
        <v>0.09106274192256439</v>
      </c>
      <c r="S204" s="41">
        <v>0.05502125211295451</v>
      </c>
      <c r="T204" s="41">
        <v>0.010910358503755394</v>
      </c>
      <c r="U204" s="41">
        <v>0.013758628539009504</v>
      </c>
      <c r="V204" s="41">
        <v>0.026115721529777838</v>
      </c>
      <c r="W204" s="41">
        <v>0.07949553522888014</v>
      </c>
      <c r="X204" s="41">
        <v>0.009311844220856366</v>
      </c>
      <c r="Y204" s="41">
        <v>0.010077049794024486</v>
      </c>
      <c r="Z204" s="41">
        <v>0.012726816388024271</v>
      </c>
      <c r="AA204" s="41">
        <v>0.011379259005220008</v>
      </c>
      <c r="AB204" s="41">
        <v>0.04703956400425004</v>
      </c>
      <c r="AE204" s="41">
        <v>11.0</v>
      </c>
      <c r="AF204" s="41">
        <v>0.0</v>
      </c>
      <c r="AG204" s="41">
        <v>0.0</v>
      </c>
      <c r="AH204" s="41">
        <v>0.0</v>
      </c>
      <c r="AI204" s="41">
        <v>0.0</v>
      </c>
      <c r="AJ204" s="41">
        <v>0.0</v>
      </c>
      <c r="AK204" s="41">
        <v>0.0</v>
      </c>
      <c r="AL204" s="41">
        <v>0.0</v>
      </c>
      <c r="AM204" s="41">
        <v>0.0</v>
      </c>
      <c r="AN204" s="41">
        <v>0.0</v>
      </c>
      <c r="AO204" s="41">
        <v>0.0</v>
      </c>
      <c r="AP204" s="41">
        <v>0.0</v>
      </c>
      <c r="AQ204" s="41">
        <v>0.0</v>
      </c>
      <c r="AR204" s="41">
        <v>0.0</v>
      </c>
      <c r="AS204" s="41">
        <v>0.0</v>
      </c>
      <c r="AT204" s="41">
        <v>0.0</v>
      </c>
      <c r="AU204" s="41">
        <v>0.0</v>
      </c>
      <c r="AV204" s="41">
        <v>0.0</v>
      </c>
      <c r="AW204" s="41">
        <v>0.0</v>
      </c>
      <c r="AX204" s="41">
        <v>0.0</v>
      </c>
      <c r="AY204" s="41">
        <v>0.0</v>
      </c>
      <c r="AZ204" s="41">
        <v>0.0</v>
      </c>
      <c r="BA204" s="41">
        <v>0.0</v>
      </c>
      <c r="BB204" s="41">
        <v>0.0</v>
      </c>
      <c r="BC204" s="41">
        <v>0.0</v>
      </c>
      <c r="BD204" s="41">
        <v>0.0</v>
      </c>
      <c r="BE204" s="41">
        <v>0.0</v>
      </c>
      <c r="BF204" s="16">
        <f t="shared" si="51"/>
        <v>0</v>
      </c>
    </row>
    <row r="205" ht="15.75" customHeight="1">
      <c r="B205" s="41">
        <v>15.0</v>
      </c>
      <c r="C205" s="41">
        <v>0.004117009774801192</v>
      </c>
      <c r="D205" s="41">
        <v>0.04832524385023119</v>
      </c>
      <c r="E205" s="41">
        <v>0.031373489077537196</v>
      </c>
      <c r="F205" s="41">
        <v>0.023376798618842665</v>
      </c>
      <c r="G205" s="41">
        <v>0.002399750745103595</v>
      </c>
      <c r="H205" s="41">
        <v>0.002148031544888373</v>
      </c>
      <c r="I205" s="41">
        <v>0.0071308903149849175</v>
      </c>
      <c r="J205" s="41">
        <v>0.005849721087146298</v>
      </c>
      <c r="K205" s="41">
        <v>0.0052078160564680035</v>
      </c>
      <c r="L205" s="41">
        <v>0.005342224989167829</v>
      </c>
      <c r="M205" s="41">
        <v>0.0023575915612742827</v>
      </c>
      <c r="N205" s="41">
        <v>0.002807199443345756</v>
      </c>
      <c r="O205" s="41">
        <v>0.019559501550078344</v>
      </c>
      <c r="P205" s="41">
        <v>0.009522697608223905</v>
      </c>
      <c r="Q205" s="41">
        <v>1.1675626060166095</v>
      </c>
      <c r="R205" s="41">
        <v>0.10528592690329407</v>
      </c>
      <c r="S205" s="41">
        <v>0.08937952032073992</v>
      </c>
      <c r="T205" s="41">
        <v>0.009350890943640423</v>
      </c>
      <c r="U205" s="41">
        <v>0.005450163545413056</v>
      </c>
      <c r="V205" s="41">
        <v>0.00927360511678298</v>
      </c>
      <c r="W205" s="41">
        <v>0.03264357476006137</v>
      </c>
      <c r="X205" s="41">
        <v>0.008121289215212947</v>
      </c>
      <c r="Y205" s="41">
        <v>0.00860476474728979</v>
      </c>
      <c r="Z205" s="41">
        <v>0.010940283668356412</v>
      </c>
      <c r="AA205" s="41">
        <v>0.008106417221602427</v>
      </c>
      <c r="AB205" s="41">
        <v>0.0947523878790358</v>
      </c>
      <c r="AE205" s="41">
        <v>12.0</v>
      </c>
      <c r="AF205" s="41">
        <v>0.0</v>
      </c>
      <c r="AG205" s="41">
        <v>0.0</v>
      </c>
      <c r="AH205" s="41">
        <v>0.0</v>
      </c>
      <c r="AI205" s="41">
        <v>0.0</v>
      </c>
      <c r="AJ205" s="41">
        <v>0.0</v>
      </c>
      <c r="AK205" s="41">
        <v>0.0</v>
      </c>
      <c r="AL205" s="41">
        <v>0.0</v>
      </c>
      <c r="AM205" s="41">
        <v>0.0</v>
      </c>
      <c r="AN205" s="41">
        <v>0.0</v>
      </c>
      <c r="AO205" s="41">
        <v>0.0</v>
      </c>
      <c r="AP205" s="41">
        <v>0.0</v>
      </c>
      <c r="AQ205" s="41">
        <v>0.0</v>
      </c>
      <c r="AR205" s="41">
        <v>0.0</v>
      </c>
      <c r="AS205" s="41">
        <v>0.0</v>
      </c>
      <c r="AT205" s="41">
        <v>0.0</v>
      </c>
      <c r="AU205" s="41">
        <v>0.0</v>
      </c>
      <c r="AV205" s="41">
        <v>0.0</v>
      </c>
      <c r="AW205" s="41">
        <v>0.0</v>
      </c>
      <c r="AX205" s="41">
        <v>0.0</v>
      </c>
      <c r="AY205" s="41">
        <v>0.0</v>
      </c>
      <c r="AZ205" s="41">
        <v>0.0</v>
      </c>
      <c r="BA205" s="41">
        <v>0.0</v>
      </c>
      <c r="BB205" s="41">
        <v>0.0</v>
      </c>
      <c r="BC205" s="41">
        <v>0.0</v>
      </c>
      <c r="BD205" s="41">
        <v>0.0</v>
      </c>
      <c r="BE205" s="41">
        <v>0.0</v>
      </c>
      <c r="BF205" s="16">
        <f t="shared" si="51"/>
        <v>0</v>
      </c>
    </row>
    <row r="206" ht="15.75" customHeight="1">
      <c r="B206" s="41">
        <v>16.0</v>
      </c>
      <c r="C206" s="41">
        <v>0.00221716020897968</v>
      </c>
      <c r="D206" s="41">
        <v>0.004451988389218075</v>
      </c>
      <c r="E206" s="41">
        <v>0.011651393683372738</v>
      </c>
      <c r="F206" s="41">
        <v>0.039765043255605384</v>
      </c>
      <c r="G206" s="41">
        <v>0.00122045346771076</v>
      </c>
      <c r="H206" s="41">
        <v>0.00131953370270188</v>
      </c>
      <c r="I206" s="41">
        <v>0.003040260018695303</v>
      </c>
      <c r="J206" s="41">
        <v>0.00372708823244619</v>
      </c>
      <c r="K206" s="41">
        <v>0.003499270045799181</v>
      </c>
      <c r="L206" s="41">
        <v>0.002401884905807222</v>
      </c>
      <c r="M206" s="41">
        <v>0.0011941548609764646</v>
      </c>
      <c r="N206" s="41">
        <v>0.0013002129466267642</v>
      </c>
      <c r="O206" s="41">
        <v>0.006125546099837872</v>
      </c>
      <c r="P206" s="41">
        <v>0.005758654187057359</v>
      </c>
      <c r="Q206" s="41">
        <v>0.025511964234023403</v>
      </c>
      <c r="R206" s="41">
        <v>1.0883576507534964</v>
      </c>
      <c r="S206" s="41">
        <v>0.379735775821523</v>
      </c>
      <c r="T206" s="41">
        <v>0.007157379091816205</v>
      </c>
      <c r="U206" s="41">
        <v>0.003795271250928316</v>
      </c>
      <c r="V206" s="41">
        <v>0.006156575194275015</v>
      </c>
      <c r="W206" s="41">
        <v>0.023855594118585816</v>
      </c>
      <c r="X206" s="41">
        <v>0.0038075917432368557</v>
      </c>
      <c r="Y206" s="41">
        <v>0.003800278103100363</v>
      </c>
      <c r="Z206" s="41">
        <v>0.005779933945842696</v>
      </c>
      <c r="AA206" s="41">
        <v>0.007352497624028542</v>
      </c>
      <c r="AB206" s="41">
        <v>0.03603816360353612</v>
      </c>
      <c r="AE206" s="41">
        <v>13.0</v>
      </c>
      <c r="AF206" s="41">
        <v>0.0</v>
      </c>
      <c r="AG206" s="41">
        <v>0.0</v>
      </c>
      <c r="AH206" s="41">
        <v>0.0</v>
      </c>
      <c r="AI206" s="41">
        <v>0.0</v>
      </c>
      <c r="AJ206" s="41">
        <v>0.0</v>
      </c>
      <c r="AK206" s="41">
        <v>0.0</v>
      </c>
      <c r="AL206" s="41">
        <v>0.0</v>
      </c>
      <c r="AM206" s="41">
        <v>0.0</v>
      </c>
      <c r="AN206" s="41">
        <v>0.0</v>
      </c>
      <c r="AO206" s="41">
        <v>0.0</v>
      </c>
      <c r="AP206" s="41">
        <v>0.0</v>
      </c>
      <c r="AQ206" s="41">
        <v>0.0</v>
      </c>
      <c r="AR206" s="41">
        <v>0.0</v>
      </c>
      <c r="AS206" s="41">
        <v>0.0</v>
      </c>
      <c r="AT206" s="41">
        <v>0.0</v>
      </c>
      <c r="AU206" s="41">
        <v>0.0</v>
      </c>
      <c r="AV206" s="41">
        <v>0.0</v>
      </c>
      <c r="AW206" s="41">
        <v>0.0</v>
      </c>
      <c r="AX206" s="41">
        <v>0.0</v>
      </c>
      <c r="AY206" s="41">
        <v>0.0</v>
      </c>
      <c r="AZ206" s="41">
        <v>0.0</v>
      </c>
      <c r="BA206" s="41">
        <v>0.0</v>
      </c>
      <c r="BB206" s="41">
        <v>0.0</v>
      </c>
      <c r="BC206" s="41">
        <v>0.0</v>
      </c>
      <c r="BD206" s="41">
        <v>0.0</v>
      </c>
      <c r="BE206" s="41">
        <v>0.0</v>
      </c>
      <c r="BF206" s="16">
        <f t="shared" si="51"/>
        <v>0</v>
      </c>
    </row>
    <row r="207" ht="15.75" customHeight="1">
      <c r="B207" s="41">
        <v>17.0</v>
      </c>
      <c r="C207" s="41">
        <v>0.002747424142159531</v>
      </c>
      <c r="D207" s="41">
        <v>0.008828811822629868</v>
      </c>
      <c r="E207" s="41">
        <v>0.027007193348312676</v>
      </c>
      <c r="F207" s="41">
        <v>0.05820833485643645</v>
      </c>
      <c r="G207" s="41">
        <v>0.0018366860244491173</v>
      </c>
      <c r="H207" s="41">
        <v>0.0016640237743906735</v>
      </c>
      <c r="I207" s="41">
        <v>0.004006746549396091</v>
      </c>
      <c r="J207" s="41">
        <v>0.004121203681438485</v>
      </c>
      <c r="K207" s="41">
        <v>0.006997890528735121</v>
      </c>
      <c r="L207" s="41">
        <v>0.003583810687333754</v>
      </c>
      <c r="M207" s="41">
        <v>0.0017928842435847943</v>
      </c>
      <c r="N207" s="41">
        <v>0.0018712038819806145</v>
      </c>
      <c r="O207" s="41">
        <v>0.013501737414407345</v>
      </c>
      <c r="P207" s="41">
        <v>0.0057496038418745465</v>
      </c>
      <c r="Q207" s="41">
        <v>0.04338620109154137</v>
      </c>
      <c r="R207" s="41">
        <v>0.025066906294841537</v>
      </c>
      <c r="S207" s="41">
        <v>1.0975178305992184</v>
      </c>
      <c r="T207" s="41">
        <v>0.006124470868537843</v>
      </c>
      <c r="U207" s="41">
        <v>0.0031553646815751786</v>
      </c>
      <c r="V207" s="41">
        <v>0.005737067931932664</v>
      </c>
      <c r="W207" s="41">
        <v>0.014931254665404493</v>
      </c>
      <c r="X207" s="41">
        <v>0.004389916278884114</v>
      </c>
      <c r="Y207" s="41">
        <v>0.00566858212481233</v>
      </c>
      <c r="Z207" s="41">
        <v>0.00830797869826974</v>
      </c>
      <c r="AA207" s="41">
        <v>0.005268343022161685</v>
      </c>
      <c r="AB207" s="41">
        <v>0.05220203424936497</v>
      </c>
      <c r="AE207" s="41">
        <v>14.0</v>
      </c>
      <c r="AF207" s="41">
        <v>95.50986606818752</v>
      </c>
      <c r="AG207" s="41">
        <v>2516.757869547128</v>
      </c>
      <c r="AH207" s="41">
        <v>933.1953997779888</v>
      </c>
      <c r="AI207" s="41">
        <v>324.6377652853703</v>
      </c>
      <c r="AJ207" s="41">
        <v>0.5241878243224501</v>
      </c>
      <c r="AK207" s="41">
        <v>13.017969612297136</v>
      </c>
      <c r="AL207" s="41">
        <v>2386.3104146651585</v>
      </c>
      <c r="AM207" s="41">
        <v>3.850687096215817</v>
      </c>
      <c r="AN207" s="41">
        <v>885.4780817867914</v>
      </c>
      <c r="AO207" s="41">
        <v>2065.1044036906396</v>
      </c>
      <c r="AP207" s="41">
        <v>0.733192731036497</v>
      </c>
      <c r="AQ207" s="41">
        <v>0.12132012981264682</v>
      </c>
      <c r="AR207" s="41">
        <v>502.71673047087245</v>
      </c>
      <c r="AS207" s="41">
        <v>3702402.4185031108</v>
      </c>
      <c r="AT207" s="41">
        <v>2068805.857046932</v>
      </c>
      <c r="AU207" s="41">
        <v>235280.34851360874</v>
      </c>
      <c r="AV207" s="41">
        <v>213179.27370666558</v>
      </c>
      <c r="AW207" s="41">
        <v>1596.612557892739</v>
      </c>
      <c r="AX207" s="41">
        <v>10270.615733329347</v>
      </c>
      <c r="AY207" s="41">
        <v>1495616.1292572073</v>
      </c>
      <c r="AZ207" s="41">
        <v>57454.15861015118</v>
      </c>
      <c r="BA207" s="41">
        <v>277594.21042257984</v>
      </c>
      <c r="BB207" s="41">
        <v>928170.1224910269</v>
      </c>
      <c r="BC207" s="41">
        <v>3014.3337041134682</v>
      </c>
      <c r="BD207" s="41">
        <v>3533.4624005732326</v>
      </c>
      <c r="BE207" s="41">
        <v>353619.50160928257</v>
      </c>
      <c r="BF207" s="16">
        <f t="shared" si="51"/>
        <v>9360265.002</v>
      </c>
    </row>
    <row r="208" ht="15.75" customHeight="1">
      <c r="B208" s="41">
        <v>18.0</v>
      </c>
      <c r="C208" s="41">
        <v>4.6253658787149453E-4</v>
      </c>
      <c r="D208" s="41">
        <v>3.052644547118532E-4</v>
      </c>
      <c r="E208" s="41">
        <v>4.427686366022255E-4</v>
      </c>
      <c r="F208" s="41">
        <v>5.866007012848938E-4</v>
      </c>
      <c r="G208" s="41">
        <v>0.001992667637460576</v>
      </c>
      <c r="H208" s="41">
        <v>2.0425519130897357E-4</v>
      </c>
      <c r="I208" s="41">
        <v>7.129852604648521E-4</v>
      </c>
      <c r="J208" s="41">
        <v>7.872804802803251E-4</v>
      </c>
      <c r="K208" s="41">
        <v>2.804825028194597E-4</v>
      </c>
      <c r="L208" s="41">
        <v>2.2991306775985428E-4</v>
      </c>
      <c r="M208" s="41">
        <v>0.0019961946858200108</v>
      </c>
      <c r="N208" s="41">
        <v>2.5301668361905747E-4</v>
      </c>
      <c r="O208" s="41">
        <v>1.604490460319332E-4</v>
      </c>
      <c r="P208" s="41">
        <v>7.196081118944415E-4</v>
      </c>
      <c r="Q208" s="41">
        <v>0.0011683715540830478</v>
      </c>
      <c r="R208" s="41">
        <v>9.329473478760159E-4</v>
      </c>
      <c r="S208" s="41">
        <v>0.0015080387251270545</v>
      </c>
      <c r="T208" s="41">
        <v>1.041648405895651</v>
      </c>
      <c r="U208" s="41">
        <v>9.050961576274968E-4</v>
      </c>
      <c r="V208" s="41">
        <v>0.0015339243701407161</v>
      </c>
      <c r="W208" s="41">
        <v>0.0014091824011597178</v>
      </c>
      <c r="X208" s="41">
        <v>8.168878077541522E-4</v>
      </c>
      <c r="Y208" s="41">
        <v>9.347712429809786E-4</v>
      </c>
      <c r="Z208" s="41">
        <v>0.03787339443281449</v>
      </c>
      <c r="AA208" s="41">
        <v>0.007369527899556787</v>
      </c>
      <c r="AB208" s="41">
        <v>9.999056272888996E-4</v>
      </c>
      <c r="AE208" s="41">
        <v>15.0</v>
      </c>
      <c r="AF208" s="41">
        <v>0.0</v>
      </c>
      <c r="AG208" s="41">
        <v>0.0</v>
      </c>
      <c r="AH208" s="41">
        <v>0.0</v>
      </c>
      <c r="AI208" s="41">
        <v>0.0</v>
      </c>
      <c r="AJ208" s="41">
        <v>0.0</v>
      </c>
      <c r="AK208" s="41">
        <v>0.0</v>
      </c>
      <c r="AL208" s="41">
        <v>0.0</v>
      </c>
      <c r="AM208" s="41">
        <v>0.0</v>
      </c>
      <c r="AN208" s="41">
        <v>0.0</v>
      </c>
      <c r="AO208" s="41">
        <v>0.0</v>
      </c>
      <c r="AP208" s="41">
        <v>0.0</v>
      </c>
      <c r="AQ208" s="41">
        <v>0.0</v>
      </c>
      <c r="AR208" s="41">
        <v>0.0</v>
      </c>
      <c r="AS208" s="41">
        <v>0.0</v>
      </c>
      <c r="AT208" s="41">
        <v>0.0</v>
      </c>
      <c r="AU208" s="41">
        <v>0.0</v>
      </c>
      <c r="AV208" s="41">
        <v>0.0</v>
      </c>
      <c r="AW208" s="41">
        <v>0.0</v>
      </c>
      <c r="AX208" s="41">
        <v>0.0</v>
      </c>
      <c r="AY208" s="41">
        <v>0.0</v>
      </c>
      <c r="AZ208" s="41">
        <v>0.0</v>
      </c>
      <c r="BA208" s="41">
        <v>0.0</v>
      </c>
      <c r="BB208" s="41">
        <v>0.0</v>
      </c>
      <c r="BC208" s="41">
        <v>0.0</v>
      </c>
      <c r="BD208" s="41">
        <v>0.0</v>
      </c>
      <c r="BE208" s="41">
        <v>0.0</v>
      </c>
      <c r="BF208" s="16">
        <f t="shared" si="51"/>
        <v>0</v>
      </c>
    </row>
    <row r="209" ht="15.75" customHeight="1">
      <c r="B209" s="41">
        <v>19.0</v>
      </c>
      <c r="C209" s="41">
        <v>0.040246375973784894</v>
      </c>
      <c r="D209" s="41">
        <v>0.018902380604479567</v>
      </c>
      <c r="E209" s="41">
        <v>0.05498347209477</v>
      </c>
      <c r="F209" s="41">
        <v>0.03198195313632027</v>
      </c>
      <c r="G209" s="41">
        <v>0.015834115127849522</v>
      </c>
      <c r="H209" s="41">
        <v>0.07568066262433565</v>
      </c>
      <c r="I209" s="41">
        <v>0.0746498405010503</v>
      </c>
      <c r="J209" s="41">
        <v>0.7558052712533891</v>
      </c>
      <c r="K209" s="41">
        <v>0.019325365132142322</v>
      </c>
      <c r="L209" s="41">
        <v>0.013474107391319046</v>
      </c>
      <c r="M209" s="41">
        <v>0.015225590633002993</v>
      </c>
      <c r="N209" s="41">
        <v>0.022181869173895873</v>
      </c>
      <c r="O209" s="41">
        <v>0.011918764091838244</v>
      </c>
      <c r="P209" s="41">
        <v>0.03253383082517689</v>
      </c>
      <c r="Q209" s="41">
        <v>0.037285261690697714</v>
      </c>
      <c r="R209" s="41">
        <v>0.029645745299191957</v>
      </c>
      <c r="S209" s="41">
        <v>0.04139212158997874</v>
      </c>
      <c r="T209" s="41">
        <v>0.033986538080127505</v>
      </c>
      <c r="U209" s="41">
        <v>1.1568147221843024</v>
      </c>
      <c r="V209" s="41">
        <v>0.1245736447136345</v>
      </c>
      <c r="W209" s="41">
        <v>0.11325035538646847</v>
      </c>
      <c r="X209" s="41">
        <v>0.04464147678026534</v>
      </c>
      <c r="Y209" s="41">
        <v>0.017300647018260264</v>
      </c>
      <c r="Z209" s="41">
        <v>0.03889408796828128</v>
      </c>
      <c r="AA209" s="41">
        <v>0.03479296268931469</v>
      </c>
      <c r="AB209" s="41">
        <v>0.019647066618149762</v>
      </c>
      <c r="AE209" s="41">
        <v>16.0</v>
      </c>
      <c r="AF209" s="41">
        <v>0.0</v>
      </c>
      <c r="AG209" s="41">
        <v>0.0</v>
      </c>
      <c r="AH209" s="41">
        <v>0.0</v>
      </c>
      <c r="AI209" s="41">
        <v>0.0</v>
      </c>
      <c r="AJ209" s="41">
        <v>0.0</v>
      </c>
      <c r="AK209" s="41">
        <v>0.0</v>
      </c>
      <c r="AL209" s="41">
        <v>0.0</v>
      </c>
      <c r="AM209" s="41">
        <v>0.0</v>
      </c>
      <c r="AN209" s="41">
        <v>0.0</v>
      </c>
      <c r="AO209" s="41">
        <v>0.0</v>
      </c>
      <c r="AP209" s="41">
        <v>0.0</v>
      </c>
      <c r="AQ209" s="41">
        <v>0.0</v>
      </c>
      <c r="AR209" s="41">
        <v>0.0</v>
      </c>
      <c r="AS209" s="41">
        <v>0.0</v>
      </c>
      <c r="AT209" s="41">
        <v>0.0</v>
      </c>
      <c r="AU209" s="41">
        <v>0.0</v>
      </c>
      <c r="AV209" s="41">
        <v>0.0</v>
      </c>
      <c r="AW209" s="41">
        <v>0.0</v>
      </c>
      <c r="AX209" s="41">
        <v>0.0</v>
      </c>
      <c r="AY209" s="41">
        <v>0.0</v>
      </c>
      <c r="AZ209" s="41">
        <v>0.0</v>
      </c>
      <c r="BA209" s="41">
        <v>0.0</v>
      </c>
      <c r="BB209" s="41">
        <v>0.0</v>
      </c>
      <c r="BC209" s="41">
        <v>0.0</v>
      </c>
      <c r="BD209" s="41">
        <v>0.0</v>
      </c>
      <c r="BE209" s="41">
        <v>0.0</v>
      </c>
      <c r="BF209" s="16">
        <f t="shared" si="51"/>
        <v>0</v>
      </c>
    </row>
    <row r="210" ht="15.75" customHeight="1">
      <c r="B210" s="41">
        <v>20.0</v>
      </c>
      <c r="C210" s="41">
        <v>0.3664559905902817</v>
      </c>
      <c r="D210" s="41">
        <v>0.13117230573065247</v>
      </c>
      <c r="E210" s="41">
        <v>0.22304456690674507</v>
      </c>
      <c r="F210" s="41">
        <v>0.25211341831917405</v>
      </c>
      <c r="G210" s="41">
        <v>0.09651014943167352</v>
      </c>
      <c r="H210" s="41">
        <v>0.10404112347786236</v>
      </c>
      <c r="I210" s="41">
        <v>0.4427754455804263</v>
      </c>
      <c r="J210" s="41">
        <v>0.2644876631565087</v>
      </c>
      <c r="K210" s="41">
        <v>0.10390828868627174</v>
      </c>
      <c r="L210" s="41">
        <v>0.10800062180957462</v>
      </c>
      <c r="M210" s="41">
        <v>0.09014603658833785</v>
      </c>
      <c r="N210" s="41">
        <v>0.14173797469467106</v>
      </c>
      <c r="O210" s="41">
        <v>0.07446626487157117</v>
      </c>
      <c r="P210" s="41">
        <v>0.2594377990493504</v>
      </c>
      <c r="Q210" s="41">
        <v>0.31220058866261213</v>
      </c>
      <c r="R210" s="41">
        <v>0.22519903661967697</v>
      </c>
      <c r="S210" s="41">
        <v>0.32775447138833824</v>
      </c>
      <c r="T210" s="41">
        <v>0.32069636508872185</v>
      </c>
      <c r="U210" s="41">
        <v>0.29002232926797017</v>
      </c>
      <c r="V210" s="41">
        <v>1.7810753943765743</v>
      </c>
      <c r="W210" s="41">
        <v>0.6057940094402688</v>
      </c>
      <c r="X210" s="41">
        <v>0.22916942699779116</v>
      </c>
      <c r="Y210" s="41">
        <v>0.18376823969059033</v>
      </c>
      <c r="Z210" s="41">
        <v>0.3183200595586026</v>
      </c>
      <c r="AA210" s="41">
        <v>0.2686655176667587</v>
      </c>
      <c r="AB210" s="41">
        <v>0.16888036888362587</v>
      </c>
      <c r="AE210" s="41">
        <v>17.0</v>
      </c>
      <c r="AF210" s="41">
        <v>0.0</v>
      </c>
      <c r="AG210" s="41">
        <v>0.0</v>
      </c>
      <c r="AH210" s="41">
        <v>0.0</v>
      </c>
      <c r="AI210" s="41">
        <v>0.0</v>
      </c>
      <c r="AJ210" s="41">
        <v>0.0</v>
      </c>
      <c r="AK210" s="41">
        <v>0.0</v>
      </c>
      <c r="AL210" s="41">
        <v>0.0</v>
      </c>
      <c r="AM210" s="41">
        <v>0.0</v>
      </c>
      <c r="AN210" s="41">
        <v>0.0</v>
      </c>
      <c r="AO210" s="41">
        <v>0.0</v>
      </c>
      <c r="AP210" s="41">
        <v>0.0</v>
      </c>
      <c r="AQ210" s="41">
        <v>0.0</v>
      </c>
      <c r="AR210" s="41">
        <v>0.0</v>
      </c>
      <c r="AS210" s="41">
        <v>0.0</v>
      </c>
      <c r="AT210" s="41">
        <v>0.0</v>
      </c>
      <c r="AU210" s="41">
        <v>0.0</v>
      </c>
      <c r="AV210" s="41">
        <v>0.0</v>
      </c>
      <c r="AW210" s="41">
        <v>0.0</v>
      </c>
      <c r="AX210" s="41">
        <v>0.0</v>
      </c>
      <c r="AY210" s="41">
        <v>0.0</v>
      </c>
      <c r="AZ210" s="41">
        <v>0.0</v>
      </c>
      <c r="BA210" s="41">
        <v>0.0</v>
      </c>
      <c r="BB210" s="41">
        <v>0.0</v>
      </c>
      <c r="BC210" s="41">
        <v>0.0</v>
      </c>
      <c r="BD210" s="41">
        <v>0.0</v>
      </c>
      <c r="BE210" s="41">
        <v>0.0</v>
      </c>
      <c r="BF210" s="16">
        <f t="shared" si="51"/>
        <v>0</v>
      </c>
    </row>
    <row r="211" ht="15.75" customHeight="1">
      <c r="B211" s="41">
        <v>21.0</v>
      </c>
      <c r="C211" s="41">
        <v>0.006812269059580248</v>
      </c>
      <c r="D211" s="41">
        <v>0.004985395195223426</v>
      </c>
      <c r="E211" s="41">
        <v>0.013569775555576468</v>
      </c>
      <c r="F211" s="41">
        <v>0.0034824513987587982</v>
      </c>
      <c r="G211" s="41">
        <v>6.878697751994165E-4</v>
      </c>
      <c r="H211" s="41">
        <v>9.119049451689965E-4</v>
      </c>
      <c r="I211" s="41">
        <v>0.0026391779155286424</v>
      </c>
      <c r="J211" s="41">
        <v>0.004844182638797358</v>
      </c>
      <c r="K211" s="41">
        <v>8.043542794388574E-4</v>
      </c>
      <c r="L211" s="41">
        <v>7.662446740519854E-4</v>
      </c>
      <c r="M211" s="41">
        <v>6.671766275777191E-4</v>
      </c>
      <c r="N211" s="41">
        <v>8.497564771220134E-4</v>
      </c>
      <c r="O211" s="41">
        <v>0.0016180958546963473</v>
      </c>
      <c r="P211" s="41">
        <v>0.09704249605128121</v>
      </c>
      <c r="Q211" s="41">
        <v>0.028328204103530954</v>
      </c>
      <c r="R211" s="41">
        <v>0.011483311185739057</v>
      </c>
      <c r="S211" s="41">
        <v>0.00793045413211451</v>
      </c>
      <c r="T211" s="41">
        <v>0.0023788800984042148</v>
      </c>
      <c r="U211" s="41">
        <v>0.0059601321928803765</v>
      </c>
      <c r="V211" s="41">
        <v>0.0056016824553423075</v>
      </c>
      <c r="W211" s="41">
        <v>1.1939407106224027</v>
      </c>
      <c r="X211" s="41">
        <v>0.002009589769174318</v>
      </c>
      <c r="Y211" s="41">
        <v>0.0018316249366473647</v>
      </c>
      <c r="Z211" s="41">
        <v>0.002466401102780558</v>
      </c>
      <c r="AA211" s="41">
        <v>0.0029018330869286023</v>
      </c>
      <c r="AB211" s="41">
        <v>0.0047562925824501025</v>
      </c>
      <c r="AE211" s="41">
        <v>18.0</v>
      </c>
      <c r="AF211" s="41">
        <v>0.0</v>
      </c>
      <c r="AG211" s="41">
        <v>0.0</v>
      </c>
      <c r="AH211" s="41">
        <v>0.0</v>
      </c>
      <c r="AI211" s="41">
        <v>0.0</v>
      </c>
      <c r="AJ211" s="41">
        <v>0.0</v>
      </c>
      <c r="AK211" s="41">
        <v>0.0</v>
      </c>
      <c r="AL211" s="41">
        <v>0.0</v>
      </c>
      <c r="AM211" s="41">
        <v>0.0</v>
      </c>
      <c r="AN211" s="41">
        <v>0.0</v>
      </c>
      <c r="AO211" s="41">
        <v>0.0</v>
      </c>
      <c r="AP211" s="41">
        <v>0.0</v>
      </c>
      <c r="AQ211" s="41">
        <v>0.0</v>
      </c>
      <c r="AR211" s="41">
        <v>0.0</v>
      </c>
      <c r="AS211" s="41">
        <v>0.0</v>
      </c>
      <c r="AT211" s="41">
        <v>0.0</v>
      </c>
      <c r="AU211" s="41">
        <v>0.0</v>
      </c>
      <c r="AV211" s="41">
        <v>0.0</v>
      </c>
      <c r="AW211" s="41">
        <v>0.0</v>
      </c>
      <c r="AX211" s="41">
        <v>0.0</v>
      </c>
      <c r="AY211" s="41">
        <v>0.0</v>
      </c>
      <c r="AZ211" s="41">
        <v>0.0</v>
      </c>
      <c r="BA211" s="41">
        <v>0.0</v>
      </c>
      <c r="BB211" s="41">
        <v>0.0</v>
      </c>
      <c r="BC211" s="41">
        <v>0.0</v>
      </c>
      <c r="BD211" s="41">
        <v>0.0</v>
      </c>
      <c r="BE211" s="41">
        <v>0.0</v>
      </c>
      <c r="BF211" s="16">
        <f t="shared" si="51"/>
        <v>0</v>
      </c>
    </row>
    <row r="212" ht="15.75" customHeight="1">
      <c r="B212" s="41">
        <v>22.0</v>
      </c>
      <c r="C212" s="41">
        <v>0.0894762920574302</v>
      </c>
      <c r="D212" s="41">
        <v>0.08085217915054808</v>
      </c>
      <c r="E212" s="41">
        <v>0.11334234473916976</v>
      </c>
      <c r="F212" s="41">
        <v>0.19849475469826475</v>
      </c>
      <c r="G212" s="41">
        <v>0.05503114612434099</v>
      </c>
      <c r="H212" s="41">
        <v>0.07330358379688301</v>
      </c>
      <c r="I212" s="41">
        <v>0.13983192625645333</v>
      </c>
      <c r="J212" s="41">
        <v>0.24431415007036572</v>
      </c>
      <c r="K212" s="41">
        <v>0.08974837607793683</v>
      </c>
      <c r="L212" s="41">
        <v>0.046947353421586034</v>
      </c>
      <c r="M212" s="41">
        <v>0.05620016691970417</v>
      </c>
      <c r="N212" s="41">
        <v>0.06221809953778522</v>
      </c>
      <c r="O212" s="41">
        <v>0.03991437848383193</v>
      </c>
      <c r="P212" s="41">
        <v>0.1774066943945171</v>
      </c>
      <c r="Q212" s="41">
        <v>0.2837492627237056</v>
      </c>
      <c r="R212" s="41">
        <v>0.22525366477969247</v>
      </c>
      <c r="S212" s="41">
        <v>0.3100234834255108</v>
      </c>
      <c r="T212" s="41">
        <v>0.20367665842053884</v>
      </c>
      <c r="U212" s="41">
        <v>0.1766819705594987</v>
      </c>
      <c r="V212" s="41">
        <v>0.27126936331095486</v>
      </c>
      <c r="W212" s="41">
        <v>0.4241784103166373</v>
      </c>
      <c r="X212" s="41">
        <v>1.2540965664668127</v>
      </c>
      <c r="Y212" s="41">
        <v>0.1309299579039817</v>
      </c>
      <c r="Z212" s="41">
        <v>0.20335230607175098</v>
      </c>
      <c r="AA212" s="41">
        <v>0.17975866090063108</v>
      </c>
      <c r="AB212" s="41">
        <v>0.20673637963308755</v>
      </c>
      <c r="AE212" s="41">
        <v>19.0</v>
      </c>
      <c r="AF212" s="41">
        <v>0.0</v>
      </c>
      <c r="AG212" s="41">
        <v>0.0</v>
      </c>
      <c r="AH212" s="41">
        <v>0.0</v>
      </c>
      <c r="AI212" s="41">
        <v>0.0</v>
      </c>
      <c r="AJ212" s="41">
        <v>0.0</v>
      </c>
      <c r="AK212" s="41">
        <v>0.0</v>
      </c>
      <c r="AL212" s="41">
        <v>0.0</v>
      </c>
      <c r="AM212" s="41">
        <v>0.0</v>
      </c>
      <c r="AN212" s="41">
        <v>0.0</v>
      </c>
      <c r="AO212" s="41">
        <v>0.0</v>
      </c>
      <c r="AP212" s="41">
        <v>0.0</v>
      </c>
      <c r="AQ212" s="41">
        <v>0.0</v>
      </c>
      <c r="AR212" s="41">
        <v>0.0</v>
      </c>
      <c r="AS212" s="41">
        <v>0.0</v>
      </c>
      <c r="AT212" s="41">
        <v>0.0</v>
      </c>
      <c r="AU212" s="41">
        <v>0.0</v>
      </c>
      <c r="AV212" s="41">
        <v>0.0</v>
      </c>
      <c r="AW212" s="41">
        <v>0.0</v>
      </c>
      <c r="AX212" s="41">
        <v>0.0</v>
      </c>
      <c r="AY212" s="41">
        <v>0.0</v>
      </c>
      <c r="AZ212" s="41">
        <v>0.0</v>
      </c>
      <c r="BA212" s="41">
        <v>0.0</v>
      </c>
      <c r="BB212" s="41">
        <v>0.0</v>
      </c>
      <c r="BC212" s="41">
        <v>0.0</v>
      </c>
      <c r="BD212" s="41">
        <v>0.0</v>
      </c>
      <c r="BE212" s="41">
        <v>0.0</v>
      </c>
      <c r="BF212" s="16">
        <f t="shared" si="51"/>
        <v>0</v>
      </c>
    </row>
    <row r="213" ht="15.75" customHeight="1">
      <c r="B213" s="41">
        <v>23.0</v>
      </c>
      <c r="C213" s="41">
        <v>0.0729836935766603</v>
      </c>
      <c r="D213" s="41">
        <v>0.058878824486231475</v>
      </c>
      <c r="E213" s="41">
        <v>0.07985346258601231</v>
      </c>
      <c r="F213" s="41">
        <v>0.16401411171597127</v>
      </c>
      <c r="G213" s="41">
        <v>0.040610308638427295</v>
      </c>
      <c r="H213" s="41">
        <v>0.043670676868180665</v>
      </c>
      <c r="I213" s="41">
        <v>0.1078701100716193</v>
      </c>
      <c r="J213" s="41">
        <v>0.16194785824843694</v>
      </c>
      <c r="K213" s="41">
        <v>0.05916005090611536</v>
      </c>
      <c r="L213" s="41">
        <v>0.07112654402046607</v>
      </c>
      <c r="M213" s="41">
        <v>0.04018803587608221</v>
      </c>
      <c r="N213" s="41">
        <v>0.04268488548300634</v>
      </c>
      <c r="O213" s="41">
        <v>0.033387867747000095</v>
      </c>
      <c r="P213" s="41">
        <v>0.1386490834541807</v>
      </c>
      <c r="Q213" s="41">
        <v>0.19641488928580111</v>
      </c>
      <c r="R213" s="41">
        <v>0.13924023350829104</v>
      </c>
      <c r="S213" s="41">
        <v>0.18496445615856136</v>
      </c>
      <c r="T213" s="41">
        <v>0.31466484497604313</v>
      </c>
      <c r="U213" s="41">
        <v>0.1756110973926181</v>
      </c>
      <c r="V213" s="41">
        <v>0.2268587673862303</v>
      </c>
      <c r="W213" s="41">
        <v>0.2800511571933792</v>
      </c>
      <c r="X213" s="41">
        <v>0.20446427669103812</v>
      </c>
      <c r="Y213" s="41">
        <v>1.3170171116442118</v>
      </c>
      <c r="Z213" s="41">
        <v>0.2885694981661493</v>
      </c>
      <c r="AA213" s="41">
        <v>0.22391487372807095</v>
      </c>
      <c r="AB213" s="41">
        <v>0.20838716819869416</v>
      </c>
      <c r="AE213" s="41">
        <v>20.0</v>
      </c>
      <c r="AF213" s="41">
        <v>0.0</v>
      </c>
      <c r="AG213" s="41">
        <v>0.0</v>
      </c>
      <c r="AH213" s="41">
        <v>0.0</v>
      </c>
      <c r="AI213" s="41">
        <v>0.0</v>
      </c>
      <c r="AJ213" s="41">
        <v>0.0</v>
      </c>
      <c r="AK213" s="41">
        <v>0.0</v>
      </c>
      <c r="AL213" s="41">
        <v>0.0</v>
      </c>
      <c r="AM213" s="41">
        <v>0.0</v>
      </c>
      <c r="AN213" s="41">
        <v>0.0</v>
      </c>
      <c r="AO213" s="41">
        <v>0.0</v>
      </c>
      <c r="AP213" s="41">
        <v>0.0</v>
      </c>
      <c r="AQ213" s="41">
        <v>0.0</v>
      </c>
      <c r="AR213" s="41">
        <v>0.0</v>
      </c>
      <c r="AS213" s="41">
        <v>0.0</v>
      </c>
      <c r="AT213" s="41">
        <v>0.0</v>
      </c>
      <c r="AU213" s="41">
        <v>0.0</v>
      </c>
      <c r="AV213" s="41">
        <v>0.0</v>
      </c>
      <c r="AW213" s="41">
        <v>0.0</v>
      </c>
      <c r="AX213" s="41">
        <v>0.0</v>
      </c>
      <c r="AY213" s="41">
        <v>0.0</v>
      </c>
      <c r="AZ213" s="41">
        <v>0.0</v>
      </c>
      <c r="BA213" s="41">
        <v>0.0</v>
      </c>
      <c r="BB213" s="41">
        <v>0.0</v>
      </c>
      <c r="BC213" s="41">
        <v>0.0</v>
      </c>
      <c r="BD213" s="41">
        <v>0.0</v>
      </c>
      <c r="BE213" s="41">
        <v>0.0</v>
      </c>
      <c r="BF213" s="16">
        <f t="shared" si="51"/>
        <v>0</v>
      </c>
    </row>
    <row r="214" ht="15.75" customHeight="1">
      <c r="B214" s="41">
        <v>24.0</v>
      </c>
      <c r="C214" s="41">
        <v>0.0011282766981682945</v>
      </c>
      <c r="D214" s="41">
        <v>7.713067308313874E-4</v>
      </c>
      <c r="E214" s="41">
        <v>0.001132810839959577</v>
      </c>
      <c r="F214" s="41">
        <v>0.0015677183741330293</v>
      </c>
      <c r="G214" s="41">
        <v>0.004889409920625894</v>
      </c>
      <c r="H214" s="41">
        <v>5.893520865101697E-4</v>
      </c>
      <c r="I214" s="41">
        <v>0.0021693863709706437</v>
      </c>
      <c r="J214" s="41">
        <v>0.0023305088961802956</v>
      </c>
      <c r="K214" s="41">
        <v>7.883516423661165E-4</v>
      </c>
      <c r="L214" s="41">
        <v>6.364996043291292E-4</v>
      </c>
      <c r="M214" s="41">
        <v>0.005895923644905221</v>
      </c>
      <c r="N214" s="41">
        <v>7.374062371499139E-4</v>
      </c>
      <c r="O214" s="41">
        <v>4.374931430112298E-4</v>
      </c>
      <c r="P214" s="41">
        <v>0.0018988168656656592</v>
      </c>
      <c r="Q214" s="41">
        <v>0.0031926712890927317</v>
      </c>
      <c r="R214" s="41">
        <v>0.0028893748877993437</v>
      </c>
      <c r="S214" s="41">
        <v>0.004346116982213682</v>
      </c>
      <c r="T214" s="41">
        <v>0.08926205836818617</v>
      </c>
      <c r="U214" s="41">
        <v>0.002781901626320188</v>
      </c>
      <c r="V214" s="41">
        <v>0.0036327260091860427</v>
      </c>
      <c r="W214" s="41">
        <v>0.003561948542136602</v>
      </c>
      <c r="X214" s="41">
        <v>0.002237454706782761</v>
      </c>
      <c r="Y214" s="41">
        <v>0.002608844256699834</v>
      </c>
      <c r="Z214" s="41">
        <v>1.0958353528062332</v>
      </c>
      <c r="AA214" s="41">
        <v>0.014907015091722401</v>
      </c>
      <c r="AB214" s="41">
        <v>0.0031953797998135595</v>
      </c>
      <c r="AE214" s="41">
        <v>21.0</v>
      </c>
      <c r="AF214" s="41">
        <v>0.0</v>
      </c>
      <c r="AG214" s="41">
        <v>0.0</v>
      </c>
      <c r="AH214" s="41">
        <v>0.0</v>
      </c>
      <c r="AI214" s="41">
        <v>0.0</v>
      </c>
      <c r="AJ214" s="41">
        <v>0.0</v>
      </c>
      <c r="AK214" s="41">
        <v>0.0</v>
      </c>
      <c r="AL214" s="41">
        <v>0.0</v>
      </c>
      <c r="AM214" s="41">
        <v>0.0</v>
      </c>
      <c r="AN214" s="41">
        <v>0.0</v>
      </c>
      <c r="AO214" s="41">
        <v>0.0</v>
      </c>
      <c r="AP214" s="41">
        <v>0.0</v>
      </c>
      <c r="AQ214" s="41">
        <v>0.0</v>
      </c>
      <c r="AR214" s="41">
        <v>0.0</v>
      </c>
      <c r="AS214" s="41">
        <v>0.0</v>
      </c>
      <c r="AT214" s="41">
        <v>0.0</v>
      </c>
      <c r="AU214" s="41">
        <v>0.0</v>
      </c>
      <c r="AV214" s="41">
        <v>0.0</v>
      </c>
      <c r="AW214" s="41">
        <v>0.0</v>
      </c>
      <c r="AX214" s="41">
        <v>0.0</v>
      </c>
      <c r="AY214" s="41">
        <v>0.0</v>
      </c>
      <c r="AZ214" s="41">
        <v>0.0</v>
      </c>
      <c r="BA214" s="41">
        <v>0.0</v>
      </c>
      <c r="BB214" s="41">
        <v>0.0</v>
      </c>
      <c r="BC214" s="41">
        <v>0.0</v>
      </c>
      <c r="BD214" s="41">
        <v>0.0</v>
      </c>
      <c r="BE214" s="41">
        <v>0.0</v>
      </c>
      <c r="BF214" s="16">
        <f t="shared" si="51"/>
        <v>0</v>
      </c>
    </row>
    <row r="215" ht="15.75" customHeight="1">
      <c r="B215" s="41">
        <v>25.0</v>
      </c>
      <c r="C215" s="41">
        <v>4.7257145622268764E-4</v>
      </c>
      <c r="D215" s="41">
        <v>4.0445715231520417E-4</v>
      </c>
      <c r="E215" s="41">
        <v>6.593270235450864E-4</v>
      </c>
      <c r="F215" s="41">
        <v>7.149480358687294E-4</v>
      </c>
      <c r="G215" s="41">
        <v>6.623793527916369E-4</v>
      </c>
      <c r="H215" s="41">
        <v>2.7108847794620063E-4</v>
      </c>
      <c r="I215" s="41">
        <v>6.486431921243886E-4</v>
      </c>
      <c r="J215" s="41">
        <v>0.0011658432492840352</v>
      </c>
      <c r="K215" s="41">
        <v>4.119502373823708E-4</v>
      </c>
      <c r="L215" s="41">
        <v>2.652498882377066E-4</v>
      </c>
      <c r="M215" s="41">
        <v>6.962450022832967E-4</v>
      </c>
      <c r="N215" s="41">
        <v>2.4143277629891735E-4</v>
      </c>
      <c r="O215" s="41">
        <v>2.0292115468276817E-4</v>
      </c>
      <c r="P215" s="41">
        <v>0.0022870745726680038</v>
      </c>
      <c r="Q215" s="41">
        <v>0.0021367310719951228</v>
      </c>
      <c r="R215" s="41">
        <v>0.0013689953067733338</v>
      </c>
      <c r="S215" s="41">
        <v>0.0017818037037382862</v>
      </c>
      <c r="T215" s="41">
        <v>0.010844814365266051</v>
      </c>
      <c r="U215" s="41">
        <v>0.0014026910861575914</v>
      </c>
      <c r="V215" s="41">
        <v>0.0015796048415250155</v>
      </c>
      <c r="W215" s="41">
        <v>0.0029896759580904948</v>
      </c>
      <c r="X215" s="41">
        <v>0.0011535282805921038</v>
      </c>
      <c r="Y215" s="41">
        <v>0.0013468710413956206</v>
      </c>
      <c r="Z215" s="41">
        <v>0.009982575899069394</v>
      </c>
      <c r="AA215" s="41">
        <v>1.0481967964922871</v>
      </c>
      <c r="AB215" s="41">
        <v>0.0019793662235167934</v>
      </c>
      <c r="AE215" s="41">
        <v>22.0</v>
      </c>
      <c r="AF215" s="41">
        <v>0.0</v>
      </c>
      <c r="AG215" s="41">
        <v>0.0</v>
      </c>
      <c r="AH215" s="41">
        <v>0.0</v>
      </c>
      <c r="AI215" s="41">
        <v>0.0</v>
      </c>
      <c r="AJ215" s="41">
        <v>0.0</v>
      </c>
      <c r="AK215" s="41">
        <v>0.0</v>
      </c>
      <c r="AL215" s="41">
        <v>0.0</v>
      </c>
      <c r="AM215" s="41">
        <v>0.0</v>
      </c>
      <c r="AN215" s="41">
        <v>0.0</v>
      </c>
      <c r="AO215" s="41">
        <v>0.0</v>
      </c>
      <c r="AP215" s="41">
        <v>0.0</v>
      </c>
      <c r="AQ215" s="41">
        <v>0.0</v>
      </c>
      <c r="AR215" s="41">
        <v>0.0</v>
      </c>
      <c r="AS215" s="41">
        <v>0.0</v>
      </c>
      <c r="AT215" s="41">
        <v>0.0</v>
      </c>
      <c r="AU215" s="41">
        <v>0.0</v>
      </c>
      <c r="AV215" s="41">
        <v>0.0</v>
      </c>
      <c r="AW215" s="41">
        <v>0.0</v>
      </c>
      <c r="AX215" s="41">
        <v>0.0</v>
      </c>
      <c r="AY215" s="41">
        <v>0.0</v>
      </c>
      <c r="AZ215" s="41">
        <v>0.0</v>
      </c>
      <c r="BA215" s="41">
        <v>0.0</v>
      </c>
      <c r="BB215" s="41">
        <v>0.0</v>
      </c>
      <c r="BC215" s="41">
        <v>0.0</v>
      </c>
      <c r="BD215" s="41">
        <v>0.0</v>
      </c>
      <c r="BE215" s="41">
        <v>0.0</v>
      </c>
      <c r="BF215" s="16">
        <f t="shared" si="51"/>
        <v>0</v>
      </c>
    </row>
    <row r="216" ht="15.75" customHeight="1">
      <c r="B216" s="41">
        <v>26.0</v>
      </c>
      <c r="C216" s="41">
        <v>0.00924888399637322</v>
      </c>
      <c r="D216" s="41">
        <v>0.007642107975746845</v>
      </c>
      <c r="E216" s="41">
        <v>0.009785080457042628</v>
      </c>
      <c r="F216" s="41">
        <v>0.01515499107001338</v>
      </c>
      <c r="G216" s="41">
        <v>0.008640022227199005</v>
      </c>
      <c r="H216" s="41">
        <v>0.006019363053876368</v>
      </c>
      <c r="I216" s="41">
        <v>0.011653886422212994</v>
      </c>
      <c r="J216" s="41">
        <v>0.011925041357710785</v>
      </c>
      <c r="K216" s="41">
        <v>0.018373436517827108</v>
      </c>
      <c r="L216" s="41">
        <v>0.035347671787334285</v>
      </c>
      <c r="M216" s="41">
        <v>0.008639167006939398</v>
      </c>
      <c r="N216" s="41">
        <v>0.007682341640638877</v>
      </c>
      <c r="O216" s="41">
        <v>0.007372162993791803</v>
      </c>
      <c r="P216" s="41">
        <v>0.00877375982521572</v>
      </c>
      <c r="Q216" s="41">
        <v>0.01259556652361576</v>
      </c>
      <c r="R216" s="41">
        <v>0.009188507511396514</v>
      </c>
      <c r="S216" s="41">
        <v>0.014629915360810994</v>
      </c>
      <c r="T216" s="41">
        <v>0.01472650999200962</v>
      </c>
      <c r="U216" s="41">
        <v>0.010953161889914895</v>
      </c>
      <c r="V216" s="41">
        <v>0.016190723931761346</v>
      </c>
      <c r="W216" s="41">
        <v>0.01934270770644395</v>
      </c>
      <c r="X216" s="41">
        <v>0.01722787653124812</v>
      </c>
      <c r="Y216" s="41">
        <v>0.021020676226491557</v>
      </c>
      <c r="Z216" s="41">
        <v>0.01593738086304537</v>
      </c>
      <c r="AA216" s="41">
        <v>0.011217114651458304</v>
      </c>
      <c r="AB216" s="41">
        <v>1.0162784535046916</v>
      </c>
      <c r="AE216" s="41">
        <v>23.0</v>
      </c>
      <c r="AF216" s="41">
        <v>0.0</v>
      </c>
      <c r="AG216" s="41">
        <v>0.0</v>
      </c>
      <c r="AH216" s="41">
        <v>0.0</v>
      </c>
      <c r="AI216" s="41">
        <v>0.0</v>
      </c>
      <c r="AJ216" s="41">
        <v>0.0</v>
      </c>
      <c r="AK216" s="41">
        <v>0.0</v>
      </c>
      <c r="AL216" s="41">
        <v>0.0</v>
      </c>
      <c r="AM216" s="41">
        <v>0.0</v>
      </c>
      <c r="AN216" s="41">
        <v>0.0</v>
      </c>
      <c r="AO216" s="41">
        <v>0.0</v>
      </c>
      <c r="AP216" s="41">
        <v>0.0</v>
      </c>
      <c r="AQ216" s="41">
        <v>0.0</v>
      </c>
      <c r="AR216" s="41">
        <v>0.0</v>
      </c>
      <c r="AS216" s="41">
        <v>0.0</v>
      </c>
      <c r="AT216" s="41">
        <v>0.0</v>
      </c>
      <c r="AU216" s="41">
        <v>0.0</v>
      </c>
      <c r="AV216" s="41">
        <v>0.0</v>
      </c>
      <c r="AW216" s="41">
        <v>0.0</v>
      </c>
      <c r="AX216" s="41">
        <v>0.0</v>
      </c>
      <c r="AY216" s="41">
        <v>0.0</v>
      </c>
      <c r="AZ216" s="41">
        <v>0.0</v>
      </c>
      <c r="BA216" s="41">
        <v>0.0</v>
      </c>
      <c r="BB216" s="41">
        <v>0.0</v>
      </c>
      <c r="BC216" s="41">
        <v>0.0</v>
      </c>
      <c r="BD216" s="41">
        <v>0.0</v>
      </c>
      <c r="BE216" s="41">
        <v>0.0</v>
      </c>
      <c r="BF216" s="16">
        <f t="shared" si="51"/>
        <v>0</v>
      </c>
    </row>
    <row r="217" ht="15.75" customHeight="1">
      <c r="AE217" s="41">
        <v>24.0</v>
      </c>
      <c r="AF217" s="41">
        <v>0.0</v>
      </c>
      <c r="AG217" s="41">
        <v>0.0</v>
      </c>
      <c r="AH217" s="41">
        <v>0.0</v>
      </c>
      <c r="AI217" s="41">
        <v>0.0</v>
      </c>
      <c r="AJ217" s="41">
        <v>0.0</v>
      </c>
      <c r="AK217" s="41">
        <v>0.0</v>
      </c>
      <c r="AL217" s="41">
        <v>0.0</v>
      </c>
      <c r="AM217" s="41">
        <v>0.0</v>
      </c>
      <c r="AN217" s="41">
        <v>0.0</v>
      </c>
      <c r="AO217" s="41">
        <v>0.0</v>
      </c>
      <c r="AP217" s="41">
        <v>0.0</v>
      </c>
      <c r="AQ217" s="41">
        <v>0.0</v>
      </c>
      <c r="AR217" s="41">
        <v>0.0</v>
      </c>
      <c r="AS217" s="41">
        <v>0.0</v>
      </c>
      <c r="AT217" s="41">
        <v>0.0</v>
      </c>
      <c r="AU217" s="41">
        <v>0.0</v>
      </c>
      <c r="AV217" s="41">
        <v>0.0</v>
      </c>
      <c r="AW217" s="41">
        <v>0.0</v>
      </c>
      <c r="AX217" s="41">
        <v>0.0</v>
      </c>
      <c r="AY217" s="41">
        <v>0.0</v>
      </c>
      <c r="AZ217" s="41">
        <v>0.0</v>
      </c>
      <c r="BA217" s="41">
        <v>0.0</v>
      </c>
      <c r="BB217" s="41">
        <v>0.0</v>
      </c>
      <c r="BC217" s="41">
        <v>0.0</v>
      </c>
      <c r="BD217" s="41">
        <v>0.0</v>
      </c>
      <c r="BE217" s="41">
        <v>0.0</v>
      </c>
      <c r="BF217" s="16">
        <f t="shared" si="51"/>
        <v>0</v>
      </c>
    </row>
    <row r="218" ht="15.75" customHeight="1">
      <c r="B218" s="39" t="s">
        <v>63</v>
      </c>
      <c r="AE218" s="41">
        <v>25.0</v>
      </c>
      <c r="AF218" s="41">
        <v>0.0</v>
      </c>
      <c r="AG218" s="41">
        <v>0.0</v>
      </c>
      <c r="AH218" s="41">
        <v>0.0</v>
      </c>
      <c r="AI218" s="41">
        <v>0.0</v>
      </c>
      <c r="AJ218" s="41">
        <v>0.0</v>
      </c>
      <c r="AK218" s="41">
        <v>0.0</v>
      </c>
      <c r="AL218" s="41">
        <v>0.0</v>
      </c>
      <c r="AM218" s="41">
        <v>0.0</v>
      </c>
      <c r="AN218" s="41">
        <v>0.0</v>
      </c>
      <c r="AO218" s="41">
        <v>0.0</v>
      </c>
      <c r="AP218" s="41">
        <v>0.0</v>
      </c>
      <c r="AQ218" s="41">
        <v>0.0</v>
      </c>
      <c r="AR218" s="41">
        <v>0.0</v>
      </c>
      <c r="AS218" s="41">
        <v>0.0</v>
      </c>
      <c r="AT218" s="41">
        <v>0.0</v>
      </c>
      <c r="AU218" s="41">
        <v>0.0</v>
      </c>
      <c r="AV218" s="41">
        <v>0.0</v>
      </c>
      <c r="AW218" s="41">
        <v>0.0</v>
      </c>
      <c r="AX218" s="41">
        <v>0.0</v>
      </c>
      <c r="AY218" s="41">
        <v>0.0</v>
      </c>
      <c r="AZ218" s="41">
        <v>0.0</v>
      </c>
      <c r="BA218" s="41">
        <v>0.0</v>
      </c>
      <c r="BB218" s="41">
        <v>0.0</v>
      </c>
      <c r="BC218" s="41">
        <v>0.0</v>
      </c>
      <c r="BD218" s="41">
        <v>0.0</v>
      </c>
      <c r="BE218" s="41">
        <v>0.0</v>
      </c>
      <c r="BF218" s="16">
        <f t="shared" si="51"/>
        <v>0</v>
      </c>
    </row>
    <row r="219" ht="15.75" customHeight="1">
      <c r="B219" s="40"/>
      <c r="C219" s="41">
        <v>1.0</v>
      </c>
      <c r="D219" s="41">
        <v>2.0</v>
      </c>
      <c r="E219" s="41">
        <v>3.0</v>
      </c>
      <c r="F219" s="41">
        <v>4.0</v>
      </c>
      <c r="G219" s="41">
        <v>5.0</v>
      </c>
      <c r="H219" s="41">
        <v>6.0</v>
      </c>
      <c r="I219" s="41">
        <v>7.0</v>
      </c>
      <c r="J219" s="41">
        <v>8.0</v>
      </c>
      <c r="K219" s="41">
        <v>9.0</v>
      </c>
      <c r="L219" s="41">
        <v>10.0</v>
      </c>
      <c r="M219" s="41">
        <v>11.0</v>
      </c>
      <c r="N219" s="41">
        <v>12.0</v>
      </c>
      <c r="O219" s="41">
        <v>13.0</v>
      </c>
      <c r="P219" s="41">
        <v>14.0</v>
      </c>
      <c r="Q219" s="41">
        <v>15.0</v>
      </c>
      <c r="R219" s="41">
        <v>16.0</v>
      </c>
      <c r="S219" s="41">
        <v>17.0</v>
      </c>
      <c r="T219" s="41">
        <v>18.0</v>
      </c>
      <c r="U219" s="41">
        <v>19.0</v>
      </c>
      <c r="V219" s="41">
        <v>20.0</v>
      </c>
      <c r="W219" s="41">
        <v>21.0</v>
      </c>
      <c r="X219" s="41">
        <v>22.0</v>
      </c>
      <c r="Y219" s="41">
        <v>23.0</v>
      </c>
      <c r="Z219" s="41">
        <v>24.0</v>
      </c>
      <c r="AA219" s="41">
        <v>25.0</v>
      </c>
      <c r="AB219" s="41">
        <v>26.0</v>
      </c>
      <c r="AE219" s="41">
        <v>26.0</v>
      </c>
      <c r="AF219" s="41">
        <v>0.0</v>
      </c>
      <c r="AG219" s="41">
        <v>0.0</v>
      </c>
      <c r="AH219" s="41">
        <v>0.0</v>
      </c>
      <c r="AI219" s="41">
        <v>0.0</v>
      </c>
      <c r="AJ219" s="41">
        <v>0.0</v>
      </c>
      <c r="AK219" s="41">
        <v>0.0</v>
      </c>
      <c r="AL219" s="41">
        <v>0.0</v>
      </c>
      <c r="AM219" s="41">
        <v>0.0</v>
      </c>
      <c r="AN219" s="41">
        <v>0.0</v>
      </c>
      <c r="AO219" s="41">
        <v>0.0</v>
      </c>
      <c r="AP219" s="41">
        <v>0.0</v>
      </c>
      <c r="AQ219" s="41">
        <v>0.0</v>
      </c>
      <c r="AR219" s="41">
        <v>0.0</v>
      </c>
      <c r="AS219" s="41">
        <v>0.0</v>
      </c>
      <c r="AT219" s="41">
        <v>0.0</v>
      </c>
      <c r="AU219" s="41">
        <v>0.0</v>
      </c>
      <c r="AV219" s="41">
        <v>0.0</v>
      </c>
      <c r="AW219" s="41">
        <v>0.0</v>
      </c>
      <c r="AX219" s="41">
        <v>0.0</v>
      </c>
      <c r="AY219" s="41">
        <v>0.0</v>
      </c>
      <c r="AZ219" s="41">
        <v>0.0</v>
      </c>
      <c r="BA219" s="41">
        <v>0.0</v>
      </c>
      <c r="BB219" s="41">
        <v>0.0</v>
      </c>
      <c r="BC219" s="41">
        <v>0.0</v>
      </c>
      <c r="BD219" s="41">
        <v>0.0</v>
      </c>
      <c r="BE219" s="41">
        <v>0.0</v>
      </c>
      <c r="BF219" s="16">
        <f t="shared" si="51"/>
        <v>0</v>
      </c>
    </row>
    <row r="220" ht="15.75" customHeight="1">
      <c r="B220" s="41">
        <v>1.0</v>
      </c>
      <c r="C220" s="41">
        <f>$AS3</f>
        <v>1323.601448</v>
      </c>
      <c r="D220" s="41">
        <v>0.0</v>
      </c>
      <c r="E220" s="41">
        <v>0.0</v>
      </c>
      <c r="F220" s="41">
        <v>0.0</v>
      </c>
      <c r="G220" s="41">
        <v>0.0</v>
      </c>
      <c r="H220" s="41">
        <v>0.0</v>
      </c>
      <c r="I220" s="41">
        <v>0.0</v>
      </c>
      <c r="J220" s="41">
        <v>0.0</v>
      </c>
      <c r="K220" s="41">
        <v>0.0</v>
      </c>
      <c r="L220" s="41">
        <v>0.0</v>
      </c>
      <c r="M220" s="41">
        <v>0.0</v>
      </c>
      <c r="N220" s="41">
        <v>0.0</v>
      </c>
      <c r="O220" s="41">
        <v>0.0</v>
      </c>
      <c r="P220" s="41">
        <v>0.0</v>
      </c>
      <c r="Q220" s="41">
        <v>0.0</v>
      </c>
      <c r="R220" s="41">
        <v>0.0</v>
      </c>
      <c r="S220" s="41">
        <v>0.0</v>
      </c>
      <c r="T220" s="41">
        <v>0.0</v>
      </c>
      <c r="U220" s="41">
        <v>0.0</v>
      </c>
      <c r="V220" s="41">
        <v>0.0</v>
      </c>
      <c r="W220" s="41">
        <v>0.0</v>
      </c>
      <c r="X220" s="41">
        <v>0.0</v>
      </c>
      <c r="Y220" s="41">
        <v>0.0</v>
      </c>
      <c r="Z220" s="41">
        <v>0.0</v>
      </c>
      <c r="AA220" s="41">
        <v>0.0</v>
      </c>
      <c r="AB220" s="41">
        <v>0.0</v>
      </c>
      <c r="AE220" s="16"/>
      <c r="AF220" s="2" t="s">
        <v>1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  <c r="AS220" s="2" t="s">
        <v>2</v>
      </c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4"/>
    </row>
    <row r="221" ht="15.75" customHeight="1">
      <c r="B221" s="41">
        <v>2.0</v>
      </c>
      <c r="C221" s="41">
        <v>0.0</v>
      </c>
      <c r="D221" s="41">
        <f>$AS4</f>
        <v>16818.78509</v>
      </c>
      <c r="E221" s="41">
        <v>0.0</v>
      </c>
      <c r="F221" s="41">
        <v>0.0</v>
      </c>
      <c r="G221" s="41">
        <v>0.0</v>
      </c>
      <c r="H221" s="41">
        <v>0.0</v>
      </c>
      <c r="I221" s="41">
        <v>0.0</v>
      </c>
      <c r="J221" s="41">
        <v>0.0</v>
      </c>
      <c r="K221" s="41">
        <v>0.0</v>
      </c>
      <c r="L221" s="41">
        <v>0.0</v>
      </c>
      <c r="M221" s="41">
        <v>0.0</v>
      </c>
      <c r="N221" s="41">
        <v>0.0</v>
      </c>
      <c r="O221" s="41">
        <v>0.0</v>
      </c>
      <c r="P221" s="41">
        <v>0.0</v>
      </c>
      <c r="Q221" s="41">
        <v>0.0</v>
      </c>
      <c r="R221" s="41">
        <v>0.0</v>
      </c>
      <c r="S221" s="41">
        <v>0.0</v>
      </c>
      <c r="T221" s="41">
        <v>0.0</v>
      </c>
      <c r="U221" s="41">
        <v>0.0</v>
      </c>
      <c r="V221" s="41">
        <v>0.0</v>
      </c>
      <c r="W221" s="41">
        <v>0.0</v>
      </c>
      <c r="X221" s="41">
        <v>0.0</v>
      </c>
      <c r="Y221" s="41">
        <v>0.0</v>
      </c>
      <c r="Z221" s="41">
        <v>0.0</v>
      </c>
      <c r="AA221" s="41">
        <v>0.0</v>
      </c>
      <c r="AB221" s="41">
        <v>0.0</v>
      </c>
      <c r="AF221" s="5" t="s">
        <v>4</v>
      </c>
      <c r="AG221" s="5" t="s">
        <v>5</v>
      </c>
      <c r="AH221" s="5" t="s">
        <v>6</v>
      </c>
      <c r="AI221" s="5" t="s">
        <v>7</v>
      </c>
      <c r="AJ221" s="5" t="s">
        <v>8</v>
      </c>
      <c r="AK221" s="5" t="s">
        <v>9</v>
      </c>
      <c r="AL221" s="5" t="s">
        <v>10</v>
      </c>
      <c r="AM221" s="5" t="s">
        <v>11</v>
      </c>
      <c r="AN221" s="5" t="s">
        <v>12</v>
      </c>
      <c r="AO221" s="5" t="s">
        <v>13</v>
      </c>
      <c r="AP221" s="5" t="s">
        <v>14</v>
      </c>
      <c r="AQ221" s="5" t="s">
        <v>15</v>
      </c>
      <c r="AR221" s="5" t="s">
        <v>16</v>
      </c>
      <c r="AS221" s="5" t="s">
        <v>4</v>
      </c>
      <c r="AT221" s="5" t="s">
        <v>5</v>
      </c>
      <c r="AU221" s="5" t="s">
        <v>6</v>
      </c>
      <c r="AV221" s="5" t="s">
        <v>7</v>
      </c>
      <c r="AW221" s="5" t="s">
        <v>8</v>
      </c>
      <c r="AX221" s="5" t="s">
        <v>9</v>
      </c>
      <c r="AY221" s="5" t="s">
        <v>10</v>
      </c>
      <c r="AZ221" s="5" t="s">
        <v>11</v>
      </c>
      <c r="BA221" s="5" t="s">
        <v>12</v>
      </c>
      <c r="BB221" s="5" t="s">
        <v>13</v>
      </c>
      <c r="BC221" s="5" t="s">
        <v>14</v>
      </c>
      <c r="BD221" s="5" t="s">
        <v>15</v>
      </c>
      <c r="BE221" s="5" t="s">
        <v>16</v>
      </c>
    </row>
    <row r="222" ht="15.75" customHeight="1">
      <c r="B222" s="41">
        <v>3.0</v>
      </c>
      <c r="C222" s="41">
        <v>0.0</v>
      </c>
      <c r="D222" s="41">
        <v>0.0</v>
      </c>
      <c r="E222" s="41">
        <f>$AS5</f>
        <v>2273.762862</v>
      </c>
      <c r="F222" s="41">
        <v>0.0</v>
      </c>
      <c r="G222" s="41">
        <v>0.0</v>
      </c>
      <c r="H222" s="41">
        <v>0.0</v>
      </c>
      <c r="I222" s="41">
        <v>0.0</v>
      </c>
      <c r="J222" s="41">
        <v>0.0</v>
      </c>
      <c r="K222" s="41">
        <v>0.0</v>
      </c>
      <c r="L222" s="41">
        <v>0.0</v>
      </c>
      <c r="M222" s="41">
        <v>0.0</v>
      </c>
      <c r="N222" s="41">
        <v>0.0</v>
      </c>
      <c r="O222" s="41">
        <v>0.0</v>
      </c>
      <c r="P222" s="41">
        <v>0.0</v>
      </c>
      <c r="Q222" s="41">
        <v>0.0</v>
      </c>
      <c r="R222" s="41">
        <v>0.0</v>
      </c>
      <c r="S222" s="41">
        <v>0.0</v>
      </c>
      <c r="T222" s="41">
        <v>0.0</v>
      </c>
      <c r="U222" s="41">
        <v>0.0</v>
      </c>
      <c r="V222" s="41">
        <v>0.0</v>
      </c>
      <c r="W222" s="41">
        <v>0.0</v>
      </c>
      <c r="X222" s="41">
        <v>0.0</v>
      </c>
      <c r="Y222" s="41">
        <v>0.0</v>
      </c>
      <c r="Z222" s="41">
        <v>0.0</v>
      </c>
      <c r="AA222" s="41">
        <v>0.0</v>
      </c>
      <c r="AB222" s="41">
        <v>0.0</v>
      </c>
      <c r="AE222" s="39" t="s">
        <v>61</v>
      </c>
      <c r="AF222" s="16">
        <f t="shared" ref="AF222:BE222" si="52">SUM(AF194:AF219)</f>
        <v>3494.168821</v>
      </c>
      <c r="AG222" s="16">
        <f t="shared" si="52"/>
        <v>3869.763715</v>
      </c>
      <c r="AH222" s="16">
        <f t="shared" si="52"/>
        <v>1398.574786</v>
      </c>
      <c r="AI222" s="16">
        <f t="shared" si="52"/>
        <v>423.1223431</v>
      </c>
      <c r="AJ222" s="16">
        <f t="shared" si="52"/>
        <v>0.5592050686</v>
      </c>
      <c r="AK222" s="16">
        <f t="shared" si="52"/>
        <v>13.53126599</v>
      </c>
      <c r="AL222" s="16">
        <f t="shared" si="52"/>
        <v>2484.064817</v>
      </c>
      <c r="AM222" s="16">
        <f t="shared" si="52"/>
        <v>4.089301827</v>
      </c>
      <c r="AN222" s="16">
        <f t="shared" si="52"/>
        <v>992.8972955</v>
      </c>
      <c r="AO222" s="16">
        <f t="shared" si="52"/>
        <v>2203.016191</v>
      </c>
      <c r="AP222" s="16">
        <f t="shared" si="52"/>
        <v>0.7825182721</v>
      </c>
      <c r="AQ222" s="16">
        <f t="shared" si="52"/>
        <v>0.1277819439</v>
      </c>
      <c r="AR222" s="16">
        <f t="shared" si="52"/>
        <v>621.8397915</v>
      </c>
      <c r="AS222" s="16">
        <f t="shared" si="52"/>
        <v>3702461.639</v>
      </c>
      <c r="AT222" s="16">
        <f t="shared" si="52"/>
        <v>2069843.809</v>
      </c>
      <c r="AU222" s="16">
        <f t="shared" si="52"/>
        <v>235621.0717</v>
      </c>
      <c r="AV222" s="16">
        <f t="shared" si="52"/>
        <v>213445.1502</v>
      </c>
      <c r="AW222" s="16">
        <f t="shared" si="52"/>
        <v>1598.602567</v>
      </c>
      <c r="AX222" s="16">
        <f t="shared" si="52"/>
        <v>10277.9825</v>
      </c>
      <c r="AY222" s="16">
        <f t="shared" si="52"/>
        <v>1496400.052</v>
      </c>
      <c r="AZ222" s="16">
        <f t="shared" si="52"/>
        <v>57472.05577</v>
      </c>
      <c r="BA222" s="16">
        <f t="shared" si="52"/>
        <v>277897.2422</v>
      </c>
      <c r="BB222" s="16">
        <f t="shared" si="52"/>
        <v>929046.7271</v>
      </c>
      <c r="BC222" s="16">
        <f t="shared" si="52"/>
        <v>3017.709523</v>
      </c>
      <c r="BD222" s="16">
        <f t="shared" si="52"/>
        <v>3535.428275</v>
      </c>
      <c r="BE222" s="16">
        <f t="shared" si="52"/>
        <v>353955.9751</v>
      </c>
    </row>
    <row r="223" ht="15.75" customHeight="1">
      <c r="B223" s="41">
        <v>4.0</v>
      </c>
      <c r="C223" s="41">
        <v>0.0</v>
      </c>
      <c r="D223" s="41">
        <v>0.0</v>
      </c>
      <c r="E223" s="41">
        <v>0.0</v>
      </c>
      <c r="F223" s="41">
        <f>$AS6</f>
        <v>4091.444448</v>
      </c>
      <c r="G223" s="41">
        <v>0.0</v>
      </c>
      <c r="H223" s="41">
        <v>0.0</v>
      </c>
      <c r="I223" s="41">
        <v>0.0</v>
      </c>
      <c r="J223" s="41">
        <v>0.0</v>
      </c>
      <c r="K223" s="41">
        <v>0.0</v>
      </c>
      <c r="L223" s="41">
        <v>0.0</v>
      </c>
      <c r="M223" s="41">
        <v>0.0</v>
      </c>
      <c r="N223" s="41">
        <v>0.0</v>
      </c>
      <c r="O223" s="41">
        <v>0.0</v>
      </c>
      <c r="P223" s="41">
        <v>0.0</v>
      </c>
      <c r="Q223" s="41">
        <v>0.0</v>
      </c>
      <c r="R223" s="41">
        <v>0.0</v>
      </c>
      <c r="S223" s="41">
        <v>0.0</v>
      </c>
      <c r="T223" s="41">
        <v>0.0</v>
      </c>
      <c r="U223" s="41">
        <v>0.0</v>
      </c>
      <c r="V223" s="41">
        <v>0.0</v>
      </c>
      <c r="W223" s="41">
        <v>0.0</v>
      </c>
      <c r="X223" s="41">
        <v>0.0</v>
      </c>
      <c r="Y223" s="41">
        <v>0.0</v>
      </c>
      <c r="Z223" s="41">
        <v>0.0</v>
      </c>
      <c r="AA223" s="41">
        <v>0.0</v>
      </c>
      <c r="AB223" s="41">
        <v>0.0</v>
      </c>
    </row>
    <row r="224" ht="15.75" customHeight="1">
      <c r="B224" s="41">
        <v>5.0</v>
      </c>
      <c r="C224" s="41">
        <v>0.0</v>
      </c>
      <c r="D224" s="41">
        <v>0.0</v>
      </c>
      <c r="E224" s="41">
        <v>0.0</v>
      </c>
      <c r="F224" s="41">
        <v>0.0</v>
      </c>
      <c r="G224" s="41">
        <f>$AS7</f>
        <v>70.17730948</v>
      </c>
      <c r="H224" s="41">
        <v>0.0</v>
      </c>
      <c r="I224" s="41">
        <v>0.0</v>
      </c>
      <c r="J224" s="41">
        <v>0.0</v>
      </c>
      <c r="K224" s="41">
        <v>0.0</v>
      </c>
      <c r="L224" s="41">
        <v>0.0</v>
      </c>
      <c r="M224" s="41">
        <v>0.0</v>
      </c>
      <c r="N224" s="41">
        <v>0.0</v>
      </c>
      <c r="O224" s="41">
        <v>0.0</v>
      </c>
      <c r="P224" s="41">
        <v>0.0</v>
      </c>
      <c r="Q224" s="41">
        <v>0.0</v>
      </c>
      <c r="R224" s="41">
        <v>0.0</v>
      </c>
      <c r="S224" s="41">
        <v>0.0</v>
      </c>
      <c r="T224" s="41">
        <v>0.0</v>
      </c>
      <c r="U224" s="41">
        <v>0.0</v>
      </c>
      <c r="V224" s="41">
        <v>0.0</v>
      </c>
      <c r="W224" s="41">
        <v>0.0</v>
      </c>
      <c r="X224" s="41">
        <v>0.0</v>
      </c>
      <c r="Y224" s="41">
        <v>0.0</v>
      </c>
      <c r="Z224" s="41">
        <v>0.0</v>
      </c>
      <c r="AA224" s="41">
        <v>0.0</v>
      </c>
      <c r="AB224" s="41">
        <v>0.0</v>
      </c>
      <c r="AE224" s="39" t="s">
        <v>64</v>
      </c>
    </row>
    <row r="225" ht="15.75" customHeight="1">
      <c r="B225" s="41">
        <v>6.0</v>
      </c>
      <c r="C225" s="41">
        <v>0.0</v>
      </c>
      <c r="D225" s="41">
        <v>0.0</v>
      </c>
      <c r="E225" s="41">
        <v>0.0</v>
      </c>
      <c r="F225" s="41">
        <v>0.0</v>
      </c>
      <c r="G225" s="41">
        <v>0.0</v>
      </c>
      <c r="H225" s="41">
        <f>$AS8</f>
        <v>1589.855978</v>
      </c>
      <c r="I225" s="41">
        <v>0.0</v>
      </c>
      <c r="J225" s="41">
        <v>0.0</v>
      </c>
      <c r="K225" s="41">
        <v>0.0</v>
      </c>
      <c r="L225" s="41">
        <v>0.0</v>
      </c>
      <c r="M225" s="41">
        <v>0.0</v>
      </c>
      <c r="N225" s="41">
        <v>0.0</v>
      </c>
      <c r="O225" s="41">
        <v>0.0</v>
      </c>
      <c r="P225" s="41">
        <v>0.0</v>
      </c>
      <c r="Q225" s="41">
        <v>0.0</v>
      </c>
      <c r="R225" s="41">
        <v>0.0</v>
      </c>
      <c r="S225" s="41">
        <v>0.0</v>
      </c>
      <c r="T225" s="41">
        <v>0.0</v>
      </c>
      <c r="U225" s="41">
        <v>0.0</v>
      </c>
      <c r="V225" s="41">
        <v>0.0</v>
      </c>
      <c r="W225" s="41">
        <v>0.0</v>
      </c>
      <c r="X225" s="41">
        <v>0.0</v>
      </c>
      <c r="Y225" s="41">
        <v>0.0</v>
      </c>
      <c r="Z225" s="41">
        <v>0.0</v>
      </c>
      <c r="AA225" s="41">
        <v>0.0</v>
      </c>
      <c r="AB225" s="41">
        <v>0.0</v>
      </c>
      <c r="AE225" s="40"/>
      <c r="AF225" s="41">
        <v>1.0</v>
      </c>
      <c r="AG225" s="41">
        <v>2.0</v>
      </c>
      <c r="AH225" s="41">
        <v>3.0</v>
      </c>
      <c r="AI225" s="41">
        <v>4.0</v>
      </c>
      <c r="AJ225" s="41">
        <v>5.0</v>
      </c>
      <c r="AK225" s="41">
        <v>6.0</v>
      </c>
      <c r="AL225" s="41">
        <v>7.0</v>
      </c>
      <c r="AM225" s="41">
        <v>8.0</v>
      </c>
      <c r="AN225" s="41">
        <v>9.0</v>
      </c>
      <c r="AO225" s="41">
        <v>10.0</v>
      </c>
      <c r="AP225" s="41">
        <v>11.0</v>
      </c>
      <c r="AQ225" s="41">
        <v>12.0</v>
      </c>
      <c r="AR225" s="41">
        <v>13.0</v>
      </c>
      <c r="AS225" s="41">
        <v>14.0</v>
      </c>
      <c r="AT225" s="41">
        <v>15.0</v>
      </c>
      <c r="AU225" s="41">
        <v>16.0</v>
      </c>
      <c r="AV225" s="41">
        <v>17.0</v>
      </c>
      <c r="AW225" s="41">
        <v>18.0</v>
      </c>
      <c r="AX225" s="41">
        <v>19.0</v>
      </c>
      <c r="AY225" s="41">
        <v>20.0</v>
      </c>
      <c r="AZ225" s="41">
        <v>21.0</v>
      </c>
      <c r="BA225" s="41">
        <v>22.0</v>
      </c>
      <c r="BB225" s="41">
        <v>23.0</v>
      </c>
      <c r="BC225" s="41">
        <v>24.0</v>
      </c>
      <c r="BD225" s="41">
        <v>25.0</v>
      </c>
      <c r="BE225" s="41">
        <v>26.0</v>
      </c>
      <c r="BF225" s="39" t="s">
        <v>59</v>
      </c>
    </row>
    <row r="226" ht="15.75" customHeight="1">
      <c r="B226" s="41">
        <v>7.0</v>
      </c>
      <c r="C226" s="41">
        <v>0.0</v>
      </c>
      <c r="D226" s="41">
        <v>0.0</v>
      </c>
      <c r="E226" s="41">
        <v>0.0</v>
      </c>
      <c r="F226" s="41">
        <v>0.0</v>
      </c>
      <c r="G226" s="41">
        <v>0.0</v>
      </c>
      <c r="H226" s="41">
        <v>0.0</v>
      </c>
      <c r="I226" s="41">
        <f>$AS9</f>
        <v>90093.25201</v>
      </c>
      <c r="J226" s="41">
        <v>0.0</v>
      </c>
      <c r="K226" s="41">
        <v>0.0</v>
      </c>
      <c r="L226" s="41">
        <v>0.0</v>
      </c>
      <c r="M226" s="41">
        <v>0.0</v>
      </c>
      <c r="N226" s="41">
        <v>0.0</v>
      </c>
      <c r="O226" s="41">
        <v>0.0</v>
      </c>
      <c r="P226" s="41">
        <v>0.0</v>
      </c>
      <c r="Q226" s="41">
        <v>0.0</v>
      </c>
      <c r="R226" s="41">
        <v>0.0</v>
      </c>
      <c r="S226" s="41">
        <v>0.0</v>
      </c>
      <c r="T226" s="41">
        <v>0.0</v>
      </c>
      <c r="U226" s="41">
        <v>0.0</v>
      </c>
      <c r="V226" s="41">
        <v>0.0</v>
      </c>
      <c r="W226" s="41">
        <v>0.0</v>
      </c>
      <c r="X226" s="41">
        <v>0.0</v>
      </c>
      <c r="Y226" s="41">
        <v>0.0</v>
      </c>
      <c r="Z226" s="41">
        <v>0.0</v>
      </c>
      <c r="AA226" s="41">
        <v>0.0</v>
      </c>
      <c r="AB226" s="41">
        <v>0.0</v>
      </c>
      <c r="AE226" s="41">
        <v>1.0</v>
      </c>
      <c r="AF226" s="41">
        <f t="array" ref="AF226:BE251">(MMULT(MMULT(AF133:BE158,C191:AB216),C220:AB245))</f>
        <v>0</v>
      </c>
      <c r="AG226" s="41">
        <v>0.0</v>
      </c>
      <c r="AH226" s="41">
        <v>0.0</v>
      </c>
      <c r="AI226" s="41">
        <v>0.0</v>
      </c>
      <c r="AJ226" s="41">
        <v>0.0</v>
      </c>
      <c r="AK226" s="41">
        <v>0.0</v>
      </c>
      <c r="AL226" s="41">
        <v>0.0</v>
      </c>
      <c r="AM226" s="41">
        <v>0.0</v>
      </c>
      <c r="AN226" s="41">
        <v>0.0</v>
      </c>
      <c r="AO226" s="41">
        <v>0.0</v>
      </c>
      <c r="AP226" s="41">
        <v>0.0</v>
      </c>
      <c r="AQ226" s="41">
        <v>0.0</v>
      </c>
      <c r="AR226" s="41">
        <v>0.0</v>
      </c>
      <c r="AS226" s="41">
        <v>0.0</v>
      </c>
      <c r="AT226" s="41">
        <v>0.0</v>
      </c>
      <c r="AU226" s="41">
        <v>0.0</v>
      </c>
      <c r="AV226" s="41">
        <v>0.0</v>
      </c>
      <c r="AW226" s="41">
        <v>0.0</v>
      </c>
      <c r="AX226" s="41">
        <v>0.0</v>
      </c>
      <c r="AY226" s="41">
        <v>0.0</v>
      </c>
      <c r="AZ226" s="41">
        <v>0.0</v>
      </c>
      <c r="BA226" s="41">
        <v>0.0</v>
      </c>
      <c r="BB226" s="41">
        <v>0.0</v>
      </c>
      <c r="BC226" s="41">
        <v>0.0</v>
      </c>
      <c r="BD226" s="41">
        <v>0.0</v>
      </c>
      <c r="BE226" s="41">
        <v>0.0</v>
      </c>
      <c r="BF226" s="16">
        <f t="shared" ref="BF226:BF251" si="53">SUM(AF226:BE226)</f>
        <v>0</v>
      </c>
    </row>
    <row r="227" ht="15.75" customHeight="1">
      <c r="B227" s="41">
        <v>8.0</v>
      </c>
      <c r="C227" s="41">
        <v>0.0</v>
      </c>
      <c r="D227" s="41">
        <v>0.0</v>
      </c>
      <c r="E227" s="41">
        <v>0.0</v>
      </c>
      <c r="F227" s="41">
        <v>0.0</v>
      </c>
      <c r="G227" s="41">
        <v>0.0</v>
      </c>
      <c r="H227" s="41">
        <v>0.0</v>
      </c>
      <c r="I227" s="41">
        <v>0.0</v>
      </c>
      <c r="J227" s="41">
        <f>$AS10</f>
        <v>115.0663649</v>
      </c>
      <c r="K227" s="41">
        <v>0.0</v>
      </c>
      <c r="L227" s="41">
        <v>0.0</v>
      </c>
      <c r="M227" s="41">
        <v>0.0</v>
      </c>
      <c r="N227" s="41">
        <v>0.0</v>
      </c>
      <c r="O227" s="41">
        <v>0.0</v>
      </c>
      <c r="P227" s="41">
        <v>0.0</v>
      </c>
      <c r="Q227" s="41">
        <v>0.0</v>
      </c>
      <c r="R227" s="41">
        <v>0.0</v>
      </c>
      <c r="S227" s="41">
        <v>0.0</v>
      </c>
      <c r="T227" s="41">
        <v>0.0</v>
      </c>
      <c r="U227" s="41">
        <v>0.0</v>
      </c>
      <c r="V227" s="41">
        <v>0.0</v>
      </c>
      <c r="W227" s="41">
        <v>0.0</v>
      </c>
      <c r="X227" s="41">
        <v>0.0</v>
      </c>
      <c r="Y227" s="41">
        <v>0.0</v>
      </c>
      <c r="Z227" s="41">
        <v>0.0</v>
      </c>
      <c r="AA227" s="41">
        <v>0.0</v>
      </c>
      <c r="AB227" s="41">
        <v>0.0</v>
      </c>
      <c r="AE227" s="41">
        <v>2.0</v>
      </c>
      <c r="AF227" s="41">
        <v>0.0</v>
      </c>
      <c r="AG227" s="41">
        <v>0.0</v>
      </c>
      <c r="AH227" s="41">
        <v>0.0</v>
      </c>
      <c r="AI227" s="41">
        <v>0.0</v>
      </c>
      <c r="AJ227" s="41">
        <v>0.0</v>
      </c>
      <c r="AK227" s="41">
        <v>0.0</v>
      </c>
      <c r="AL227" s="41">
        <v>0.0</v>
      </c>
      <c r="AM227" s="41">
        <v>0.0</v>
      </c>
      <c r="AN227" s="41">
        <v>0.0</v>
      </c>
      <c r="AO227" s="41">
        <v>0.0</v>
      </c>
      <c r="AP227" s="41">
        <v>0.0</v>
      </c>
      <c r="AQ227" s="41">
        <v>0.0</v>
      </c>
      <c r="AR227" s="41">
        <v>0.0</v>
      </c>
      <c r="AS227" s="41">
        <v>0.0</v>
      </c>
      <c r="AT227" s="41">
        <v>0.0</v>
      </c>
      <c r="AU227" s="41">
        <v>0.0</v>
      </c>
      <c r="AV227" s="41">
        <v>0.0</v>
      </c>
      <c r="AW227" s="41">
        <v>0.0</v>
      </c>
      <c r="AX227" s="41">
        <v>0.0</v>
      </c>
      <c r="AY227" s="41">
        <v>0.0</v>
      </c>
      <c r="AZ227" s="41">
        <v>0.0</v>
      </c>
      <c r="BA227" s="41">
        <v>0.0</v>
      </c>
      <c r="BB227" s="41">
        <v>0.0</v>
      </c>
      <c r="BC227" s="41">
        <v>0.0</v>
      </c>
      <c r="BD227" s="41">
        <v>0.0</v>
      </c>
      <c r="BE227" s="41">
        <v>0.0</v>
      </c>
      <c r="BF227" s="16">
        <f t="shared" si="53"/>
        <v>0</v>
      </c>
    </row>
    <row r="228" ht="15.75" customHeight="1">
      <c r="B228" s="41">
        <v>9.0</v>
      </c>
      <c r="C228" s="41">
        <v>0.0</v>
      </c>
      <c r="D228" s="41">
        <v>0.0</v>
      </c>
      <c r="E228" s="41">
        <v>0.0</v>
      </c>
      <c r="F228" s="41">
        <v>0.0</v>
      </c>
      <c r="G228" s="41">
        <v>0.0</v>
      </c>
      <c r="H228" s="41">
        <v>0.0</v>
      </c>
      <c r="I228" s="41">
        <v>0.0</v>
      </c>
      <c r="J228" s="41">
        <v>0.0</v>
      </c>
      <c r="K228" s="41">
        <f>$AS11</f>
        <v>72868.68845</v>
      </c>
      <c r="L228" s="41">
        <v>0.0</v>
      </c>
      <c r="M228" s="41">
        <v>0.0</v>
      </c>
      <c r="N228" s="41">
        <v>0.0</v>
      </c>
      <c r="O228" s="41">
        <v>0.0</v>
      </c>
      <c r="P228" s="41">
        <v>0.0</v>
      </c>
      <c r="Q228" s="41">
        <v>0.0</v>
      </c>
      <c r="R228" s="41">
        <v>0.0</v>
      </c>
      <c r="S228" s="41">
        <v>0.0</v>
      </c>
      <c r="T228" s="41">
        <v>0.0</v>
      </c>
      <c r="U228" s="41">
        <v>0.0</v>
      </c>
      <c r="V228" s="41">
        <v>0.0</v>
      </c>
      <c r="W228" s="41">
        <v>0.0</v>
      </c>
      <c r="X228" s="41">
        <v>0.0</v>
      </c>
      <c r="Y228" s="41">
        <v>0.0</v>
      </c>
      <c r="Z228" s="41">
        <v>0.0</v>
      </c>
      <c r="AA228" s="41">
        <v>0.0</v>
      </c>
      <c r="AB228" s="41">
        <v>0.0</v>
      </c>
      <c r="AE228" s="41">
        <v>3.0</v>
      </c>
      <c r="AF228" s="41">
        <v>2.385658970314383</v>
      </c>
      <c r="AG228" s="41">
        <v>799.7514564500182</v>
      </c>
      <c r="AH228" s="41">
        <v>8464.720030636561</v>
      </c>
      <c r="AI228" s="41">
        <v>1730.3283761907778</v>
      </c>
      <c r="AJ228" s="41">
        <v>0.16991224194112123</v>
      </c>
      <c r="AK228" s="41">
        <v>2.46634273508498</v>
      </c>
      <c r="AL228" s="41">
        <v>182.21207434655776</v>
      </c>
      <c r="AM228" s="41">
        <v>3.8189352364589775</v>
      </c>
      <c r="AN228" s="41">
        <v>905.3931320595289</v>
      </c>
      <c r="AO228" s="41">
        <v>393.57384399058685</v>
      </c>
      <c r="AP228" s="41">
        <v>0.23764320927371096</v>
      </c>
      <c r="AQ228" s="41">
        <v>0.026823996018745307</v>
      </c>
      <c r="AR228" s="41">
        <v>185.48564197818803</v>
      </c>
      <c r="AS228" s="41">
        <v>27.65177379517543</v>
      </c>
      <c r="AT228" s="41">
        <v>285.13576349674963</v>
      </c>
      <c r="AU228" s="41">
        <v>70.31693018021157</v>
      </c>
      <c r="AV228" s="41">
        <v>465.4531582055858</v>
      </c>
      <c r="AW228" s="41">
        <v>3.49623227262754</v>
      </c>
      <c r="AX228" s="41">
        <v>5.827142720698715</v>
      </c>
      <c r="AY228" s="41">
        <v>939.7543693845034</v>
      </c>
      <c r="AZ228" s="41">
        <v>25.963101142918028</v>
      </c>
      <c r="BA228" s="41">
        <v>424.88440841251406</v>
      </c>
      <c r="BB228" s="41">
        <v>758.2552593710059</v>
      </c>
      <c r="BC228" s="41">
        <v>6.34913801585519</v>
      </c>
      <c r="BD228" s="41">
        <v>2.3968005936946066</v>
      </c>
      <c r="BE228" s="41">
        <v>257.2712062018311</v>
      </c>
      <c r="BF228" s="16">
        <f t="shared" si="53"/>
        <v>15943.32516</v>
      </c>
    </row>
    <row r="229" ht="15.75" customHeight="1">
      <c r="B229" s="41">
        <v>10.0</v>
      </c>
      <c r="C229" s="41">
        <v>0.0</v>
      </c>
      <c r="D229" s="41">
        <v>0.0</v>
      </c>
      <c r="E229" s="41">
        <v>0.0</v>
      </c>
      <c r="F229" s="41">
        <v>0.0</v>
      </c>
      <c r="G229" s="41">
        <v>0.0</v>
      </c>
      <c r="H229" s="41">
        <v>0.0</v>
      </c>
      <c r="I229" s="41">
        <v>0.0</v>
      </c>
      <c r="J229" s="41">
        <v>0.0</v>
      </c>
      <c r="K229" s="41">
        <v>0.0</v>
      </c>
      <c r="L229" s="41">
        <f>$AS12</f>
        <v>176523.924</v>
      </c>
      <c r="M229" s="41">
        <v>0.0</v>
      </c>
      <c r="N229" s="41">
        <v>0.0</v>
      </c>
      <c r="O229" s="41">
        <v>0.0</v>
      </c>
      <c r="P229" s="41">
        <v>0.0</v>
      </c>
      <c r="Q229" s="41">
        <v>0.0</v>
      </c>
      <c r="R229" s="41">
        <v>0.0</v>
      </c>
      <c r="S229" s="41">
        <v>0.0</v>
      </c>
      <c r="T229" s="41">
        <v>0.0</v>
      </c>
      <c r="U229" s="41">
        <v>0.0</v>
      </c>
      <c r="V229" s="41">
        <v>0.0</v>
      </c>
      <c r="W229" s="41">
        <v>0.0</v>
      </c>
      <c r="X229" s="41">
        <v>0.0</v>
      </c>
      <c r="Y229" s="41">
        <v>0.0</v>
      </c>
      <c r="Z229" s="41">
        <v>0.0</v>
      </c>
      <c r="AA229" s="41">
        <v>0.0</v>
      </c>
      <c r="AB229" s="41">
        <v>0.0</v>
      </c>
      <c r="AE229" s="41">
        <v>4.0</v>
      </c>
      <c r="AF229" s="41">
        <v>0.0</v>
      </c>
      <c r="AG229" s="41">
        <v>0.0</v>
      </c>
      <c r="AH229" s="41">
        <v>0.0</v>
      </c>
      <c r="AI229" s="41">
        <v>0.0</v>
      </c>
      <c r="AJ229" s="41">
        <v>0.0</v>
      </c>
      <c r="AK229" s="41">
        <v>0.0</v>
      </c>
      <c r="AL229" s="41">
        <v>0.0</v>
      </c>
      <c r="AM229" s="41">
        <v>0.0</v>
      </c>
      <c r="AN229" s="41">
        <v>0.0</v>
      </c>
      <c r="AO229" s="41">
        <v>0.0</v>
      </c>
      <c r="AP229" s="41">
        <v>0.0</v>
      </c>
      <c r="AQ229" s="41">
        <v>0.0</v>
      </c>
      <c r="AR229" s="41">
        <v>0.0</v>
      </c>
      <c r="AS229" s="41">
        <v>0.0</v>
      </c>
      <c r="AT229" s="41">
        <v>0.0</v>
      </c>
      <c r="AU229" s="41">
        <v>0.0</v>
      </c>
      <c r="AV229" s="41">
        <v>0.0</v>
      </c>
      <c r="AW229" s="41">
        <v>0.0</v>
      </c>
      <c r="AX229" s="41">
        <v>0.0</v>
      </c>
      <c r="AY229" s="41">
        <v>0.0</v>
      </c>
      <c r="AZ229" s="41">
        <v>0.0</v>
      </c>
      <c r="BA229" s="41">
        <v>0.0</v>
      </c>
      <c r="BB229" s="41">
        <v>0.0</v>
      </c>
      <c r="BC229" s="41">
        <v>0.0</v>
      </c>
      <c r="BD229" s="41">
        <v>0.0</v>
      </c>
      <c r="BE229" s="41">
        <v>0.0</v>
      </c>
      <c r="BF229" s="16">
        <f t="shared" si="53"/>
        <v>0</v>
      </c>
    </row>
    <row r="230" ht="15.75" customHeight="1">
      <c r="B230" s="41">
        <v>11.0</v>
      </c>
      <c r="C230" s="41">
        <v>0.0</v>
      </c>
      <c r="D230" s="41">
        <v>0.0</v>
      </c>
      <c r="E230" s="41">
        <v>0.0</v>
      </c>
      <c r="F230" s="41">
        <v>0.0</v>
      </c>
      <c r="G230" s="41">
        <v>0.0</v>
      </c>
      <c r="H230" s="41">
        <v>0.0</v>
      </c>
      <c r="I230" s="41">
        <v>0.0</v>
      </c>
      <c r="J230" s="41">
        <v>0.0</v>
      </c>
      <c r="K230" s="41">
        <v>0.0</v>
      </c>
      <c r="L230" s="41">
        <v>0.0</v>
      </c>
      <c r="M230" s="41">
        <f>$AS13</f>
        <v>101.2195537</v>
      </c>
      <c r="N230" s="41">
        <v>0.0</v>
      </c>
      <c r="O230" s="41">
        <v>0.0</v>
      </c>
      <c r="P230" s="41">
        <v>0.0</v>
      </c>
      <c r="Q230" s="41">
        <v>0.0</v>
      </c>
      <c r="R230" s="41">
        <v>0.0</v>
      </c>
      <c r="S230" s="41">
        <v>0.0</v>
      </c>
      <c r="T230" s="41">
        <v>0.0</v>
      </c>
      <c r="U230" s="41">
        <v>0.0</v>
      </c>
      <c r="V230" s="41">
        <v>0.0</v>
      </c>
      <c r="W230" s="41">
        <v>0.0</v>
      </c>
      <c r="X230" s="41">
        <v>0.0</v>
      </c>
      <c r="Y230" s="41">
        <v>0.0</v>
      </c>
      <c r="Z230" s="41">
        <v>0.0</v>
      </c>
      <c r="AA230" s="41">
        <v>0.0</v>
      </c>
      <c r="AB230" s="41">
        <v>0.0</v>
      </c>
      <c r="AE230" s="41">
        <v>5.0</v>
      </c>
      <c r="AF230" s="41">
        <v>0.0</v>
      </c>
      <c r="AG230" s="41">
        <v>0.0</v>
      </c>
      <c r="AH230" s="41">
        <v>0.0</v>
      </c>
      <c r="AI230" s="41">
        <v>0.0</v>
      </c>
      <c r="AJ230" s="41">
        <v>0.0</v>
      </c>
      <c r="AK230" s="41">
        <v>0.0</v>
      </c>
      <c r="AL230" s="41">
        <v>0.0</v>
      </c>
      <c r="AM230" s="41">
        <v>0.0</v>
      </c>
      <c r="AN230" s="41">
        <v>0.0</v>
      </c>
      <c r="AO230" s="41">
        <v>0.0</v>
      </c>
      <c r="AP230" s="41">
        <v>0.0</v>
      </c>
      <c r="AQ230" s="41">
        <v>0.0</v>
      </c>
      <c r="AR230" s="41">
        <v>0.0</v>
      </c>
      <c r="AS230" s="41">
        <v>0.0</v>
      </c>
      <c r="AT230" s="41">
        <v>0.0</v>
      </c>
      <c r="AU230" s="41">
        <v>0.0</v>
      </c>
      <c r="AV230" s="41">
        <v>0.0</v>
      </c>
      <c r="AW230" s="41">
        <v>0.0</v>
      </c>
      <c r="AX230" s="41">
        <v>0.0</v>
      </c>
      <c r="AY230" s="41">
        <v>0.0</v>
      </c>
      <c r="AZ230" s="41">
        <v>0.0</v>
      </c>
      <c r="BA230" s="41">
        <v>0.0</v>
      </c>
      <c r="BB230" s="41">
        <v>0.0</v>
      </c>
      <c r="BC230" s="41">
        <v>0.0</v>
      </c>
      <c r="BD230" s="41">
        <v>0.0</v>
      </c>
      <c r="BE230" s="41">
        <v>0.0</v>
      </c>
      <c r="BF230" s="16">
        <f t="shared" si="53"/>
        <v>0</v>
      </c>
    </row>
    <row r="231" ht="15.75" customHeight="1">
      <c r="B231" s="41">
        <v>12.0</v>
      </c>
      <c r="C231" s="41">
        <v>0.0</v>
      </c>
      <c r="D231" s="41">
        <v>0.0</v>
      </c>
      <c r="E231" s="41">
        <v>0.0</v>
      </c>
      <c r="F231" s="41">
        <v>0.0</v>
      </c>
      <c r="G231" s="41">
        <v>0.0</v>
      </c>
      <c r="H231" s="41">
        <v>0.0</v>
      </c>
      <c r="I231" s="41">
        <v>0.0</v>
      </c>
      <c r="J231" s="41">
        <v>0.0</v>
      </c>
      <c r="K231" s="41">
        <v>0.0</v>
      </c>
      <c r="L231" s="41">
        <v>0.0</v>
      </c>
      <c r="M231" s="41">
        <v>0.0</v>
      </c>
      <c r="N231" s="41">
        <f>$AS14</f>
        <v>12.97612952</v>
      </c>
      <c r="O231" s="41">
        <v>0.0</v>
      </c>
      <c r="P231" s="41">
        <v>0.0</v>
      </c>
      <c r="Q231" s="41">
        <v>0.0</v>
      </c>
      <c r="R231" s="41">
        <v>0.0</v>
      </c>
      <c r="S231" s="41">
        <v>0.0</v>
      </c>
      <c r="T231" s="41">
        <v>0.0</v>
      </c>
      <c r="U231" s="41">
        <v>0.0</v>
      </c>
      <c r="V231" s="41">
        <v>0.0</v>
      </c>
      <c r="W231" s="41">
        <v>0.0</v>
      </c>
      <c r="X231" s="41">
        <v>0.0</v>
      </c>
      <c r="Y231" s="41">
        <v>0.0</v>
      </c>
      <c r="Z231" s="41">
        <v>0.0</v>
      </c>
      <c r="AA231" s="41">
        <v>0.0</v>
      </c>
      <c r="AB231" s="41">
        <v>0.0</v>
      </c>
      <c r="AE231" s="41">
        <v>6.0</v>
      </c>
      <c r="AF231" s="41">
        <v>0.0</v>
      </c>
      <c r="AG231" s="41">
        <v>0.0</v>
      </c>
      <c r="AH231" s="41">
        <v>0.0</v>
      </c>
      <c r="AI231" s="41">
        <v>0.0</v>
      </c>
      <c r="AJ231" s="41">
        <v>0.0</v>
      </c>
      <c r="AK231" s="41">
        <v>0.0</v>
      </c>
      <c r="AL231" s="41">
        <v>0.0</v>
      </c>
      <c r="AM231" s="41">
        <v>0.0</v>
      </c>
      <c r="AN231" s="41">
        <v>0.0</v>
      </c>
      <c r="AO231" s="41">
        <v>0.0</v>
      </c>
      <c r="AP231" s="41">
        <v>0.0</v>
      </c>
      <c r="AQ231" s="41">
        <v>0.0</v>
      </c>
      <c r="AR231" s="41">
        <v>0.0</v>
      </c>
      <c r="AS231" s="41">
        <v>0.0</v>
      </c>
      <c r="AT231" s="41">
        <v>0.0</v>
      </c>
      <c r="AU231" s="41">
        <v>0.0</v>
      </c>
      <c r="AV231" s="41">
        <v>0.0</v>
      </c>
      <c r="AW231" s="41">
        <v>0.0</v>
      </c>
      <c r="AX231" s="41">
        <v>0.0</v>
      </c>
      <c r="AY231" s="41">
        <v>0.0</v>
      </c>
      <c r="AZ231" s="41">
        <v>0.0</v>
      </c>
      <c r="BA231" s="41">
        <v>0.0</v>
      </c>
      <c r="BB231" s="41">
        <v>0.0</v>
      </c>
      <c r="BC231" s="41">
        <v>0.0</v>
      </c>
      <c r="BD231" s="41">
        <v>0.0</v>
      </c>
      <c r="BE231" s="41">
        <v>0.0</v>
      </c>
      <c r="BF231" s="16">
        <f t="shared" si="53"/>
        <v>0</v>
      </c>
    </row>
    <row r="232" ht="15.75" customHeight="1">
      <c r="B232" s="41">
        <v>13.0</v>
      </c>
      <c r="C232" s="41">
        <v>0.0</v>
      </c>
      <c r="D232" s="41">
        <v>0.0</v>
      </c>
      <c r="E232" s="41">
        <v>0.0</v>
      </c>
      <c r="F232" s="41">
        <v>0.0</v>
      </c>
      <c r="G232" s="41">
        <v>0.0</v>
      </c>
      <c r="H232" s="41">
        <v>0.0</v>
      </c>
      <c r="I232" s="41">
        <v>0.0</v>
      </c>
      <c r="J232" s="41">
        <v>0.0</v>
      </c>
      <c r="K232" s="41">
        <v>0.0</v>
      </c>
      <c r="L232" s="41">
        <v>0.0</v>
      </c>
      <c r="M232" s="41">
        <v>0.0</v>
      </c>
      <c r="N232" s="41">
        <v>0.0</v>
      </c>
      <c r="O232" s="41">
        <f>$AS15</f>
        <v>11529.49686</v>
      </c>
      <c r="P232" s="41">
        <v>0.0</v>
      </c>
      <c r="Q232" s="41">
        <v>0.0</v>
      </c>
      <c r="R232" s="41">
        <v>0.0</v>
      </c>
      <c r="S232" s="41">
        <v>0.0</v>
      </c>
      <c r="T232" s="41">
        <v>0.0</v>
      </c>
      <c r="U232" s="41">
        <v>0.0</v>
      </c>
      <c r="V232" s="41">
        <v>0.0</v>
      </c>
      <c r="W232" s="41">
        <v>0.0</v>
      </c>
      <c r="X232" s="41">
        <v>0.0</v>
      </c>
      <c r="Y232" s="41">
        <v>0.0</v>
      </c>
      <c r="Z232" s="41">
        <v>0.0</v>
      </c>
      <c r="AA232" s="41">
        <v>0.0</v>
      </c>
      <c r="AB232" s="41">
        <v>0.0</v>
      </c>
      <c r="AE232" s="41">
        <v>7.0</v>
      </c>
      <c r="AF232" s="41">
        <v>0.0</v>
      </c>
      <c r="AG232" s="41">
        <v>0.0</v>
      </c>
      <c r="AH232" s="41">
        <v>0.0</v>
      </c>
      <c r="AI232" s="41">
        <v>0.0</v>
      </c>
      <c r="AJ232" s="41">
        <v>0.0</v>
      </c>
      <c r="AK232" s="41">
        <v>0.0</v>
      </c>
      <c r="AL232" s="41">
        <v>0.0</v>
      </c>
      <c r="AM232" s="41">
        <v>0.0</v>
      </c>
      <c r="AN232" s="41">
        <v>0.0</v>
      </c>
      <c r="AO232" s="41">
        <v>0.0</v>
      </c>
      <c r="AP232" s="41">
        <v>0.0</v>
      </c>
      <c r="AQ232" s="41">
        <v>0.0</v>
      </c>
      <c r="AR232" s="41">
        <v>0.0</v>
      </c>
      <c r="AS232" s="41">
        <v>0.0</v>
      </c>
      <c r="AT232" s="41">
        <v>0.0</v>
      </c>
      <c r="AU232" s="41">
        <v>0.0</v>
      </c>
      <c r="AV232" s="41">
        <v>0.0</v>
      </c>
      <c r="AW232" s="41">
        <v>0.0</v>
      </c>
      <c r="AX232" s="41">
        <v>0.0</v>
      </c>
      <c r="AY232" s="41">
        <v>0.0</v>
      </c>
      <c r="AZ232" s="41">
        <v>0.0</v>
      </c>
      <c r="BA232" s="41">
        <v>0.0</v>
      </c>
      <c r="BB232" s="41">
        <v>0.0</v>
      </c>
      <c r="BC232" s="41">
        <v>0.0</v>
      </c>
      <c r="BD232" s="41">
        <v>0.0</v>
      </c>
      <c r="BE232" s="41">
        <v>0.0</v>
      </c>
      <c r="BF232" s="16">
        <f t="shared" si="53"/>
        <v>0</v>
      </c>
    </row>
    <row r="233" ht="15.75" customHeight="1">
      <c r="B233" s="41">
        <v>14.0</v>
      </c>
      <c r="C233" s="41">
        <v>0.0</v>
      </c>
      <c r="D233" s="41">
        <v>0.0</v>
      </c>
      <c r="E233" s="41">
        <v>0.0</v>
      </c>
      <c r="F233" s="41">
        <v>0.0</v>
      </c>
      <c r="G233" s="41">
        <v>0.0</v>
      </c>
      <c r="H233" s="41">
        <v>0.0</v>
      </c>
      <c r="I233" s="41">
        <v>0.0</v>
      </c>
      <c r="J233" s="41">
        <v>0.0</v>
      </c>
      <c r="K233" s="41">
        <v>0.0</v>
      </c>
      <c r="L233" s="41">
        <v>0.0</v>
      </c>
      <c r="M233" s="41">
        <v>0.0</v>
      </c>
      <c r="N233" s="41">
        <v>0.0</v>
      </c>
      <c r="O233" s="41">
        <v>0.0</v>
      </c>
      <c r="P233" s="41">
        <f>$AS16</f>
        <v>1119837.396</v>
      </c>
      <c r="Q233" s="41">
        <v>0.0</v>
      </c>
      <c r="R233" s="41">
        <v>0.0</v>
      </c>
      <c r="S233" s="41">
        <v>0.0</v>
      </c>
      <c r="T233" s="41">
        <v>0.0</v>
      </c>
      <c r="U233" s="41">
        <v>0.0</v>
      </c>
      <c r="V233" s="41">
        <v>0.0</v>
      </c>
      <c r="W233" s="41">
        <v>0.0</v>
      </c>
      <c r="X233" s="41">
        <v>0.0</v>
      </c>
      <c r="Y233" s="41">
        <v>0.0</v>
      </c>
      <c r="Z233" s="41">
        <v>0.0</v>
      </c>
      <c r="AA233" s="41">
        <v>0.0</v>
      </c>
      <c r="AB233" s="41">
        <v>0.0</v>
      </c>
      <c r="AE233" s="41">
        <v>8.0</v>
      </c>
      <c r="AF233" s="41">
        <v>0.0</v>
      </c>
      <c r="AG233" s="41">
        <v>0.0</v>
      </c>
      <c r="AH233" s="41">
        <v>0.0</v>
      </c>
      <c r="AI233" s="41">
        <v>0.0</v>
      </c>
      <c r="AJ233" s="41">
        <v>0.0</v>
      </c>
      <c r="AK233" s="41">
        <v>0.0</v>
      </c>
      <c r="AL233" s="41">
        <v>0.0</v>
      </c>
      <c r="AM233" s="41">
        <v>0.0</v>
      </c>
      <c r="AN233" s="41">
        <v>0.0</v>
      </c>
      <c r="AO233" s="41">
        <v>0.0</v>
      </c>
      <c r="AP233" s="41">
        <v>0.0</v>
      </c>
      <c r="AQ233" s="41">
        <v>0.0</v>
      </c>
      <c r="AR233" s="41">
        <v>0.0</v>
      </c>
      <c r="AS233" s="41">
        <v>0.0</v>
      </c>
      <c r="AT233" s="41">
        <v>0.0</v>
      </c>
      <c r="AU233" s="41">
        <v>0.0</v>
      </c>
      <c r="AV233" s="41">
        <v>0.0</v>
      </c>
      <c r="AW233" s="41">
        <v>0.0</v>
      </c>
      <c r="AX233" s="41">
        <v>0.0</v>
      </c>
      <c r="AY233" s="41">
        <v>0.0</v>
      </c>
      <c r="AZ233" s="41">
        <v>0.0</v>
      </c>
      <c r="BA233" s="41">
        <v>0.0</v>
      </c>
      <c r="BB233" s="41">
        <v>0.0</v>
      </c>
      <c r="BC233" s="41">
        <v>0.0</v>
      </c>
      <c r="BD233" s="41">
        <v>0.0</v>
      </c>
      <c r="BE233" s="41">
        <v>0.0</v>
      </c>
      <c r="BF233" s="16">
        <f t="shared" si="53"/>
        <v>0</v>
      </c>
    </row>
    <row r="234" ht="15.75" customHeight="1">
      <c r="B234" s="41">
        <v>15.0</v>
      </c>
      <c r="C234" s="41">
        <v>0.0</v>
      </c>
      <c r="D234" s="41">
        <v>0.0</v>
      </c>
      <c r="E234" s="41">
        <v>0.0</v>
      </c>
      <c r="F234" s="41">
        <v>0.0</v>
      </c>
      <c r="G234" s="41">
        <v>0.0</v>
      </c>
      <c r="H234" s="41">
        <v>0.0</v>
      </c>
      <c r="I234" s="41">
        <v>0.0</v>
      </c>
      <c r="J234" s="41">
        <v>0.0</v>
      </c>
      <c r="K234" s="41">
        <v>0.0</v>
      </c>
      <c r="L234" s="41">
        <v>0.0</v>
      </c>
      <c r="M234" s="41">
        <v>0.0</v>
      </c>
      <c r="N234" s="41">
        <v>0.0</v>
      </c>
      <c r="O234" s="41">
        <v>0.0</v>
      </c>
      <c r="P234" s="41">
        <v>0.0</v>
      </c>
      <c r="Q234" s="41">
        <f>$AS17</f>
        <v>2276930.755</v>
      </c>
      <c r="R234" s="41">
        <v>0.0</v>
      </c>
      <c r="S234" s="41">
        <v>0.0</v>
      </c>
      <c r="T234" s="41">
        <v>0.0</v>
      </c>
      <c r="U234" s="41">
        <v>0.0</v>
      </c>
      <c r="V234" s="41">
        <v>0.0</v>
      </c>
      <c r="W234" s="41">
        <v>0.0</v>
      </c>
      <c r="X234" s="41">
        <v>0.0</v>
      </c>
      <c r="Y234" s="41">
        <v>0.0</v>
      </c>
      <c r="Z234" s="41">
        <v>0.0</v>
      </c>
      <c r="AA234" s="41">
        <v>0.0</v>
      </c>
      <c r="AB234" s="41">
        <v>0.0</v>
      </c>
      <c r="AE234" s="41">
        <v>9.0</v>
      </c>
      <c r="AF234" s="41">
        <v>0.0</v>
      </c>
      <c r="AG234" s="41">
        <v>0.0</v>
      </c>
      <c r="AH234" s="41">
        <v>0.0</v>
      </c>
      <c r="AI234" s="41">
        <v>0.0</v>
      </c>
      <c r="AJ234" s="41">
        <v>0.0</v>
      </c>
      <c r="AK234" s="41">
        <v>0.0</v>
      </c>
      <c r="AL234" s="41">
        <v>0.0</v>
      </c>
      <c r="AM234" s="41">
        <v>0.0</v>
      </c>
      <c r="AN234" s="41">
        <v>0.0</v>
      </c>
      <c r="AO234" s="41">
        <v>0.0</v>
      </c>
      <c r="AP234" s="41">
        <v>0.0</v>
      </c>
      <c r="AQ234" s="41">
        <v>0.0</v>
      </c>
      <c r="AR234" s="41">
        <v>0.0</v>
      </c>
      <c r="AS234" s="41">
        <v>0.0</v>
      </c>
      <c r="AT234" s="41">
        <v>0.0</v>
      </c>
      <c r="AU234" s="41">
        <v>0.0</v>
      </c>
      <c r="AV234" s="41">
        <v>0.0</v>
      </c>
      <c r="AW234" s="41">
        <v>0.0</v>
      </c>
      <c r="AX234" s="41">
        <v>0.0</v>
      </c>
      <c r="AY234" s="41">
        <v>0.0</v>
      </c>
      <c r="AZ234" s="41">
        <v>0.0</v>
      </c>
      <c r="BA234" s="41">
        <v>0.0</v>
      </c>
      <c r="BB234" s="41">
        <v>0.0</v>
      </c>
      <c r="BC234" s="41">
        <v>0.0</v>
      </c>
      <c r="BD234" s="41">
        <v>0.0</v>
      </c>
      <c r="BE234" s="41">
        <v>0.0</v>
      </c>
      <c r="BF234" s="16">
        <f t="shared" si="53"/>
        <v>0</v>
      </c>
    </row>
    <row r="235" ht="15.75" customHeight="1">
      <c r="B235" s="41">
        <v>16.0</v>
      </c>
      <c r="C235" s="41">
        <v>0.0</v>
      </c>
      <c r="D235" s="41">
        <v>0.0</v>
      </c>
      <c r="E235" s="41">
        <v>0.0</v>
      </c>
      <c r="F235" s="41">
        <v>0.0</v>
      </c>
      <c r="G235" s="41">
        <v>0.0</v>
      </c>
      <c r="H235" s="41">
        <v>0.0</v>
      </c>
      <c r="I235" s="41">
        <v>0.0</v>
      </c>
      <c r="J235" s="41">
        <v>0.0</v>
      </c>
      <c r="K235" s="41">
        <v>0.0</v>
      </c>
      <c r="L235" s="41">
        <v>0.0</v>
      </c>
      <c r="M235" s="41">
        <v>0.0</v>
      </c>
      <c r="N235" s="41">
        <v>0.0</v>
      </c>
      <c r="O235" s="41">
        <v>0.0</v>
      </c>
      <c r="P235" s="41">
        <v>0.0</v>
      </c>
      <c r="Q235" s="41">
        <v>0.0</v>
      </c>
      <c r="R235" s="41">
        <f>$AS18</f>
        <v>986657.7631</v>
      </c>
      <c r="S235" s="41">
        <v>0.0</v>
      </c>
      <c r="T235" s="41">
        <v>0.0</v>
      </c>
      <c r="U235" s="41">
        <v>0.0</v>
      </c>
      <c r="V235" s="41">
        <v>0.0</v>
      </c>
      <c r="W235" s="41">
        <v>0.0</v>
      </c>
      <c r="X235" s="41">
        <v>0.0</v>
      </c>
      <c r="Y235" s="41">
        <v>0.0</v>
      </c>
      <c r="Z235" s="41">
        <v>0.0</v>
      </c>
      <c r="AA235" s="41">
        <v>0.0</v>
      </c>
      <c r="AB235" s="41">
        <v>0.0</v>
      </c>
      <c r="AE235" s="41">
        <v>10.0</v>
      </c>
      <c r="AF235" s="41">
        <v>0.0</v>
      </c>
      <c r="AG235" s="41">
        <v>0.0</v>
      </c>
      <c r="AH235" s="41">
        <v>0.0</v>
      </c>
      <c r="AI235" s="41">
        <v>0.0</v>
      </c>
      <c r="AJ235" s="41">
        <v>0.0</v>
      </c>
      <c r="AK235" s="41">
        <v>0.0</v>
      </c>
      <c r="AL235" s="41">
        <v>0.0</v>
      </c>
      <c r="AM235" s="41">
        <v>0.0</v>
      </c>
      <c r="AN235" s="41">
        <v>0.0</v>
      </c>
      <c r="AO235" s="41">
        <v>0.0</v>
      </c>
      <c r="AP235" s="41">
        <v>0.0</v>
      </c>
      <c r="AQ235" s="41">
        <v>0.0</v>
      </c>
      <c r="AR235" s="41">
        <v>0.0</v>
      </c>
      <c r="AS235" s="41">
        <v>0.0</v>
      </c>
      <c r="AT235" s="41">
        <v>0.0</v>
      </c>
      <c r="AU235" s="41">
        <v>0.0</v>
      </c>
      <c r="AV235" s="41">
        <v>0.0</v>
      </c>
      <c r="AW235" s="41">
        <v>0.0</v>
      </c>
      <c r="AX235" s="41">
        <v>0.0</v>
      </c>
      <c r="AY235" s="41">
        <v>0.0</v>
      </c>
      <c r="AZ235" s="41">
        <v>0.0</v>
      </c>
      <c r="BA235" s="41">
        <v>0.0</v>
      </c>
      <c r="BB235" s="41">
        <v>0.0</v>
      </c>
      <c r="BC235" s="41">
        <v>0.0</v>
      </c>
      <c r="BD235" s="41">
        <v>0.0</v>
      </c>
      <c r="BE235" s="41">
        <v>0.0</v>
      </c>
      <c r="BF235" s="16">
        <f t="shared" si="53"/>
        <v>0</v>
      </c>
    </row>
    <row r="236" ht="15.75" customHeight="1">
      <c r="B236" s="41">
        <v>17.0</v>
      </c>
      <c r="C236" s="41">
        <v>0.0</v>
      </c>
      <c r="D236" s="41">
        <v>0.0</v>
      </c>
      <c r="E236" s="41">
        <v>0.0</v>
      </c>
      <c r="F236" s="41">
        <v>0.0</v>
      </c>
      <c r="G236" s="41">
        <v>0.0</v>
      </c>
      <c r="H236" s="41">
        <v>0.0</v>
      </c>
      <c r="I236" s="41">
        <v>0.0</v>
      </c>
      <c r="J236" s="41">
        <v>0.0</v>
      </c>
      <c r="K236" s="41">
        <v>0.0</v>
      </c>
      <c r="L236" s="41">
        <v>0.0</v>
      </c>
      <c r="M236" s="41">
        <v>0.0</v>
      </c>
      <c r="N236" s="41">
        <v>0.0</v>
      </c>
      <c r="O236" s="41">
        <v>0.0</v>
      </c>
      <c r="P236" s="41">
        <v>0.0</v>
      </c>
      <c r="Q236" s="41">
        <v>0.0</v>
      </c>
      <c r="R236" s="41">
        <v>0.0</v>
      </c>
      <c r="S236" s="41">
        <f>$AS19</f>
        <v>1479572.035</v>
      </c>
      <c r="T236" s="41">
        <v>0.0</v>
      </c>
      <c r="U236" s="41">
        <v>0.0</v>
      </c>
      <c r="V236" s="41">
        <v>0.0</v>
      </c>
      <c r="W236" s="41">
        <v>0.0</v>
      </c>
      <c r="X236" s="41">
        <v>0.0</v>
      </c>
      <c r="Y236" s="41">
        <v>0.0</v>
      </c>
      <c r="Z236" s="41">
        <v>0.0</v>
      </c>
      <c r="AA236" s="41">
        <v>0.0</v>
      </c>
      <c r="AB236" s="41">
        <v>0.0</v>
      </c>
      <c r="AE236" s="41">
        <v>11.0</v>
      </c>
      <c r="AF236" s="41">
        <v>0.0</v>
      </c>
      <c r="AG236" s="41">
        <v>0.0</v>
      </c>
      <c r="AH236" s="41">
        <v>0.0</v>
      </c>
      <c r="AI236" s="41">
        <v>0.0</v>
      </c>
      <c r="AJ236" s="41">
        <v>0.0</v>
      </c>
      <c r="AK236" s="41">
        <v>0.0</v>
      </c>
      <c r="AL236" s="41">
        <v>0.0</v>
      </c>
      <c r="AM236" s="41">
        <v>0.0</v>
      </c>
      <c r="AN236" s="41">
        <v>0.0</v>
      </c>
      <c r="AO236" s="41">
        <v>0.0</v>
      </c>
      <c r="AP236" s="41">
        <v>0.0</v>
      </c>
      <c r="AQ236" s="41">
        <v>0.0</v>
      </c>
      <c r="AR236" s="41">
        <v>0.0</v>
      </c>
      <c r="AS236" s="41">
        <v>0.0</v>
      </c>
      <c r="AT236" s="41">
        <v>0.0</v>
      </c>
      <c r="AU236" s="41">
        <v>0.0</v>
      </c>
      <c r="AV236" s="41">
        <v>0.0</v>
      </c>
      <c r="AW236" s="41">
        <v>0.0</v>
      </c>
      <c r="AX236" s="41">
        <v>0.0</v>
      </c>
      <c r="AY236" s="41">
        <v>0.0</v>
      </c>
      <c r="AZ236" s="41">
        <v>0.0</v>
      </c>
      <c r="BA236" s="41">
        <v>0.0</v>
      </c>
      <c r="BB236" s="41">
        <v>0.0</v>
      </c>
      <c r="BC236" s="41">
        <v>0.0</v>
      </c>
      <c r="BD236" s="41">
        <v>0.0</v>
      </c>
      <c r="BE236" s="41">
        <v>0.0</v>
      </c>
      <c r="BF236" s="16">
        <f t="shared" si="53"/>
        <v>0</v>
      </c>
    </row>
    <row r="237" ht="15.75" customHeight="1">
      <c r="B237" s="41">
        <v>18.0</v>
      </c>
      <c r="C237" s="41">
        <v>0.0</v>
      </c>
      <c r="D237" s="41">
        <v>0.0</v>
      </c>
      <c r="E237" s="41">
        <v>0.0</v>
      </c>
      <c r="F237" s="41">
        <v>0.0</v>
      </c>
      <c r="G237" s="41">
        <v>0.0</v>
      </c>
      <c r="H237" s="41">
        <v>0.0</v>
      </c>
      <c r="I237" s="41">
        <v>0.0</v>
      </c>
      <c r="J237" s="41">
        <v>0.0</v>
      </c>
      <c r="K237" s="41">
        <v>0.0</v>
      </c>
      <c r="L237" s="41">
        <v>0.0</v>
      </c>
      <c r="M237" s="41">
        <v>0.0</v>
      </c>
      <c r="N237" s="41">
        <v>0.0</v>
      </c>
      <c r="O237" s="41">
        <v>0.0</v>
      </c>
      <c r="P237" s="41">
        <v>0.0</v>
      </c>
      <c r="Q237" s="41">
        <v>0.0</v>
      </c>
      <c r="R237" s="41">
        <v>0.0</v>
      </c>
      <c r="S237" s="41">
        <v>0.0</v>
      </c>
      <c r="T237" s="41">
        <f>$AS20</f>
        <v>55883.31041</v>
      </c>
      <c r="U237" s="41">
        <v>0.0</v>
      </c>
      <c r="V237" s="41">
        <v>0.0</v>
      </c>
      <c r="W237" s="41">
        <v>0.0</v>
      </c>
      <c r="X237" s="41">
        <v>0.0</v>
      </c>
      <c r="Y237" s="41">
        <v>0.0</v>
      </c>
      <c r="Z237" s="41">
        <v>0.0</v>
      </c>
      <c r="AA237" s="41">
        <v>0.0</v>
      </c>
      <c r="AB237" s="41">
        <v>0.0</v>
      </c>
      <c r="AE237" s="41">
        <v>12.0</v>
      </c>
      <c r="AF237" s="41">
        <v>0.0</v>
      </c>
      <c r="AG237" s="41">
        <v>0.0</v>
      </c>
      <c r="AH237" s="41">
        <v>0.0</v>
      </c>
      <c r="AI237" s="41">
        <v>0.0</v>
      </c>
      <c r="AJ237" s="41">
        <v>0.0</v>
      </c>
      <c r="AK237" s="41">
        <v>0.0</v>
      </c>
      <c r="AL237" s="41">
        <v>0.0</v>
      </c>
      <c r="AM237" s="41">
        <v>0.0</v>
      </c>
      <c r="AN237" s="41">
        <v>0.0</v>
      </c>
      <c r="AO237" s="41">
        <v>0.0</v>
      </c>
      <c r="AP237" s="41">
        <v>0.0</v>
      </c>
      <c r="AQ237" s="41">
        <v>0.0</v>
      </c>
      <c r="AR237" s="41">
        <v>0.0</v>
      </c>
      <c r="AS237" s="41">
        <v>0.0</v>
      </c>
      <c r="AT237" s="41">
        <v>0.0</v>
      </c>
      <c r="AU237" s="41">
        <v>0.0</v>
      </c>
      <c r="AV237" s="41">
        <v>0.0</v>
      </c>
      <c r="AW237" s="41">
        <v>0.0</v>
      </c>
      <c r="AX237" s="41">
        <v>0.0</v>
      </c>
      <c r="AY237" s="41">
        <v>0.0</v>
      </c>
      <c r="AZ237" s="41">
        <v>0.0</v>
      </c>
      <c r="BA237" s="41">
        <v>0.0</v>
      </c>
      <c r="BB237" s="41">
        <v>0.0</v>
      </c>
      <c r="BC237" s="41">
        <v>0.0</v>
      </c>
      <c r="BD237" s="41">
        <v>0.0</v>
      </c>
      <c r="BE237" s="41">
        <v>0.0</v>
      </c>
      <c r="BF237" s="16">
        <f t="shared" si="53"/>
        <v>0</v>
      </c>
    </row>
    <row r="238" ht="15.75" customHeight="1">
      <c r="B238" s="41">
        <v>19.0</v>
      </c>
      <c r="C238" s="41">
        <v>0.0</v>
      </c>
      <c r="D238" s="41">
        <v>0.0</v>
      </c>
      <c r="E238" s="41">
        <v>0.0</v>
      </c>
      <c r="F238" s="41">
        <v>0.0</v>
      </c>
      <c r="G238" s="41">
        <v>0.0</v>
      </c>
      <c r="H238" s="41">
        <v>0.0</v>
      </c>
      <c r="I238" s="41">
        <v>0.0</v>
      </c>
      <c r="J238" s="41">
        <v>0.0</v>
      </c>
      <c r="K238" s="41">
        <v>0.0</v>
      </c>
      <c r="L238" s="41">
        <v>0.0</v>
      </c>
      <c r="M238" s="41">
        <v>0.0</v>
      </c>
      <c r="N238" s="41">
        <v>0.0</v>
      </c>
      <c r="O238" s="41">
        <v>0.0</v>
      </c>
      <c r="P238" s="41">
        <v>0.0</v>
      </c>
      <c r="Q238" s="41">
        <v>0.0</v>
      </c>
      <c r="R238" s="41">
        <v>0.0</v>
      </c>
      <c r="S238" s="41">
        <v>0.0</v>
      </c>
      <c r="T238" s="41">
        <v>0.0</v>
      </c>
      <c r="U238" s="41">
        <f>$AS21</f>
        <v>285064.3713</v>
      </c>
      <c r="V238" s="41">
        <v>0.0</v>
      </c>
      <c r="W238" s="41">
        <v>0.0</v>
      </c>
      <c r="X238" s="41">
        <v>0.0</v>
      </c>
      <c r="Y238" s="41">
        <v>0.0</v>
      </c>
      <c r="Z238" s="41">
        <v>0.0</v>
      </c>
      <c r="AA238" s="41">
        <v>0.0</v>
      </c>
      <c r="AB238" s="41">
        <v>0.0</v>
      </c>
      <c r="AE238" s="41">
        <v>13.0</v>
      </c>
      <c r="AF238" s="41">
        <v>0.0</v>
      </c>
      <c r="AG238" s="41">
        <v>0.0</v>
      </c>
      <c r="AH238" s="41">
        <v>0.0</v>
      </c>
      <c r="AI238" s="41">
        <v>0.0</v>
      </c>
      <c r="AJ238" s="41">
        <v>0.0</v>
      </c>
      <c r="AK238" s="41">
        <v>0.0</v>
      </c>
      <c r="AL238" s="41">
        <v>0.0</v>
      </c>
      <c r="AM238" s="41">
        <v>0.0</v>
      </c>
      <c r="AN238" s="41">
        <v>0.0</v>
      </c>
      <c r="AO238" s="41">
        <v>0.0</v>
      </c>
      <c r="AP238" s="41">
        <v>0.0</v>
      </c>
      <c r="AQ238" s="41">
        <v>0.0</v>
      </c>
      <c r="AR238" s="41">
        <v>0.0</v>
      </c>
      <c r="AS238" s="41">
        <v>0.0</v>
      </c>
      <c r="AT238" s="41">
        <v>0.0</v>
      </c>
      <c r="AU238" s="41">
        <v>0.0</v>
      </c>
      <c r="AV238" s="41">
        <v>0.0</v>
      </c>
      <c r="AW238" s="41">
        <v>0.0</v>
      </c>
      <c r="AX238" s="41">
        <v>0.0</v>
      </c>
      <c r="AY238" s="41">
        <v>0.0</v>
      </c>
      <c r="AZ238" s="41">
        <v>0.0</v>
      </c>
      <c r="BA238" s="41">
        <v>0.0</v>
      </c>
      <c r="BB238" s="41">
        <v>0.0</v>
      </c>
      <c r="BC238" s="41">
        <v>0.0</v>
      </c>
      <c r="BD238" s="41">
        <v>0.0</v>
      </c>
      <c r="BE238" s="41">
        <v>0.0</v>
      </c>
      <c r="BF238" s="16">
        <f t="shared" si="53"/>
        <v>0</v>
      </c>
    </row>
    <row r="239" ht="15.75" customHeight="1">
      <c r="B239" s="41">
        <v>20.0</v>
      </c>
      <c r="C239" s="41">
        <v>0.0</v>
      </c>
      <c r="D239" s="41">
        <v>0.0</v>
      </c>
      <c r="E239" s="41">
        <v>0.0</v>
      </c>
      <c r="F239" s="41">
        <v>0.0</v>
      </c>
      <c r="G239" s="41">
        <v>0.0</v>
      </c>
      <c r="H239" s="41">
        <v>0.0</v>
      </c>
      <c r="I239" s="41">
        <v>0.0</v>
      </c>
      <c r="J239" s="41">
        <v>0.0</v>
      </c>
      <c r="K239" s="41">
        <v>0.0</v>
      </c>
      <c r="L239" s="41">
        <v>0.0</v>
      </c>
      <c r="M239" s="41">
        <v>0.0</v>
      </c>
      <c r="N239" s="41">
        <v>0.0</v>
      </c>
      <c r="O239" s="41">
        <v>0.0</v>
      </c>
      <c r="P239" s="41">
        <v>0.0</v>
      </c>
      <c r="Q239" s="41">
        <v>0.0</v>
      </c>
      <c r="R239" s="41">
        <v>0.0</v>
      </c>
      <c r="S239" s="41">
        <v>0.0</v>
      </c>
      <c r="T239" s="41">
        <v>0.0</v>
      </c>
      <c r="U239" s="41">
        <v>0.0</v>
      </c>
      <c r="V239" s="41">
        <f>$AS22</f>
        <v>21869543.43</v>
      </c>
      <c r="W239" s="41">
        <v>0.0</v>
      </c>
      <c r="X239" s="41">
        <v>0.0</v>
      </c>
      <c r="Y239" s="41">
        <v>0.0</v>
      </c>
      <c r="Z239" s="41">
        <v>0.0</v>
      </c>
      <c r="AA239" s="41">
        <v>0.0</v>
      </c>
      <c r="AB239" s="41">
        <v>0.0</v>
      </c>
      <c r="AE239" s="41">
        <v>14.0</v>
      </c>
      <c r="AF239" s="41">
        <v>0.0</v>
      </c>
      <c r="AG239" s="41">
        <v>0.0</v>
      </c>
      <c r="AH239" s="41">
        <v>0.0</v>
      </c>
      <c r="AI239" s="41">
        <v>0.0</v>
      </c>
      <c r="AJ239" s="41">
        <v>0.0</v>
      </c>
      <c r="AK239" s="41">
        <v>0.0</v>
      </c>
      <c r="AL239" s="41">
        <v>0.0</v>
      </c>
      <c r="AM239" s="41">
        <v>0.0</v>
      </c>
      <c r="AN239" s="41">
        <v>0.0</v>
      </c>
      <c r="AO239" s="41">
        <v>0.0</v>
      </c>
      <c r="AP239" s="41">
        <v>0.0</v>
      </c>
      <c r="AQ239" s="41">
        <v>0.0</v>
      </c>
      <c r="AR239" s="41">
        <v>0.0</v>
      </c>
      <c r="AS239" s="41">
        <v>0.0</v>
      </c>
      <c r="AT239" s="41">
        <v>0.0</v>
      </c>
      <c r="AU239" s="41">
        <v>0.0</v>
      </c>
      <c r="AV239" s="41">
        <v>0.0</v>
      </c>
      <c r="AW239" s="41">
        <v>0.0</v>
      </c>
      <c r="AX239" s="41">
        <v>0.0</v>
      </c>
      <c r="AY239" s="41">
        <v>0.0</v>
      </c>
      <c r="AZ239" s="41">
        <v>0.0</v>
      </c>
      <c r="BA239" s="41">
        <v>0.0</v>
      </c>
      <c r="BB239" s="41">
        <v>0.0</v>
      </c>
      <c r="BC239" s="41">
        <v>0.0</v>
      </c>
      <c r="BD239" s="41">
        <v>0.0</v>
      </c>
      <c r="BE239" s="41">
        <v>0.0</v>
      </c>
      <c r="BF239" s="16">
        <f t="shared" si="53"/>
        <v>0</v>
      </c>
    </row>
    <row r="240" ht="15.75" customHeight="1">
      <c r="B240" s="41">
        <v>21.0</v>
      </c>
      <c r="C240" s="41">
        <v>0.0</v>
      </c>
      <c r="D240" s="41">
        <v>0.0</v>
      </c>
      <c r="E240" s="41">
        <v>0.0</v>
      </c>
      <c r="F240" s="41">
        <v>0.0</v>
      </c>
      <c r="G240" s="41">
        <v>0.0</v>
      </c>
      <c r="H240" s="41">
        <v>0.0</v>
      </c>
      <c r="I240" s="41">
        <v>0.0</v>
      </c>
      <c r="J240" s="41">
        <v>0.0</v>
      </c>
      <c r="K240" s="41">
        <v>0.0</v>
      </c>
      <c r="L240" s="41">
        <v>0.0</v>
      </c>
      <c r="M240" s="41">
        <v>0.0</v>
      </c>
      <c r="N240" s="41">
        <v>0.0</v>
      </c>
      <c r="O240" s="41">
        <v>0.0</v>
      </c>
      <c r="P240" s="41">
        <v>0.0</v>
      </c>
      <c r="Q240" s="41">
        <v>0.0</v>
      </c>
      <c r="R240" s="41">
        <v>0.0</v>
      </c>
      <c r="S240" s="41">
        <v>0.0</v>
      </c>
      <c r="T240" s="41">
        <v>0.0</v>
      </c>
      <c r="U240" s="41">
        <v>0.0</v>
      </c>
      <c r="V240" s="41">
        <v>0.0</v>
      </c>
      <c r="W240" s="41">
        <f>$AS23</f>
        <v>275994.4422</v>
      </c>
      <c r="X240" s="41">
        <v>0.0</v>
      </c>
      <c r="Y240" s="41">
        <v>0.0</v>
      </c>
      <c r="Z240" s="41">
        <v>0.0</v>
      </c>
      <c r="AA240" s="41">
        <v>0.0</v>
      </c>
      <c r="AB240" s="41">
        <v>0.0</v>
      </c>
      <c r="AE240" s="41">
        <v>15.0</v>
      </c>
      <c r="AF240" s="41">
        <v>0.0</v>
      </c>
      <c r="AG240" s="41">
        <v>0.0</v>
      </c>
      <c r="AH240" s="41">
        <v>0.0</v>
      </c>
      <c r="AI240" s="41">
        <v>0.0</v>
      </c>
      <c r="AJ240" s="41">
        <v>0.0</v>
      </c>
      <c r="AK240" s="41">
        <v>0.0</v>
      </c>
      <c r="AL240" s="41">
        <v>0.0</v>
      </c>
      <c r="AM240" s="41">
        <v>0.0</v>
      </c>
      <c r="AN240" s="41">
        <v>0.0</v>
      </c>
      <c r="AO240" s="41">
        <v>0.0</v>
      </c>
      <c r="AP240" s="41">
        <v>0.0</v>
      </c>
      <c r="AQ240" s="41">
        <v>0.0</v>
      </c>
      <c r="AR240" s="41">
        <v>0.0</v>
      </c>
      <c r="AS240" s="41">
        <v>0.0</v>
      </c>
      <c r="AT240" s="41">
        <v>0.0</v>
      </c>
      <c r="AU240" s="41">
        <v>0.0</v>
      </c>
      <c r="AV240" s="41">
        <v>0.0</v>
      </c>
      <c r="AW240" s="41">
        <v>0.0</v>
      </c>
      <c r="AX240" s="41">
        <v>0.0</v>
      </c>
      <c r="AY240" s="41">
        <v>0.0</v>
      </c>
      <c r="AZ240" s="41">
        <v>0.0</v>
      </c>
      <c r="BA240" s="41">
        <v>0.0</v>
      </c>
      <c r="BB240" s="41">
        <v>0.0</v>
      </c>
      <c r="BC240" s="41">
        <v>0.0</v>
      </c>
      <c r="BD240" s="41">
        <v>0.0</v>
      </c>
      <c r="BE240" s="41">
        <v>0.0</v>
      </c>
      <c r="BF240" s="16">
        <f t="shared" si="53"/>
        <v>0</v>
      </c>
    </row>
    <row r="241" ht="15.75" customHeight="1">
      <c r="B241" s="41">
        <v>22.0</v>
      </c>
      <c r="C241" s="41">
        <v>0.0</v>
      </c>
      <c r="D241" s="41">
        <v>0.0</v>
      </c>
      <c r="E241" s="41">
        <v>0.0</v>
      </c>
      <c r="F241" s="41">
        <v>0.0</v>
      </c>
      <c r="G241" s="41">
        <v>0.0</v>
      </c>
      <c r="H241" s="41">
        <v>0.0</v>
      </c>
      <c r="I241" s="41">
        <v>0.0</v>
      </c>
      <c r="J241" s="41">
        <v>0.0</v>
      </c>
      <c r="K241" s="41">
        <v>0.0</v>
      </c>
      <c r="L241" s="41">
        <v>0.0</v>
      </c>
      <c r="M241" s="41">
        <v>0.0</v>
      </c>
      <c r="N241" s="41">
        <v>0.0</v>
      </c>
      <c r="O241" s="41">
        <v>0.0</v>
      </c>
      <c r="P241" s="41">
        <v>0.0</v>
      </c>
      <c r="Q241" s="41">
        <v>0.0</v>
      </c>
      <c r="R241" s="41">
        <v>0.0</v>
      </c>
      <c r="S241" s="41">
        <v>0.0</v>
      </c>
      <c r="T241" s="41">
        <v>0.0</v>
      </c>
      <c r="U241" s="41">
        <v>0.0</v>
      </c>
      <c r="V241" s="41">
        <v>0.0</v>
      </c>
      <c r="W241" s="41">
        <v>0.0</v>
      </c>
      <c r="X241" s="41">
        <f>$AS24</f>
        <v>11384037.23</v>
      </c>
      <c r="Y241" s="41">
        <v>0.0</v>
      </c>
      <c r="Z241" s="41">
        <v>0.0</v>
      </c>
      <c r="AA241" s="41">
        <v>0.0</v>
      </c>
      <c r="AB241" s="41">
        <v>0.0</v>
      </c>
      <c r="AE241" s="41">
        <v>16.0</v>
      </c>
      <c r="AF241" s="41">
        <v>19.362004611570008</v>
      </c>
      <c r="AG241" s="41">
        <v>494.02013972524907</v>
      </c>
      <c r="AH241" s="41">
        <v>174.79099529622212</v>
      </c>
      <c r="AI241" s="41">
        <v>1073.4309866665765</v>
      </c>
      <c r="AJ241" s="41">
        <v>0.5650852213906304</v>
      </c>
      <c r="AK241" s="41">
        <v>13.841217118954676</v>
      </c>
      <c r="AL241" s="41">
        <v>1807.1699717634513</v>
      </c>
      <c r="AM241" s="41">
        <v>2.8295285311616345</v>
      </c>
      <c r="AN241" s="41">
        <v>1682.3425210901355</v>
      </c>
      <c r="AO241" s="41">
        <v>2797.3819982279992</v>
      </c>
      <c r="AP241" s="41">
        <v>0.797482347669869</v>
      </c>
      <c r="AQ241" s="41">
        <v>0.11131550677937589</v>
      </c>
      <c r="AR241" s="41">
        <v>465.9627264400827</v>
      </c>
      <c r="AS241" s="41">
        <v>42547.297085563994</v>
      </c>
      <c r="AT241" s="41">
        <v>383256.67763600365</v>
      </c>
      <c r="AU241" s="41">
        <v>7084907.453740163</v>
      </c>
      <c r="AV241" s="41">
        <v>3706923.632615248</v>
      </c>
      <c r="AW241" s="41">
        <v>2638.9560355147414</v>
      </c>
      <c r="AX241" s="41">
        <v>7138.085918718169</v>
      </c>
      <c r="AY241" s="41">
        <v>888331.1973021807</v>
      </c>
      <c r="AZ241" s="41">
        <v>43439.67661733277</v>
      </c>
      <c r="BA241" s="41">
        <v>285984.6304923744</v>
      </c>
      <c r="BB241" s="41">
        <v>881915.9039075419</v>
      </c>
      <c r="BC241" s="41">
        <v>3449.1496798656385</v>
      </c>
      <c r="BD241" s="41">
        <v>5752.266517404706</v>
      </c>
      <c r="BE241" s="41">
        <v>682579.4163959057</v>
      </c>
      <c r="BF241" s="16">
        <f t="shared" si="53"/>
        <v>14027396.95</v>
      </c>
    </row>
    <row r="242" ht="15.75" customHeight="1">
      <c r="B242" s="41">
        <v>23.0</v>
      </c>
      <c r="C242" s="41">
        <v>0.0</v>
      </c>
      <c r="D242" s="41">
        <v>0.0</v>
      </c>
      <c r="E242" s="41">
        <v>0.0</v>
      </c>
      <c r="F242" s="41">
        <v>0.0</v>
      </c>
      <c r="G242" s="41">
        <v>0.0</v>
      </c>
      <c r="H242" s="41">
        <v>0.0</v>
      </c>
      <c r="I242" s="41">
        <v>0.0</v>
      </c>
      <c r="J242" s="41">
        <v>0.0</v>
      </c>
      <c r="K242" s="41">
        <v>0.0</v>
      </c>
      <c r="L242" s="41">
        <v>0.0</v>
      </c>
      <c r="M242" s="41">
        <v>0.0</v>
      </c>
      <c r="N242" s="41">
        <v>0.0</v>
      </c>
      <c r="O242" s="41">
        <v>0.0</v>
      </c>
      <c r="P242" s="41">
        <v>0.0</v>
      </c>
      <c r="Q242" s="41">
        <v>0.0</v>
      </c>
      <c r="R242" s="41">
        <v>0.0</v>
      </c>
      <c r="S242" s="41">
        <v>0.0</v>
      </c>
      <c r="T242" s="41">
        <v>0.0</v>
      </c>
      <c r="U242" s="41">
        <v>0.0</v>
      </c>
      <c r="V242" s="41">
        <v>0.0</v>
      </c>
      <c r="W242" s="41">
        <v>0.0</v>
      </c>
      <c r="X242" s="41">
        <v>0.0</v>
      </c>
      <c r="Y242" s="41">
        <f>$AS25</f>
        <v>35173516.17</v>
      </c>
      <c r="Z242" s="41">
        <v>0.0</v>
      </c>
      <c r="AA242" s="41">
        <v>0.0</v>
      </c>
      <c r="AB242" s="41">
        <v>0.0</v>
      </c>
      <c r="AE242" s="41">
        <v>17.0</v>
      </c>
      <c r="AF242" s="41">
        <v>0.0</v>
      </c>
      <c r="AG242" s="41">
        <v>0.0</v>
      </c>
      <c r="AH242" s="41">
        <v>0.0</v>
      </c>
      <c r="AI242" s="41">
        <v>0.0</v>
      </c>
      <c r="AJ242" s="41">
        <v>0.0</v>
      </c>
      <c r="AK242" s="41">
        <v>0.0</v>
      </c>
      <c r="AL242" s="41">
        <v>0.0</v>
      </c>
      <c r="AM242" s="41">
        <v>0.0</v>
      </c>
      <c r="AN242" s="41">
        <v>0.0</v>
      </c>
      <c r="AO242" s="41">
        <v>0.0</v>
      </c>
      <c r="AP242" s="41">
        <v>0.0</v>
      </c>
      <c r="AQ242" s="41">
        <v>0.0</v>
      </c>
      <c r="AR242" s="41">
        <v>0.0</v>
      </c>
      <c r="AS242" s="41">
        <v>0.0</v>
      </c>
      <c r="AT242" s="41">
        <v>0.0</v>
      </c>
      <c r="AU242" s="41">
        <v>0.0</v>
      </c>
      <c r="AV242" s="41">
        <v>0.0</v>
      </c>
      <c r="AW242" s="41">
        <v>0.0</v>
      </c>
      <c r="AX242" s="41">
        <v>0.0</v>
      </c>
      <c r="AY242" s="41">
        <v>0.0</v>
      </c>
      <c r="AZ242" s="41">
        <v>0.0</v>
      </c>
      <c r="BA242" s="41">
        <v>0.0</v>
      </c>
      <c r="BB242" s="41">
        <v>0.0</v>
      </c>
      <c r="BC242" s="41">
        <v>0.0</v>
      </c>
      <c r="BD242" s="41">
        <v>0.0</v>
      </c>
      <c r="BE242" s="41">
        <v>0.0</v>
      </c>
      <c r="BF242" s="16">
        <f t="shared" si="53"/>
        <v>0</v>
      </c>
    </row>
    <row r="243" ht="15.75" customHeight="1">
      <c r="B243" s="41">
        <v>24.0</v>
      </c>
      <c r="C243" s="41">
        <v>0.0</v>
      </c>
      <c r="D243" s="41">
        <v>0.0</v>
      </c>
      <c r="E243" s="41">
        <v>0.0</v>
      </c>
      <c r="F243" s="41">
        <v>0.0</v>
      </c>
      <c r="G243" s="41">
        <v>0.0</v>
      </c>
      <c r="H243" s="41">
        <v>0.0</v>
      </c>
      <c r="I243" s="41">
        <v>0.0</v>
      </c>
      <c r="J243" s="41">
        <v>0.0</v>
      </c>
      <c r="K243" s="41">
        <v>0.0</v>
      </c>
      <c r="L243" s="41">
        <v>0.0</v>
      </c>
      <c r="M243" s="41">
        <v>0.0</v>
      </c>
      <c r="N243" s="41">
        <v>0.0</v>
      </c>
      <c r="O243" s="41">
        <v>0.0</v>
      </c>
      <c r="P243" s="41">
        <v>0.0</v>
      </c>
      <c r="Q243" s="41">
        <v>0.0</v>
      </c>
      <c r="R243" s="41">
        <v>0.0</v>
      </c>
      <c r="S243" s="41">
        <v>0.0</v>
      </c>
      <c r="T243" s="41">
        <v>0.0</v>
      </c>
      <c r="U243" s="41">
        <v>0.0</v>
      </c>
      <c r="V243" s="41">
        <v>0.0</v>
      </c>
      <c r="W243" s="41">
        <v>0.0</v>
      </c>
      <c r="X243" s="41">
        <v>0.0</v>
      </c>
      <c r="Y243" s="41">
        <v>0.0</v>
      </c>
      <c r="Z243" s="41">
        <f>$AS26</f>
        <v>90446.78963</v>
      </c>
      <c r="AA243" s="41">
        <v>0.0</v>
      </c>
      <c r="AB243" s="41">
        <v>0.0</v>
      </c>
      <c r="AE243" s="41">
        <v>18.0</v>
      </c>
      <c r="AF243" s="41">
        <v>0.0</v>
      </c>
      <c r="AG243" s="41">
        <v>0.0</v>
      </c>
      <c r="AH243" s="41">
        <v>0.0</v>
      </c>
      <c r="AI243" s="41">
        <v>0.0</v>
      </c>
      <c r="AJ243" s="41">
        <v>0.0</v>
      </c>
      <c r="AK243" s="41">
        <v>0.0</v>
      </c>
      <c r="AL243" s="41">
        <v>0.0</v>
      </c>
      <c r="AM243" s="41">
        <v>0.0</v>
      </c>
      <c r="AN243" s="41">
        <v>0.0</v>
      </c>
      <c r="AO243" s="41">
        <v>0.0</v>
      </c>
      <c r="AP243" s="41">
        <v>0.0</v>
      </c>
      <c r="AQ243" s="41">
        <v>0.0</v>
      </c>
      <c r="AR243" s="41">
        <v>0.0</v>
      </c>
      <c r="AS243" s="41">
        <v>0.0</v>
      </c>
      <c r="AT243" s="41">
        <v>0.0</v>
      </c>
      <c r="AU243" s="41">
        <v>0.0</v>
      </c>
      <c r="AV243" s="41">
        <v>0.0</v>
      </c>
      <c r="AW243" s="41">
        <v>0.0</v>
      </c>
      <c r="AX243" s="41">
        <v>0.0</v>
      </c>
      <c r="AY243" s="41">
        <v>0.0</v>
      </c>
      <c r="AZ243" s="41">
        <v>0.0</v>
      </c>
      <c r="BA243" s="41">
        <v>0.0</v>
      </c>
      <c r="BB243" s="41">
        <v>0.0</v>
      </c>
      <c r="BC243" s="41">
        <v>0.0</v>
      </c>
      <c r="BD243" s="41">
        <v>0.0</v>
      </c>
      <c r="BE243" s="41">
        <v>0.0</v>
      </c>
      <c r="BF243" s="16">
        <f t="shared" si="53"/>
        <v>0</v>
      </c>
    </row>
    <row r="244" ht="15.75" customHeight="1">
      <c r="B244" s="41">
        <v>25.0</v>
      </c>
      <c r="C244" s="41">
        <v>0.0</v>
      </c>
      <c r="D244" s="41">
        <v>0.0</v>
      </c>
      <c r="E244" s="41">
        <v>0.0</v>
      </c>
      <c r="F244" s="41">
        <v>0.0</v>
      </c>
      <c r="G244" s="41">
        <v>0.0</v>
      </c>
      <c r="H244" s="41">
        <v>0.0</v>
      </c>
      <c r="I244" s="41">
        <v>0.0</v>
      </c>
      <c r="J244" s="41">
        <v>0.0</v>
      </c>
      <c r="K244" s="41">
        <v>0.0</v>
      </c>
      <c r="L244" s="41">
        <v>0.0</v>
      </c>
      <c r="M244" s="41">
        <v>0.0</v>
      </c>
      <c r="N244" s="41">
        <v>0.0</v>
      </c>
      <c r="O244" s="41">
        <v>0.0</v>
      </c>
      <c r="P244" s="41">
        <v>0.0</v>
      </c>
      <c r="Q244" s="41">
        <v>0.0</v>
      </c>
      <c r="R244" s="41">
        <v>0.0</v>
      </c>
      <c r="S244" s="41">
        <v>0.0</v>
      </c>
      <c r="T244" s="41">
        <v>0.0</v>
      </c>
      <c r="U244" s="41">
        <v>0.0</v>
      </c>
      <c r="V244" s="41">
        <v>0.0</v>
      </c>
      <c r="W244" s="41">
        <v>0.0</v>
      </c>
      <c r="X244" s="41">
        <v>0.0</v>
      </c>
      <c r="Y244" s="41">
        <v>0.0</v>
      </c>
      <c r="Z244" s="41">
        <v>0.0</v>
      </c>
      <c r="AA244" s="41">
        <f>$AS27</f>
        <v>118579.0856</v>
      </c>
      <c r="AB244" s="41">
        <v>0.0</v>
      </c>
      <c r="AE244" s="41">
        <v>19.0</v>
      </c>
      <c r="AF244" s="41">
        <v>0.0</v>
      </c>
      <c r="AG244" s="41">
        <v>0.0</v>
      </c>
      <c r="AH244" s="41">
        <v>0.0</v>
      </c>
      <c r="AI244" s="41">
        <v>0.0</v>
      </c>
      <c r="AJ244" s="41">
        <v>0.0</v>
      </c>
      <c r="AK244" s="41">
        <v>0.0</v>
      </c>
      <c r="AL244" s="41">
        <v>0.0</v>
      </c>
      <c r="AM244" s="41">
        <v>0.0</v>
      </c>
      <c r="AN244" s="41">
        <v>0.0</v>
      </c>
      <c r="AO244" s="41">
        <v>0.0</v>
      </c>
      <c r="AP244" s="41">
        <v>0.0</v>
      </c>
      <c r="AQ244" s="41">
        <v>0.0</v>
      </c>
      <c r="AR244" s="41">
        <v>0.0</v>
      </c>
      <c r="AS244" s="41">
        <v>0.0</v>
      </c>
      <c r="AT244" s="41">
        <v>0.0</v>
      </c>
      <c r="AU244" s="41">
        <v>0.0</v>
      </c>
      <c r="AV244" s="41">
        <v>0.0</v>
      </c>
      <c r="AW244" s="41">
        <v>0.0</v>
      </c>
      <c r="AX244" s="41">
        <v>0.0</v>
      </c>
      <c r="AY244" s="41">
        <v>0.0</v>
      </c>
      <c r="AZ244" s="41">
        <v>0.0</v>
      </c>
      <c r="BA244" s="41">
        <v>0.0</v>
      </c>
      <c r="BB244" s="41">
        <v>0.0</v>
      </c>
      <c r="BC244" s="41">
        <v>0.0</v>
      </c>
      <c r="BD244" s="41">
        <v>0.0</v>
      </c>
      <c r="BE244" s="41">
        <v>0.0</v>
      </c>
      <c r="BF244" s="16">
        <f t="shared" si="53"/>
        <v>0</v>
      </c>
    </row>
    <row r="245" ht="15.75" customHeight="1">
      <c r="B245" s="41">
        <v>26.0</v>
      </c>
      <c r="C245" s="41">
        <v>0.0</v>
      </c>
      <c r="D245" s="41">
        <v>0.0</v>
      </c>
      <c r="E245" s="41">
        <v>0.0</v>
      </c>
      <c r="F245" s="41">
        <v>0.0</v>
      </c>
      <c r="G245" s="41">
        <v>0.0</v>
      </c>
      <c r="H245" s="41">
        <v>0.0</v>
      </c>
      <c r="I245" s="41">
        <v>0.0</v>
      </c>
      <c r="J245" s="41">
        <v>0.0</v>
      </c>
      <c r="K245" s="41">
        <v>0.0</v>
      </c>
      <c r="L245" s="41">
        <v>0.0</v>
      </c>
      <c r="M245" s="41">
        <v>0.0</v>
      </c>
      <c r="N245" s="41">
        <v>0.0</v>
      </c>
      <c r="O245" s="41">
        <v>0.0</v>
      </c>
      <c r="P245" s="41">
        <v>0.0</v>
      </c>
      <c r="Q245" s="41">
        <v>0.0</v>
      </c>
      <c r="R245" s="41">
        <v>0.0</v>
      </c>
      <c r="S245" s="41">
        <v>0.0</v>
      </c>
      <c r="T245" s="41">
        <v>0.0</v>
      </c>
      <c r="U245" s="41">
        <v>0.0</v>
      </c>
      <c r="V245" s="41">
        <v>0.0</v>
      </c>
      <c r="W245" s="41">
        <v>0.0</v>
      </c>
      <c r="X245" s="41">
        <v>0.0</v>
      </c>
      <c r="Y245" s="41">
        <v>0.0</v>
      </c>
      <c r="Z245" s="41">
        <v>0.0</v>
      </c>
      <c r="AA245" s="41">
        <v>0.0</v>
      </c>
      <c r="AB245" s="41">
        <f>$AS28</f>
        <v>2870744.394</v>
      </c>
      <c r="AE245" s="41">
        <v>20.0</v>
      </c>
      <c r="AF245" s="41">
        <v>0.0</v>
      </c>
      <c r="AG245" s="41">
        <v>0.0</v>
      </c>
      <c r="AH245" s="41">
        <v>0.0</v>
      </c>
      <c r="AI245" s="41">
        <v>0.0</v>
      </c>
      <c r="AJ245" s="41">
        <v>0.0</v>
      </c>
      <c r="AK245" s="41">
        <v>0.0</v>
      </c>
      <c r="AL245" s="41">
        <v>0.0</v>
      </c>
      <c r="AM245" s="41">
        <v>0.0</v>
      </c>
      <c r="AN245" s="41">
        <v>0.0</v>
      </c>
      <c r="AO245" s="41">
        <v>0.0</v>
      </c>
      <c r="AP245" s="41">
        <v>0.0</v>
      </c>
      <c r="AQ245" s="41">
        <v>0.0</v>
      </c>
      <c r="AR245" s="41">
        <v>0.0</v>
      </c>
      <c r="AS245" s="41">
        <v>0.0</v>
      </c>
      <c r="AT245" s="41">
        <v>0.0</v>
      </c>
      <c r="AU245" s="41">
        <v>0.0</v>
      </c>
      <c r="AV245" s="41">
        <v>0.0</v>
      </c>
      <c r="AW245" s="41">
        <v>0.0</v>
      </c>
      <c r="AX245" s="41">
        <v>0.0</v>
      </c>
      <c r="AY245" s="41">
        <v>0.0</v>
      </c>
      <c r="AZ245" s="41">
        <v>0.0</v>
      </c>
      <c r="BA245" s="41">
        <v>0.0</v>
      </c>
      <c r="BB245" s="41">
        <v>0.0</v>
      </c>
      <c r="BC245" s="41">
        <v>0.0</v>
      </c>
      <c r="BD245" s="41">
        <v>0.0</v>
      </c>
      <c r="BE245" s="41">
        <v>0.0</v>
      </c>
      <c r="BF245" s="16">
        <f t="shared" si="53"/>
        <v>0</v>
      </c>
    </row>
    <row r="246" ht="15.75" customHeight="1">
      <c r="AE246" s="41">
        <v>21.0</v>
      </c>
      <c r="AF246" s="41">
        <v>0.0</v>
      </c>
      <c r="AG246" s="41">
        <v>0.0</v>
      </c>
      <c r="AH246" s="41">
        <v>0.0</v>
      </c>
      <c r="AI246" s="41">
        <v>0.0</v>
      </c>
      <c r="AJ246" s="41">
        <v>0.0</v>
      </c>
      <c r="AK246" s="41">
        <v>0.0</v>
      </c>
      <c r="AL246" s="41">
        <v>0.0</v>
      </c>
      <c r="AM246" s="41">
        <v>0.0</v>
      </c>
      <c r="AN246" s="41">
        <v>0.0</v>
      </c>
      <c r="AO246" s="41">
        <v>0.0</v>
      </c>
      <c r="AP246" s="41">
        <v>0.0</v>
      </c>
      <c r="AQ246" s="41">
        <v>0.0</v>
      </c>
      <c r="AR246" s="41">
        <v>0.0</v>
      </c>
      <c r="AS246" s="41">
        <v>0.0</v>
      </c>
      <c r="AT246" s="41">
        <v>0.0</v>
      </c>
      <c r="AU246" s="41">
        <v>0.0</v>
      </c>
      <c r="AV246" s="41">
        <v>0.0</v>
      </c>
      <c r="AW246" s="41">
        <v>0.0</v>
      </c>
      <c r="AX246" s="41">
        <v>0.0</v>
      </c>
      <c r="AY246" s="41">
        <v>0.0</v>
      </c>
      <c r="AZ246" s="41">
        <v>0.0</v>
      </c>
      <c r="BA246" s="41">
        <v>0.0</v>
      </c>
      <c r="BB246" s="41">
        <v>0.0</v>
      </c>
      <c r="BC246" s="41">
        <v>0.0</v>
      </c>
      <c r="BD246" s="41">
        <v>0.0</v>
      </c>
      <c r="BE246" s="41">
        <v>0.0</v>
      </c>
      <c r="BF246" s="16">
        <f t="shared" si="53"/>
        <v>0</v>
      </c>
    </row>
    <row r="247" ht="15.75" customHeight="1">
      <c r="AE247" s="41">
        <v>22.0</v>
      </c>
      <c r="AF247" s="41">
        <v>0.0</v>
      </c>
      <c r="AG247" s="41">
        <v>0.0</v>
      </c>
      <c r="AH247" s="41">
        <v>0.0</v>
      </c>
      <c r="AI247" s="41">
        <v>0.0</v>
      </c>
      <c r="AJ247" s="41">
        <v>0.0</v>
      </c>
      <c r="AK247" s="41">
        <v>0.0</v>
      </c>
      <c r="AL247" s="41">
        <v>0.0</v>
      </c>
      <c r="AM247" s="41">
        <v>0.0</v>
      </c>
      <c r="AN247" s="41">
        <v>0.0</v>
      </c>
      <c r="AO247" s="41">
        <v>0.0</v>
      </c>
      <c r="AP247" s="41">
        <v>0.0</v>
      </c>
      <c r="AQ247" s="41">
        <v>0.0</v>
      </c>
      <c r="AR247" s="41">
        <v>0.0</v>
      </c>
      <c r="AS247" s="41">
        <v>0.0</v>
      </c>
      <c r="AT247" s="41">
        <v>0.0</v>
      </c>
      <c r="AU247" s="41">
        <v>0.0</v>
      </c>
      <c r="AV247" s="41">
        <v>0.0</v>
      </c>
      <c r="AW247" s="41">
        <v>0.0</v>
      </c>
      <c r="AX247" s="41">
        <v>0.0</v>
      </c>
      <c r="AY247" s="41">
        <v>0.0</v>
      </c>
      <c r="AZ247" s="41">
        <v>0.0</v>
      </c>
      <c r="BA247" s="41">
        <v>0.0</v>
      </c>
      <c r="BB247" s="41">
        <v>0.0</v>
      </c>
      <c r="BC247" s="41">
        <v>0.0</v>
      </c>
      <c r="BD247" s="41">
        <v>0.0</v>
      </c>
      <c r="BE247" s="41">
        <v>0.0</v>
      </c>
      <c r="BF247" s="16">
        <f t="shared" si="53"/>
        <v>0</v>
      </c>
    </row>
    <row r="248" ht="15.75" customHeight="1">
      <c r="AE248" s="41">
        <v>23.0</v>
      </c>
      <c r="AF248" s="41">
        <v>0.0</v>
      </c>
      <c r="AG248" s="41">
        <v>0.0</v>
      </c>
      <c r="AH248" s="41">
        <v>0.0</v>
      </c>
      <c r="AI248" s="41">
        <v>0.0</v>
      </c>
      <c r="AJ248" s="41">
        <v>0.0</v>
      </c>
      <c r="AK248" s="41">
        <v>0.0</v>
      </c>
      <c r="AL248" s="41">
        <v>0.0</v>
      </c>
      <c r="AM248" s="41">
        <v>0.0</v>
      </c>
      <c r="AN248" s="41">
        <v>0.0</v>
      </c>
      <c r="AO248" s="41">
        <v>0.0</v>
      </c>
      <c r="AP248" s="41">
        <v>0.0</v>
      </c>
      <c r="AQ248" s="41">
        <v>0.0</v>
      </c>
      <c r="AR248" s="41">
        <v>0.0</v>
      </c>
      <c r="AS248" s="41">
        <v>0.0</v>
      </c>
      <c r="AT248" s="41">
        <v>0.0</v>
      </c>
      <c r="AU248" s="41">
        <v>0.0</v>
      </c>
      <c r="AV248" s="41">
        <v>0.0</v>
      </c>
      <c r="AW248" s="41">
        <v>0.0</v>
      </c>
      <c r="AX248" s="41">
        <v>0.0</v>
      </c>
      <c r="AY248" s="41">
        <v>0.0</v>
      </c>
      <c r="AZ248" s="41">
        <v>0.0</v>
      </c>
      <c r="BA248" s="41">
        <v>0.0</v>
      </c>
      <c r="BB248" s="41">
        <v>0.0</v>
      </c>
      <c r="BC248" s="41">
        <v>0.0</v>
      </c>
      <c r="BD248" s="41">
        <v>0.0</v>
      </c>
      <c r="BE248" s="41">
        <v>0.0</v>
      </c>
      <c r="BF248" s="16">
        <f t="shared" si="53"/>
        <v>0</v>
      </c>
    </row>
    <row r="249" ht="15.75" customHeight="1">
      <c r="AE249" s="41">
        <v>24.0</v>
      </c>
      <c r="AF249" s="41">
        <v>0.0</v>
      </c>
      <c r="AG249" s="41">
        <v>0.0</v>
      </c>
      <c r="AH249" s="41">
        <v>0.0</v>
      </c>
      <c r="AI249" s="41">
        <v>0.0</v>
      </c>
      <c r="AJ249" s="41">
        <v>0.0</v>
      </c>
      <c r="AK249" s="41">
        <v>0.0</v>
      </c>
      <c r="AL249" s="41">
        <v>0.0</v>
      </c>
      <c r="AM249" s="41">
        <v>0.0</v>
      </c>
      <c r="AN249" s="41">
        <v>0.0</v>
      </c>
      <c r="AO249" s="41">
        <v>0.0</v>
      </c>
      <c r="AP249" s="41">
        <v>0.0</v>
      </c>
      <c r="AQ249" s="41">
        <v>0.0</v>
      </c>
      <c r="AR249" s="41">
        <v>0.0</v>
      </c>
      <c r="AS249" s="41">
        <v>0.0</v>
      </c>
      <c r="AT249" s="41">
        <v>0.0</v>
      </c>
      <c r="AU249" s="41">
        <v>0.0</v>
      </c>
      <c r="AV249" s="41">
        <v>0.0</v>
      </c>
      <c r="AW249" s="41">
        <v>0.0</v>
      </c>
      <c r="AX249" s="41">
        <v>0.0</v>
      </c>
      <c r="AY249" s="41">
        <v>0.0</v>
      </c>
      <c r="AZ249" s="41">
        <v>0.0</v>
      </c>
      <c r="BA249" s="41">
        <v>0.0</v>
      </c>
      <c r="BB249" s="41">
        <v>0.0</v>
      </c>
      <c r="BC249" s="41">
        <v>0.0</v>
      </c>
      <c r="BD249" s="41">
        <v>0.0</v>
      </c>
      <c r="BE249" s="41">
        <v>0.0</v>
      </c>
      <c r="BF249" s="16">
        <f t="shared" si="53"/>
        <v>0</v>
      </c>
    </row>
    <row r="250" ht="15.75" customHeight="1">
      <c r="AE250" s="41">
        <v>25.0</v>
      </c>
      <c r="AF250" s="41">
        <v>0.0</v>
      </c>
      <c r="AG250" s="41">
        <v>0.0</v>
      </c>
      <c r="AH250" s="41">
        <v>0.0</v>
      </c>
      <c r="AI250" s="41">
        <v>0.0</v>
      </c>
      <c r="AJ250" s="41">
        <v>0.0</v>
      </c>
      <c r="AK250" s="41">
        <v>0.0</v>
      </c>
      <c r="AL250" s="41">
        <v>0.0</v>
      </c>
      <c r="AM250" s="41">
        <v>0.0</v>
      </c>
      <c r="AN250" s="41">
        <v>0.0</v>
      </c>
      <c r="AO250" s="41">
        <v>0.0</v>
      </c>
      <c r="AP250" s="41">
        <v>0.0</v>
      </c>
      <c r="AQ250" s="41">
        <v>0.0</v>
      </c>
      <c r="AR250" s="41">
        <v>0.0</v>
      </c>
      <c r="AS250" s="41">
        <v>0.0</v>
      </c>
      <c r="AT250" s="41">
        <v>0.0</v>
      </c>
      <c r="AU250" s="41">
        <v>0.0</v>
      </c>
      <c r="AV250" s="41">
        <v>0.0</v>
      </c>
      <c r="AW250" s="41">
        <v>0.0</v>
      </c>
      <c r="AX250" s="41">
        <v>0.0</v>
      </c>
      <c r="AY250" s="41">
        <v>0.0</v>
      </c>
      <c r="AZ250" s="41">
        <v>0.0</v>
      </c>
      <c r="BA250" s="41">
        <v>0.0</v>
      </c>
      <c r="BB250" s="41">
        <v>0.0</v>
      </c>
      <c r="BC250" s="41">
        <v>0.0</v>
      </c>
      <c r="BD250" s="41">
        <v>0.0</v>
      </c>
      <c r="BE250" s="41">
        <v>0.0</v>
      </c>
      <c r="BF250" s="16">
        <f t="shared" si="53"/>
        <v>0</v>
      </c>
    </row>
    <row r="251" ht="15.75" customHeight="1">
      <c r="AE251" s="41">
        <v>26.0</v>
      </c>
      <c r="AF251" s="41">
        <v>0.0</v>
      </c>
      <c r="AG251" s="41">
        <v>0.0</v>
      </c>
      <c r="AH251" s="41">
        <v>0.0</v>
      </c>
      <c r="AI251" s="41">
        <v>0.0</v>
      </c>
      <c r="AJ251" s="41">
        <v>0.0</v>
      </c>
      <c r="AK251" s="41">
        <v>0.0</v>
      </c>
      <c r="AL251" s="41">
        <v>0.0</v>
      </c>
      <c r="AM251" s="41">
        <v>0.0</v>
      </c>
      <c r="AN251" s="41">
        <v>0.0</v>
      </c>
      <c r="AO251" s="41">
        <v>0.0</v>
      </c>
      <c r="AP251" s="41">
        <v>0.0</v>
      </c>
      <c r="AQ251" s="41">
        <v>0.0</v>
      </c>
      <c r="AR251" s="41">
        <v>0.0</v>
      </c>
      <c r="AS251" s="41">
        <v>0.0</v>
      </c>
      <c r="AT251" s="41">
        <v>0.0</v>
      </c>
      <c r="AU251" s="41">
        <v>0.0</v>
      </c>
      <c r="AV251" s="41">
        <v>0.0</v>
      </c>
      <c r="AW251" s="41">
        <v>0.0</v>
      </c>
      <c r="AX251" s="41">
        <v>0.0</v>
      </c>
      <c r="AY251" s="41">
        <v>0.0</v>
      </c>
      <c r="AZ251" s="41">
        <v>0.0</v>
      </c>
      <c r="BA251" s="41">
        <v>0.0</v>
      </c>
      <c r="BB251" s="41">
        <v>0.0</v>
      </c>
      <c r="BC251" s="41">
        <v>0.0</v>
      </c>
      <c r="BD251" s="41">
        <v>0.0</v>
      </c>
      <c r="BE251" s="41">
        <v>0.0</v>
      </c>
      <c r="BF251" s="16">
        <f t="shared" si="53"/>
        <v>0</v>
      </c>
    </row>
    <row r="252" ht="15.75" customHeight="1">
      <c r="AE252" s="16"/>
      <c r="AF252" s="2" t="s">
        <v>1</v>
      </c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  <c r="AS252" s="2" t="s">
        <v>2</v>
      </c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4"/>
    </row>
    <row r="253" ht="15.75" customHeight="1">
      <c r="AF253" s="5" t="s">
        <v>4</v>
      </c>
      <c r="AG253" s="5" t="s">
        <v>5</v>
      </c>
      <c r="AH253" s="5" t="s">
        <v>6</v>
      </c>
      <c r="AI253" s="5" t="s">
        <v>7</v>
      </c>
      <c r="AJ253" s="5" t="s">
        <v>8</v>
      </c>
      <c r="AK253" s="5" t="s">
        <v>9</v>
      </c>
      <c r="AL253" s="5" t="s">
        <v>10</v>
      </c>
      <c r="AM253" s="5" t="s">
        <v>11</v>
      </c>
      <c r="AN253" s="5" t="s">
        <v>12</v>
      </c>
      <c r="AO253" s="5" t="s">
        <v>13</v>
      </c>
      <c r="AP253" s="5" t="s">
        <v>14</v>
      </c>
      <c r="AQ253" s="5" t="s">
        <v>15</v>
      </c>
      <c r="AR253" s="5" t="s">
        <v>16</v>
      </c>
      <c r="AS253" s="5" t="s">
        <v>4</v>
      </c>
      <c r="AT253" s="5" t="s">
        <v>5</v>
      </c>
      <c r="AU253" s="5" t="s">
        <v>6</v>
      </c>
      <c r="AV253" s="5" t="s">
        <v>7</v>
      </c>
      <c r="AW253" s="5" t="s">
        <v>8</v>
      </c>
      <c r="AX253" s="5" t="s">
        <v>9</v>
      </c>
      <c r="AY253" s="5" t="s">
        <v>10</v>
      </c>
      <c r="AZ253" s="5" t="s">
        <v>11</v>
      </c>
      <c r="BA253" s="5" t="s">
        <v>12</v>
      </c>
      <c r="BB253" s="5" t="s">
        <v>13</v>
      </c>
      <c r="BC253" s="5" t="s">
        <v>14</v>
      </c>
      <c r="BD253" s="5" t="s">
        <v>15</v>
      </c>
      <c r="BE253" s="5" t="s">
        <v>16</v>
      </c>
    </row>
    <row r="254" ht="15.75" customHeight="1">
      <c r="AE254" s="39" t="s">
        <v>61</v>
      </c>
      <c r="AF254" s="16">
        <f t="shared" ref="AF254:BE254" si="54">SUM(AF226:AF251)</f>
        <v>21.74766358</v>
      </c>
      <c r="AG254" s="16">
        <f t="shared" si="54"/>
        <v>1293.771596</v>
      </c>
      <c r="AH254" s="16">
        <f t="shared" si="54"/>
        <v>8639.511026</v>
      </c>
      <c r="AI254" s="16">
        <f t="shared" si="54"/>
        <v>2803.759363</v>
      </c>
      <c r="AJ254" s="16">
        <f t="shared" si="54"/>
        <v>0.7349974633</v>
      </c>
      <c r="AK254" s="16">
        <f t="shared" si="54"/>
        <v>16.30755985</v>
      </c>
      <c r="AL254" s="16">
        <f t="shared" si="54"/>
        <v>1989.382046</v>
      </c>
      <c r="AM254" s="16">
        <f t="shared" si="54"/>
        <v>6.648463768</v>
      </c>
      <c r="AN254" s="16">
        <f t="shared" si="54"/>
        <v>2587.735653</v>
      </c>
      <c r="AO254" s="16">
        <f t="shared" si="54"/>
        <v>3190.955842</v>
      </c>
      <c r="AP254" s="16">
        <f t="shared" si="54"/>
        <v>1.035125557</v>
      </c>
      <c r="AQ254" s="16">
        <f t="shared" si="54"/>
        <v>0.1381395028</v>
      </c>
      <c r="AR254" s="16">
        <f t="shared" si="54"/>
        <v>651.4483684</v>
      </c>
      <c r="AS254" s="16">
        <f t="shared" si="54"/>
        <v>42574.94886</v>
      </c>
      <c r="AT254" s="16">
        <f t="shared" si="54"/>
        <v>383541.8134</v>
      </c>
      <c r="AU254" s="16">
        <f t="shared" si="54"/>
        <v>7084977.771</v>
      </c>
      <c r="AV254" s="16">
        <f t="shared" si="54"/>
        <v>3707389.086</v>
      </c>
      <c r="AW254" s="16">
        <f t="shared" si="54"/>
        <v>2642.452268</v>
      </c>
      <c r="AX254" s="16">
        <f t="shared" si="54"/>
        <v>7143.913061</v>
      </c>
      <c r="AY254" s="16">
        <f t="shared" si="54"/>
        <v>889270.9517</v>
      </c>
      <c r="AZ254" s="16">
        <f t="shared" si="54"/>
        <v>43465.63972</v>
      </c>
      <c r="BA254" s="16">
        <f t="shared" si="54"/>
        <v>286409.5149</v>
      </c>
      <c r="BB254" s="16">
        <f t="shared" si="54"/>
        <v>882674.1592</v>
      </c>
      <c r="BC254" s="16">
        <f t="shared" si="54"/>
        <v>3455.498818</v>
      </c>
      <c r="BD254" s="16">
        <f t="shared" si="54"/>
        <v>5754.663318</v>
      </c>
      <c r="BE254" s="16">
        <f t="shared" si="54"/>
        <v>682836.6876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</sheetData>
  <mergeCells count="23">
    <mergeCell ref="AC1:AI1"/>
    <mergeCell ref="AC29:AD29"/>
    <mergeCell ref="AF188:AR188"/>
    <mergeCell ref="AS188:BE188"/>
    <mergeCell ref="AF220:AR220"/>
    <mergeCell ref="AS220:BE220"/>
    <mergeCell ref="AF252:AR252"/>
    <mergeCell ref="AS252:BE252"/>
    <mergeCell ref="C34:O34"/>
    <mergeCell ref="P34:AB34"/>
    <mergeCell ref="C42:O42"/>
    <mergeCell ref="P42:AB42"/>
    <mergeCell ref="C54:O54"/>
    <mergeCell ref="P54:AB54"/>
    <mergeCell ref="C62:O62"/>
    <mergeCell ref="P62:AB62"/>
    <mergeCell ref="C1:O1"/>
    <mergeCell ref="P1:AB1"/>
    <mergeCell ref="AJ1:AP1"/>
    <mergeCell ref="A3:A15"/>
    <mergeCell ref="AV3:AV15"/>
    <mergeCell ref="A16:A28"/>
    <mergeCell ref="AV16:AV28"/>
  </mergeCells>
  <conditionalFormatting sqref="C3:O15">
    <cfRule type="colorScale" priority="1">
      <colorScale>
        <cfvo type="formula" val="0"/>
        <cfvo type="formula" val="500"/>
        <cfvo type="formula" val="50000"/>
        <color rgb="FFFFF2CC"/>
        <color rgb="FF93C47D"/>
        <color rgb="FF38761D"/>
      </colorScale>
    </cfRule>
  </conditionalFormatting>
  <conditionalFormatting sqref="C16:O28">
    <cfRule type="colorScale" priority="2">
      <colorScale>
        <cfvo type="min"/>
        <cfvo type="formula" val="500"/>
        <cfvo type="formula" val="50000"/>
        <color rgb="FFEAD1DC"/>
        <color rgb="FFA4C2F4"/>
        <color rgb="FF1155CC"/>
      </colorScale>
    </cfRule>
  </conditionalFormatting>
  <conditionalFormatting sqref="P3:AB15">
    <cfRule type="colorScale" priority="3">
      <colorScale>
        <cfvo type="min"/>
        <cfvo type="formula" val="500"/>
        <cfvo type="formula" val="50000"/>
        <color rgb="FFEAD1DC"/>
        <color rgb="FFA4C2F4"/>
        <color rgb="FF1155CC"/>
      </colorScale>
    </cfRule>
  </conditionalFormatting>
  <conditionalFormatting sqref="P16:AB28">
    <cfRule type="colorScale" priority="4">
      <colorScale>
        <cfvo type="min"/>
        <cfvo type="formula" val="30000"/>
        <cfvo type="formula" val="3500000"/>
        <color rgb="FFE6B8AF"/>
        <color rgb="FFE06666"/>
        <color rgb="FF85200C"/>
      </colorScale>
    </cfRule>
  </conditionalFormatting>
  <conditionalFormatting sqref="AC3:AI15">
    <cfRule type="colorScale" priority="5">
      <colorScale>
        <cfvo type="formula" val="0"/>
        <cfvo type="formula" val="80"/>
        <cfvo type="formula" val="80000"/>
        <color rgb="FFFFF2CC"/>
        <color rgb="FF6AA84F"/>
        <color rgb="FF57BB8A"/>
      </colorScale>
    </cfRule>
  </conditionalFormatting>
  <conditionalFormatting sqref="AC16:AI28 AC30:AI31 AE29:AI29">
    <cfRule type="colorScale" priority="6">
      <colorScale>
        <cfvo type="formula" val="0"/>
        <cfvo type="formula" val="500"/>
        <cfvo type="formula" val="12000"/>
        <color rgb="FFEAD1DC"/>
        <color rgb="FF88AAE6"/>
        <color rgb="FF1155CC"/>
      </colorScale>
    </cfRule>
  </conditionalFormatting>
  <conditionalFormatting sqref="AJ3:AP15">
    <cfRule type="colorScale" priority="7">
      <colorScale>
        <cfvo type="formula" val="0"/>
        <cfvo type="formula" val="500"/>
        <cfvo type="formula" val="12000"/>
        <color rgb="FFEAD1DC"/>
        <color rgb="FFA4C2F4"/>
        <color rgb="FF1155CC"/>
      </colorScale>
    </cfRule>
  </conditionalFormatting>
  <conditionalFormatting sqref="AJ16:AP31">
    <cfRule type="colorScale" priority="8">
      <colorScale>
        <cfvo type="formula" val="0"/>
        <cfvo type="formula" val="5000"/>
        <cfvo type="formula" val="100000"/>
        <color rgb="FFF4CCCC"/>
        <color rgb="FFEA9999"/>
        <color rgb="FF990000"/>
      </colorScale>
    </cfRule>
  </conditionalFormatting>
  <conditionalFormatting sqref="AQ3:AQ15">
    <cfRule type="colorScale" priority="9">
      <colorScale>
        <cfvo type="min"/>
        <cfvo type="percentile" val="50"/>
        <cfvo type="max"/>
        <color rgb="FFFFF2CC"/>
        <color rgb="FF6AA84F"/>
        <color rgb="FF57BB8A"/>
      </colorScale>
    </cfRule>
  </conditionalFormatting>
  <conditionalFormatting sqref="AQ16:AQ31">
    <cfRule type="colorScale" priority="10">
      <colorScale>
        <cfvo type="min"/>
        <cfvo type="percentile" val="50"/>
        <cfvo type="max"/>
        <color rgb="FFF4CCCC"/>
        <color rgb="FFEA9999"/>
        <color rgb="FF990000"/>
      </colorScale>
    </cfRule>
  </conditionalFormatting>
  <conditionalFormatting sqref="AR3:AR15">
    <cfRule type="colorScale" priority="11">
      <colorScale>
        <cfvo type="min"/>
        <cfvo type="percentile" val="50"/>
        <cfvo type="max"/>
        <color rgb="FFEAD1DC"/>
        <color rgb="FF88AAE6"/>
        <color rgb="FF1155CC"/>
      </colorScale>
    </cfRule>
  </conditionalFormatting>
  <conditionalFormatting sqref="AR16:AR31">
    <cfRule type="colorScale" priority="12">
      <colorScale>
        <cfvo type="min"/>
        <cfvo type="percentile" val="50"/>
        <cfvo type="max"/>
        <color rgb="FFEAD1DC"/>
        <color rgb="FF88AAE6"/>
        <color rgb="FF1155CC"/>
      </colorScale>
    </cfRule>
  </conditionalFormatting>
  <conditionalFormatting sqref="AT30:AT31">
    <cfRule type="colorScale" priority="13">
      <colorScale>
        <cfvo type="min"/>
        <cfvo type="percentile" val="50"/>
        <cfvo type="max"/>
        <color rgb="FFF4CCCC"/>
        <color rgb="FFEA9999"/>
        <color rgb="FF990000"/>
      </colorScale>
    </cfRule>
  </conditionalFormatting>
  <conditionalFormatting sqref="C104:AB129">
    <cfRule type="colorScale" priority="14">
      <colorScale>
        <cfvo type="formula" val="0"/>
        <cfvo type="formula" val="0.01"/>
        <cfvo type="formula" val="1"/>
        <color rgb="FFFFFFFF"/>
        <color rgb="FFF4CCCC"/>
        <color rgb="FF85200C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4.25" customHeight="1">
      <c r="B1" s="16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2"/>
      <c r="Q1" s="2" t="s">
        <v>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 ht="14.25" customHeight="1">
      <c r="A2" s="16" t="s">
        <v>65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/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  <c r="AD2" s="28" t="s">
        <v>66</v>
      </c>
    </row>
    <row r="3" ht="14.25" customHeight="1">
      <c r="B3" s="39" t="s">
        <v>61</v>
      </c>
      <c r="C3" s="16">
        <f>Model!AF190</f>
        <v>1283682643</v>
      </c>
      <c r="D3" s="16">
        <f>Model!AG190</f>
        <v>4478457278</v>
      </c>
      <c r="E3" s="16">
        <f>Model!AH190</f>
        <v>5280562170</v>
      </c>
      <c r="F3" s="16">
        <f>Model!AI190</f>
        <v>2725626509</v>
      </c>
      <c r="G3" s="16">
        <f>Model!AJ190</f>
        <v>69130163.46</v>
      </c>
      <c r="H3" s="16">
        <f>Model!AK190</f>
        <v>620350170.3</v>
      </c>
      <c r="I3" s="16">
        <f>Model!AL190</f>
        <v>37150056511</v>
      </c>
      <c r="J3" s="16">
        <f>Model!AM190</f>
        <v>65569412.48</v>
      </c>
      <c r="K3" s="16">
        <f>Model!AN190</f>
        <v>24269083660</v>
      </c>
      <c r="L3" s="16">
        <f>Model!AO190</f>
        <v>24162738709</v>
      </c>
      <c r="M3" s="16">
        <f>Model!AP190</f>
        <v>85214363.09</v>
      </c>
      <c r="N3" s="16">
        <f>Model!AQ190</f>
        <v>2019329.075</v>
      </c>
      <c r="O3" s="16">
        <f>Model!AR190</f>
        <v>1898968295</v>
      </c>
      <c r="P3" s="39" t="s">
        <v>61</v>
      </c>
      <c r="Q3" s="16">
        <f>Model!AS190</f>
        <v>1365898517746</v>
      </c>
      <c r="R3" s="16">
        <f>Model!AT190</f>
        <v>1749856053387</v>
      </c>
      <c r="S3" s="16">
        <f>Model!AU190</f>
        <v>2638439900707</v>
      </c>
      <c r="T3" s="16">
        <f>Model!AV190</f>
        <v>2146194513020</v>
      </c>
      <c r="U3" s="16">
        <f>Model!AW190</f>
        <v>646786272453</v>
      </c>
      <c r="V3" s="16">
        <f>Model!AX190</f>
        <v>159879684900</v>
      </c>
      <c r="W3" s="16">
        <f>Model!AY190</f>
        <v>14384325506184</v>
      </c>
      <c r="X3" s="16">
        <f>Model!AZ190</f>
        <v>323597418574</v>
      </c>
      <c r="Y3" s="16">
        <f>Model!BA190</f>
        <v>9814335455180</v>
      </c>
      <c r="Z3" s="16">
        <f>Model!BB190</f>
        <v>7128480727851</v>
      </c>
      <c r="AA3" s="16">
        <f>Model!BC190</f>
        <v>347990806876</v>
      </c>
      <c r="AB3" s="16">
        <f>Model!BD190</f>
        <v>52164644228</v>
      </c>
      <c r="AC3" s="16">
        <f>Model!BE190</f>
        <v>1045420573051</v>
      </c>
      <c r="AD3" s="43">
        <f t="shared" ref="AD3:AD4" si="1">SUM(C3:AC3)</f>
        <v>41905461533372</v>
      </c>
    </row>
    <row r="4" ht="14.25" customHeight="1">
      <c r="B4" s="39" t="s">
        <v>59</v>
      </c>
      <c r="C4" s="16">
        <f>Model!$BF162</f>
        <v>2791355939</v>
      </c>
      <c r="D4" s="16">
        <f>Model!$BF163</f>
        <v>934299227.7</v>
      </c>
      <c r="E4" s="16">
        <f>Model!$BF164</f>
        <v>8196574847</v>
      </c>
      <c r="F4" s="16">
        <f>Model!$BF165</f>
        <v>457618028</v>
      </c>
      <c r="G4" s="16">
        <f>Model!$BF166</f>
        <v>1396399359</v>
      </c>
      <c r="H4" s="16">
        <f>Model!$BF167</f>
        <v>1506131436</v>
      </c>
      <c r="I4" s="16">
        <f>Model!$BF168</f>
        <v>27267304166</v>
      </c>
      <c r="J4" s="16">
        <f>Model!$BF169</f>
        <v>26905618.4</v>
      </c>
      <c r="K4" s="16">
        <f>Model!$BF170</f>
        <v>25203443673</v>
      </c>
      <c r="L4" s="16">
        <f>Model!$BF171</f>
        <v>5876150331</v>
      </c>
      <c r="M4" s="16">
        <f>Model!$BF172</f>
        <v>2042925110</v>
      </c>
      <c r="N4" s="16">
        <f>Model!$BF173</f>
        <v>6288396.08</v>
      </c>
      <c r="O4" s="16">
        <f>Model!$BF174</f>
        <v>1296726456</v>
      </c>
      <c r="P4" s="39" t="s">
        <v>59</v>
      </c>
      <c r="Q4" s="16">
        <f>Model!$BF175</f>
        <v>2732646263190</v>
      </c>
      <c r="R4" s="16">
        <f>Model!$BF176</f>
        <v>469239165653</v>
      </c>
      <c r="S4" s="16">
        <f>Model!$BF177</f>
        <v>4615643638264</v>
      </c>
      <c r="T4" s="16">
        <f>Model!$BF178</f>
        <v>548309594787</v>
      </c>
      <c r="U4" s="16">
        <f>Model!$BF179</f>
        <v>1578397521282</v>
      </c>
      <c r="V4" s="16">
        <f>Model!$BF180</f>
        <v>1338026025113</v>
      </c>
      <c r="W4" s="16">
        <f>Model!$BF181</f>
        <v>10877317349483</v>
      </c>
      <c r="X4" s="16">
        <f>Model!$BF182</f>
        <v>375720391671</v>
      </c>
      <c r="Y4" s="16">
        <f>Model!$BF183</f>
        <v>16443494755899</v>
      </c>
      <c r="Z4" s="16">
        <f>Model!$BF184</f>
        <v>1729622271248</v>
      </c>
      <c r="AA4" s="16">
        <f>Model!$BF185</f>
        <v>972425901662</v>
      </c>
      <c r="AB4" s="16">
        <f>Model!$BF186</f>
        <v>24033987911</v>
      </c>
      <c r="AC4" s="16">
        <f>Model!$BF187</f>
        <v>123582544622</v>
      </c>
      <c r="AD4" s="43">
        <f t="shared" si="1"/>
        <v>41905461533372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C26" s="2" t="s">
        <v>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42"/>
      <c r="Q26" s="2" t="s">
        <v>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ht="14.25" customHeight="1">
      <c r="C27" s="5" t="s">
        <v>4</v>
      </c>
      <c r="D27" s="5" t="s">
        <v>5</v>
      </c>
      <c r="E27" s="5" t="s">
        <v>6</v>
      </c>
      <c r="F27" s="5" t="s">
        <v>7</v>
      </c>
      <c r="G27" s="5" t="s">
        <v>8</v>
      </c>
      <c r="H27" s="5" t="s">
        <v>9</v>
      </c>
      <c r="I27" s="5" t="s">
        <v>10</v>
      </c>
      <c r="J27" s="5" t="s">
        <v>11</v>
      </c>
      <c r="K27" s="5" t="s">
        <v>12</v>
      </c>
      <c r="L27" s="5" t="s">
        <v>13</v>
      </c>
      <c r="M27" s="5" t="s">
        <v>14</v>
      </c>
      <c r="N27" s="5" t="s">
        <v>15</v>
      </c>
      <c r="O27" s="5" t="s">
        <v>16</v>
      </c>
      <c r="P27" s="5"/>
      <c r="Q27" s="5" t="s">
        <v>4</v>
      </c>
      <c r="R27" s="5" t="s">
        <v>5</v>
      </c>
      <c r="S27" s="5" t="s">
        <v>6</v>
      </c>
      <c r="T27" s="5" t="s">
        <v>7</v>
      </c>
      <c r="U27" s="5" t="s">
        <v>8</v>
      </c>
      <c r="V27" s="5" t="s">
        <v>9</v>
      </c>
      <c r="W27" s="5" t="s">
        <v>10</v>
      </c>
      <c r="X27" s="5" t="s">
        <v>11</v>
      </c>
      <c r="Y27" s="5" t="s">
        <v>12</v>
      </c>
      <c r="Z27" s="5" t="s">
        <v>13</v>
      </c>
      <c r="AA27" s="5" t="s">
        <v>14</v>
      </c>
      <c r="AB27" s="5" t="s">
        <v>15</v>
      </c>
      <c r="AC27" s="5" t="s">
        <v>16</v>
      </c>
      <c r="AD27" s="28" t="s">
        <v>66</v>
      </c>
    </row>
    <row r="28" ht="14.25" customHeight="1">
      <c r="A28" s="16" t="s">
        <v>67</v>
      </c>
      <c r="B28" s="39" t="s">
        <v>61</v>
      </c>
      <c r="C28" s="16">
        <f>Model!AF222</f>
        <v>3494.168821</v>
      </c>
      <c r="D28" s="16">
        <f>Model!AG222</f>
        <v>3869.763715</v>
      </c>
      <c r="E28" s="16">
        <f>Model!AH222</f>
        <v>1398.574786</v>
      </c>
      <c r="F28" s="16">
        <f>Model!AI222</f>
        <v>423.1223431</v>
      </c>
      <c r="G28" s="16">
        <f>Model!AJ222</f>
        <v>0.5592050686</v>
      </c>
      <c r="H28" s="16">
        <f>Model!AK222</f>
        <v>13.53126599</v>
      </c>
      <c r="I28" s="16">
        <f>Model!AL222</f>
        <v>2484.064817</v>
      </c>
      <c r="J28" s="16">
        <f>Model!AM222</f>
        <v>4.089301827</v>
      </c>
      <c r="K28" s="16">
        <f>Model!AN222</f>
        <v>992.8972955</v>
      </c>
      <c r="L28" s="16">
        <f>Model!AO222</f>
        <v>2203.016191</v>
      </c>
      <c r="M28" s="16">
        <f>Model!AP222</f>
        <v>0.7825182721</v>
      </c>
      <c r="N28" s="16">
        <f>Model!AQ222</f>
        <v>0.1277819439</v>
      </c>
      <c r="O28" s="16">
        <f>Model!AR222</f>
        <v>621.8397915</v>
      </c>
      <c r="P28" s="39" t="s">
        <v>61</v>
      </c>
      <c r="Q28" s="16">
        <f>Model!AS222</f>
        <v>3702461.639</v>
      </c>
      <c r="R28" s="16">
        <f>Model!AT222</f>
        <v>2069843.809</v>
      </c>
      <c r="S28" s="16">
        <f>Model!AU222</f>
        <v>235621.0717</v>
      </c>
      <c r="T28" s="16">
        <f>Model!AV222</f>
        <v>213445.1502</v>
      </c>
      <c r="U28" s="16">
        <f>Model!AW222</f>
        <v>1598.602567</v>
      </c>
      <c r="V28" s="16">
        <f>Model!AX222</f>
        <v>10277.9825</v>
      </c>
      <c r="W28" s="16">
        <f>Model!AY222</f>
        <v>1496400.052</v>
      </c>
      <c r="X28" s="16">
        <f>Model!AZ222</f>
        <v>57472.05577</v>
      </c>
      <c r="Y28" s="16">
        <f>Model!BA222</f>
        <v>277897.2422</v>
      </c>
      <c r="Z28" s="16">
        <f>Model!BB222</f>
        <v>929046.7271</v>
      </c>
      <c r="AA28" s="16">
        <f>Model!BC222</f>
        <v>3017.709523</v>
      </c>
      <c r="AB28" s="16">
        <f>Model!BD222</f>
        <v>3535.428275</v>
      </c>
      <c r="AC28" s="16">
        <f>Model!BE222</f>
        <v>353955.9751</v>
      </c>
      <c r="AD28" s="43">
        <f t="shared" ref="AD28:AD29" si="2">SUM(C28:AC28)</f>
        <v>9370079.983</v>
      </c>
    </row>
    <row r="29" ht="14.25" customHeight="1">
      <c r="B29" s="39" t="s">
        <v>59</v>
      </c>
      <c r="C29" s="16">
        <f>Model!$BF194</f>
        <v>9814.9808</v>
      </c>
      <c r="D29" s="16">
        <f>Model!$BF195</f>
        <v>0</v>
      </c>
      <c r="E29" s="16">
        <f>Model!$BF196</f>
        <v>0</v>
      </c>
      <c r="F29" s="16">
        <f>Model!$BF197</f>
        <v>0</v>
      </c>
      <c r="G29" s="16">
        <f>Model!$BF198</f>
        <v>0</v>
      </c>
      <c r="H29" s="16">
        <f>Model!$BF199</f>
        <v>0</v>
      </c>
      <c r="I29" s="16">
        <f>Model!$BF200</f>
        <v>0</v>
      </c>
      <c r="J29" s="16">
        <f>Model!$BF201</f>
        <v>0</v>
      </c>
      <c r="K29" s="16">
        <f>Model!$BF202</f>
        <v>0</v>
      </c>
      <c r="L29" s="16">
        <f>Model!$BF203</f>
        <v>0</v>
      </c>
      <c r="M29" s="16">
        <f>Model!$BF204</f>
        <v>0</v>
      </c>
      <c r="N29" s="16">
        <f>Model!$BF205</f>
        <v>0</v>
      </c>
      <c r="O29" s="16">
        <f>Model!$BF206</f>
        <v>0</v>
      </c>
      <c r="P29" s="39" t="s">
        <v>59</v>
      </c>
      <c r="Q29" s="16">
        <f>Model!$BF207</f>
        <v>9360265.002</v>
      </c>
      <c r="R29" s="16">
        <f>Model!$BF208</f>
        <v>0</v>
      </c>
      <c r="S29" s="16">
        <f>Model!$BF209</f>
        <v>0</v>
      </c>
      <c r="T29" s="16">
        <f>Model!$BF210</f>
        <v>0</v>
      </c>
      <c r="U29" s="16">
        <f>Model!$BF211</f>
        <v>0</v>
      </c>
      <c r="V29" s="16">
        <f>Model!$BF212</f>
        <v>0</v>
      </c>
      <c r="W29" s="16">
        <f>Model!$BF213</f>
        <v>0</v>
      </c>
      <c r="X29" s="16">
        <f>Model!$BF214</f>
        <v>0</v>
      </c>
      <c r="Y29" s="16">
        <f>Model!$BF215</f>
        <v>0</v>
      </c>
      <c r="Z29" s="16">
        <f>Model!$BF216</f>
        <v>0</v>
      </c>
      <c r="AA29" s="16">
        <f>Model!$BF217</f>
        <v>0</v>
      </c>
      <c r="AB29" s="16">
        <f>Model!$BF218</f>
        <v>0</v>
      </c>
      <c r="AC29" s="16">
        <f>Model!$BF219</f>
        <v>0</v>
      </c>
      <c r="AD29" s="43">
        <f t="shared" si="2"/>
        <v>9370079.983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5" t="s">
        <v>9</v>
      </c>
      <c r="I53" s="5" t="s">
        <v>10</v>
      </c>
      <c r="J53" s="5" t="s">
        <v>11</v>
      </c>
      <c r="K53" s="5" t="s">
        <v>12</v>
      </c>
      <c r="L53" s="5" t="s">
        <v>13</v>
      </c>
      <c r="M53" s="5" t="s">
        <v>14</v>
      </c>
      <c r="N53" s="5" t="s">
        <v>15</v>
      </c>
      <c r="O53" s="5" t="s">
        <v>16</v>
      </c>
      <c r="P53" s="5"/>
      <c r="Q53" s="5" t="s">
        <v>4</v>
      </c>
      <c r="R53" s="5" t="s">
        <v>5</v>
      </c>
      <c r="S53" s="5" t="s">
        <v>6</v>
      </c>
      <c r="T53" s="5" t="s">
        <v>7</v>
      </c>
      <c r="U53" s="5" t="s">
        <v>8</v>
      </c>
      <c r="V53" s="5" t="s">
        <v>9</v>
      </c>
      <c r="W53" s="5" t="s">
        <v>10</v>
      </c>
      <c r="X53" s="5" t="s">
        <v>11</v>
      </c>
      <c r="Y53" s="5" t="s">
        <v>12</v>
      </c>
      <c r="Z53" s="5" t="s">
        <v>13</v>
      </c>
      <c r="AA53" s="5" t="s">
        <v>14</v>
      </c>
      <c r="AB53" s="5" t="s">
        <v>15</v>
      </c>
      <c r="AC53" s="5" t="s">
        <v>16</v>
      </c>
      <c r="AD53" s="28" t="s">
        <v>66</v>
      </c>
    </row>
    <row r="54" ht="14.25" customHeight="1">
      <c r="A54" s="16" t="s">
        <v>68</v>
      </c>
      <c r="B54" s="39" t="s">
        <v>61</v>
      </c>
      <c r="C54" s="16">
        <f>Model!AF254</f>
        <v>21.74766358</v>
      </c>
      <c r="D54" s="16">
        <f>Model!AG254</f>
        <v>1293.771596</v>
      </c>
      <c r="E54" s="16">
        <f>Model!AH254</f>
        <v>8639.511026</v>
      </c>
      <c r="F54" s="16">
        <f>Model!AI254</f>
        <v>2803.759363</v>
      </c>
      <c r="G54" s="16">
        <f>Model!AJ254</f>
        <v>0.7349974633</v>
      </c>
      <c r="H54" s="16">
        <f>Model!AK254</f>
        <v>16.30755985</v>
      </c>
      <c r="I54" s="16">
        <f>Model!AL254</f>
        <v>1989.382046</v>
      </c>
      <c r="J54" s="16">
        <f>Model!AM254</f>
        <v>6.648463768</v>
      </c>
      <c r="K54" s="16">
        <f>Model!AN254</f>
        <v>2587.735653</v>
      </c>
      <c r="L54" s="16">
        <f>Model!AO254</f>
        <v>3190.955842</v>
      </c>
      <c r="M54" s="16">
        <f>Model!AP254</f>
        <v>1.035125557</v>
      </c>
      <c r="N54" s="16">
        <f>Model!AQ254</f>
        <v>0.1381395028</v>
      </c>
      <c r="O54" s="16">
        <f>Model!AR254</f>
        <v>651.4483684</v>
      </c>
      <c r="P54" s="39" t="s">
        <v>61</v>
      </c>
      <c r="Q54" s="16">
        <f>Model!AS254</f>
        <v>42574.94886</v>
      </c>
      <c r="R54" s="16">
        <f>Model!AT254</f>
        <v>383541.8134</v>
      </c>
      <c r="S54" s="16">
        <f>Model!AU254</f>
        <v>7084977.771</v>
      </c>
      <c r="T54" s="16">
        <f>Model!AV254</f>
        <v>3707389.086</v>
      </c>
      <c r="U54" s="16">
        <f>Model!AW254</f>
        <v>2642.452268</v>
      </c>
      <c r="V54" s="16">
        <f>Model!AX254</f>
        <v>7143.913061</v>
      </c>
      <c r="W54" s="16">
        <f>Model!AY254</f>
        <v>889270.9517</v>
      </c>
      <c r="X54" s="16">
        <f>Model!AZ254</f>
        <v>43465.63972</v>
      </c>
      <c r="Y54" s="16">
        <f>Model!BA254</f>
        <v>286409.5149</v>
      </c>
      <c r="Z54" s="16">
        <f>Model!BB254</f>
        <v>882674.1592</v>
      </c>
      <c r="AA54" s="16">
        <f>Model!BC254</f>
        <v>3455.498818</v>
      </c>
      <c r="AB54" s="16">
        <f>Model!BD254</f>
        <v>5754.663318</v>
      </c>
      <c r="AC54" s="16">
        <f>Model!BE254</f>
        <v>682836.6876</v>
      </c>
      <c r="AD54" s="43">
        <f t="shared" ref="AD54:AD55" si="3">SUM(C54:AC54)</f>
        <v>14043340.28</v>
      </c>
    </row>
    <row r="55" ht="14.25" customHeight="1">
      <c r="B55" s="39" t="s">
        <v>59</v>
      </c>
      <c r="C55" s="16">
        <f>Model!$BF226</f>
        <v>0</v>
      </c>
      <c r="D55" s="16">
        <f>Model!$BF227</f>
        <v>0</v>
      </c>
      <c r="E55" s="16">
        <f>Model!$BF228</f>
        <v>15943.32516</v>
      </c>
      <c r="F55" s="16">
        <f>Model!$BF229</f>
        <v>0</v>
      </c>
      <c r="G55" s="16">
        <f>Model!$BF230</f>
        <v>0</v>
      </c>
      <c r="H55" s="16">
        <f>Model!$BF231</f>
        <v>0</v>
      </c>
      <c r="I55" s="16">
        <f>Model!$BF232</f>
        <v>0</v>
      </c>
      <c r="J55" s="16">
        <f>Model!$BF233</f>
        <v>0</v>
      </c>
      <c r="K55" s="16">
        <f>Model!$BF234</f>
        <v>0</v>
      </c>
      <c r="L55" s="16">
        <f>Model!$BF235</f>
        <v>0</v>
      </c>
      <c r="M55" s="16">
        <f>Model!$BF236</f>
        <v>0</v>
      </c>
      <c r="N55" s="16">
        <f>Model!$BF237</f>
        <v>0</v>
      </c>
      <c r="O55" s="16">
        <f>Model!$BF238</f>
        <v>0</v>
      </c>
      <c r="P55" s="39" t="s">
        <v>59</v>
      </c>
      <c r="Q55" s="16">
        <f>Model!$BF239</f>
        <v>0</v>
      </c>
      <c r="R55" s="16">
        <f>Model!$BF240</f>
        <v>0</v>
      </c>
      <c r="S55" s="16">
        <f>Model!$BF241</f>
        <v>14027396.95</v>
      </c>
      <c r="T55" s="16">
        <f>Model!$BF242</f>
        <v>0</v>
      </c>
      <c r="U55" s="16">
        <f>Model!$BF243</f>
        <v>0</v>
      </c>
      <c r="V55" s="16">
        <f>Model!$BF244</f>
        <v>0</v>
      </c>
      <c r="W55" s="16">
        <f>Model!$BF245</f>
        <v>0</v>
      </c>
      <c r="X55" s="16">
        <f>Model!$BF246</f>
        <v>0</v>
      </c>
      <c r="Y55" s="16">
        <f>Model!$BF247</f>
        <v>0</v>
      </c>
      <c r="Z55" s="16">
        <f>Model!$BF248</f>
        <v>0</v>
      </c>
      <c r="AA55" s="16">
        <f>Model!$BF249</f>
        <v>0</v>
      </c>
      <c r="AB55" s="16">
        <f>Model!$BF250</f>
        <v>0</v>
      </c>
      <c r="AC55" s="16">
        <f>Model!$BF251</f>
        <v>0</v>
      </c>
      <c r="AD55" s="43">
        <f t="shared" si="3"/>
        <v>14043340.28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1:O1"/>
    <mergeCell ref="Q1:AC1"/>
    <mergeCell ref="C26:O26"/>
    <mergeCell ref="Q26:AC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2025-05-26T17:52:13Z</dcterms:created>
  <dc:creator>openpyxl</dc:creator>
</cp:coreProperties>
</file>