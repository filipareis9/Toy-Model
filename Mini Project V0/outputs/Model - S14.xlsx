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Graphs" sheetId="2" r:id="rId5"/>
  </sheets>
  <definedNames/>
  <calcPr/>
  <extLst>
    <ext uri="GoogleSheetsCustomDataVersion2">
      <go:sheetsCustomData xmlns:go="http://customooxmlschemas.google.com/" r:id="rId6" roundtripDataChecksum="sb1Nfw9PUXjb3EBKEdkPSGFVtuWLdfYjQTsVpPX1Aiw="/>
    </ext>
  </extLst>
</workbook>
</file>

<file path=xl/sharedStrings.xml><?xml version="1.0" encoding="utf-8"?>
<sst xmlns="http://schemas.openxmlformats.org/spreadsheetml/2006/main" count="510" uniqueCount="70">
  <si>
    <t>SuperRegion</t>
  </si>
  <si>
    <t>AT</t>
  </si>
  <si>
    <t>World_but_AT</t>
  </si>
  <si>
    <t>Aggregated_Sector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</si>
  <si>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</si>
  <si>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</si>
  <si>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</si>
  <si>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</si>
  <si>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</si>
  <si>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</si>
  <si>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</si>
  <si>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</si>
  <si>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</si>
  <si>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</si>
  <si>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</si>
  <si>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</si>
  <si>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</si>
  <si>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</si>
  <si>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</si>
  <si>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</si>
  <si>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</si>
  <si>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</si>
  <si>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</si>
  <si>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</si>
  <si>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</si>
  <si>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Y_Region</t>
  </si>
  <si>
    <t>Y_Exports</t>
  </si>
  <si>
    <t>Y_Total Demand</t>
  </si>
  <si>
    <t>X_Total Output</t>
  </si>
  <si>
    <t>Value Added</t>
  </si>
  <si>
    <t>GDP</t>
  </si>
  <si>
    <t>Sum Inter-Industry Input</t>
  </si>
  <si>
    <t>X_Total Industry Input (Output)</t>
  </si>
  <si>
    <t>Environmental Emissions (scope 1) - M Matrix</t>
  </si>
  <si>
    <t>Emissions</t>
  </si>
  <si>
    <t>CO2</t>
  </si>
  <si>
    <t>CH4 Fossil (CO2 eq)</t>
  </si>
  <si>
    <t>CH4 non-fossil (CO2 eq)</t>
  </si>
  <si>
    <t>NO2 (CO2 eq)</t>
  </si>
  <si>
    <t>SF6 (CO2 eq)</t>
  </si>
  <si>
    <t>Total (CO2 eq)</t>
  </si>
  <si>
    <t>Mass</t>
  </si>
  <si>
    <t>Plants (4-16)</t>
  </si>
  <si>
    <t>Feed (17-19)</t>
  </si>
  <si>
    <t>Forestry (20-22)</t>
  </si>
  <si>
    <t>Fish (23-25)</t>
  </si>
  <si>
    <t>Fossil fuels (26-35)</t>
  </si>
  <si>
    <t>Metallic (36-50)</t>
  </si>
  <si>
    <t>Non-metallic (51-64)</t>
  </si>
  <si>
    <t>Total material</t>
  </si>
  <si>
    <t>Environmental Coefficient E</t>
  </si>
  <si>
    <t>Multiplier</t>
  </si>
  <si>
    <t>1/x hat Matrix</t>
  </si>
  <si>
    <t>E-hat GHG</t>
  </si>
  <si>
    <t>Technical Coefficient Matrix A</t>
  </si>
  <si>
    <t>E-hat Mass (Plants)</t>
  </si>
  <si>
    <t>Identity Matrix 1</t>
  </si>
  <si>
    <t>E-hat Mass (Feed)</t>
  </si>
  <si>
    <t>1-A</t>
  </si>
  <si>
    <t>E_hat_GHG*L*Y_hat</t>
  </si>
  <si>
    <t>Direct output</t>
  </si>
  <si>
    <t>Leontif Inverse Matrix L</t>
  </si>
  <si>
    <t>Footprint</t>
  </si>
  <si>
    <t>E_hat_Mat*L*Y_hat (Plants)</t>
  </si>
  <si>
    <t>y-hat Matrix</t>
  </si>
  <si>
    <t>E_hat_Mat*L*Y_hat (Feed)</t>
  </si>
  <si>
    <t>GHG</t>
  </si>
  <si>
    <t>Totals</t>
  </si>
  <si>
    <t>Mat (Plants)</t>
  </si>
  <si>
    <t>Mat (Feed)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</si>
</sst>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C189F7"/>
        <bgColor rgb="FFC189F7"/>
      </patternFill>
    </fill>
    <fill>
      <patternFill patternType="solid">
        <fgColor rgb="FFF6C3FF"/>
        <bgColor rgb="FFF6C3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DD6EE"/>
        <bgColor rgb="FFBDD6EE"/>
      </patternFill>
    </fill>
    <fill>
      <patternFill patternType="solid">
        <fgColor rgb="FFE8E8E8"/>
        <bgColor rgb="FFE8E8E8"/>
      </patternFill>
    </fill>
    <fill>
      <patternFill patternType="solid">
        <fgColor rgb="FF9CC2E5"/>
        <bgColor rgb="FF9CC2E5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FCAAAA"/>
        <bgColor rgb="FFFCAAAA"/>
      </patternFill>
    </fill>
    <fill>
      <patternFill patternType="solid">
        <fgColor rgb="FFFED6D6"/>
        <bgColor rgb="FFFED6D6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2" fontId="1" numFmtId="0" xfId="0" applyAlignment="1" applyBorder="1" applyFill="1" applyFont="1">
      <alignment horizontal="left" vertical="top"/>
    </xf>
    <xf borderId="1" fillId="3" fontId="1" numFmtId="0" xfId="0" applyAlignment="1" applyBorder="1" applyFill="1" applyFont="1">
      <alignment horizontal="left" vertical="top"/>
    </xf>
    <xf borderId="0" fillId="0" fontId="3" numFmtId="0" xfId="0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4" fontId="3" numFmtId="0" xfId="0" applyBorder="1" applyFill="1" applyFont="1"/>
    <xf borderId="9" fillId="5" fontId="3" numFmtId="0" xfId="0" applyBorder="1" applyFill="1" applyFont="1"/>
    <xf borderId="4" fillId="0" fontId="1" numFmtId="0" xfId="0" applyAlignment="1" applyBorder="1" applyFont="1">
      <alignment horizontal="center" vertical="top"/>
    </xf>
    <xf borderId="10" fillId="0" fontId="2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4" fontId="3" numFmtId="0" xfId="0" applyBorder="1" applyFont="1"/>
    <xf borderId="13" fillId="5" fontId="3" numFmtId="0" xfId="0" applyBorder="1" applyFont="1"/>
    <xf borderId="14" fillId="0" fontId="2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3" fillId="0" fontId="1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 vertical="top"/>
    </xf>
    <xf borderId="18" fillId="4" fontId="3" numFmtId="0" xfId="0" applyBorder="1" applyFont="1"/>
    <xf borderId="18" fillId="5" fontId="3" numFmtId="0" xfId="0" applyBorder="1" applyFont="1"/>
    <xf borderId="9" fillId="6" fontId="1" numFmtId="0" xfId="0" applyAlignment="1" applyBorder="1" applyFill="1" applyFont="1">
      <alignment horizontal="left" vertical="top"/>
    </xf>
    <xf borderId="19" fillId="7" fontId="3" numFmtId="0" xfId="0" applyBorder="1" applyFill="1" applyFont="1"/>
    <xf borderId="20" fillId="7" fontId="3" numFmtId="0" xfId="0" applyBorder="1" applyFont="1"/>
    <xf borderId="21" fillId="7" fontId="3" numFmtId="0" xfId="0" applyBorder="1" applyFont="1"/>
    <xf borderId="13" fillId="3" fontId="1" numFmtId="0" xfId="0" applyAlignment="1" applyBorder="1" applyFont="1">
      <alignment horizontal="left" vertical="top"/>
    </xf>
    <xf borderId="21" fillId="5" fontId="3" numFmtId="0" xfId="0" applyBorder="1" applyFont="1"/>
    <xf borderId="22" fillId="5" fontId="3" numFmtId="0" xfId="0" applyBorder="1" applyFont="1"/>
    <xf borderId="18" fillId="8" fontId="1" numFmtId="0" xfId="0" applyAlignment="1" applyBorder="1" applyFill="1" applyFont="1">
      <alignment horizontal="left" vertical="top"/>
    </xf>
    <xf borderId="23" fillId="9" fontId="3" numFmtId="0" xfId="0" applyBorder="1" applyFill="1" applyFont="1"/>
    <xf borderId="24" fillId="9" fontId="3" numFmtId="0" xfId="0" applyBorder="1" applyFont="1"/>
    <xf borderId="21" fillId="6" fontId="1" numFmtId="0" xfId="0" applyAlignment="1" applyBorder="1" applyFont="1">
      <alignment horizontal="left" vertical="top"/>
    </xf>
    <xf borderId="21" fillId="6" fontId="3" numFmtId="0" xfId="0" applyBorder="1" applyFont="1"/>
    <xf borderId="25" fillId="10" fontId="3" numFmtId="0" xfId="0" applyAlignment="1" applyBorder="1" applyFill="1" applyFont="1">
      <alignment readingOrder="0"/>
    </xf>
    <xf borderId="19" fillId="11" fontId="3" numFmtId="0" xfId="0" applyAlignment="1" applyBorder="1" applyFill="1" applyFont="1">
      <alignment readingOrder="0"/>
    </xf>
    <xf borderId="21" fillId="11" fontId="3" numFmtId="0" xfId="0" applyAlignment="1" applyBorder="1" applyFont="1">
      <alignment readingOrder="0"/>
    </xf>
    <xf borderId="20" fillId="11" fontId="3" numFmtId="0" xfId="0" applyAlignment="1" applyBorder="1" applyFont="1">
      <alignment readingOrder="0"/>
    </xf>
    <xf borderId="26" fillId="12" fontId="3" numFmtId="0" xfId="0" applyAlignment="1" applyBorder="1" applyFill="1" applyFont="1">
      <alignment readingOrder="0"/>
    </xf>
    <xf borderId="22" fillId="11" fontId="3" numFmtId="0" xfId="0" applyAlignment="1" applyBorder="1" applyFont="1">
      <alignment readingOrder="0"/>
    </xf>
    <xf borderId="26" fillId="13" fontId="3" numFmtId="0" xfId="0" applyAlignment="1" applyBorder="1" applyFill="1" applyFont="1">
      <alignment readingOrder="0"/>
    </xf>
    <xf borderId="26" fillId="14" fontId="3" numFmtId="0" xfId="0" applyAlignment="1" applyBorder="1" applyFill="1" applyFont="1">
      <alignment readingOrder="0"/>
    </xf>
    <xf borderId="26" fillId="15" fontId="3" numFmtId="0" xfId="0" applyAlignment="1" applyBorder="1" applyFill="1" applyFont="1">
      <alignment readingOrder="0"/>
    </xf>
    <xf borderId="23" fillId="11" fontId="3" numFmtId="0" xfId="0" applyBorder="1" applyFont="1"/>
    <xf borderId="0" fillId="0" fontId="4" numFmtId="0" xfId="0" applyFont="1"/>
    <xf borderId="14" fillId="0" fontId="1" numFmtId="0" xfId="0" applyAlignment="1" applyBorder="1" applyFont="1">
      <alignment horizontal="center" vertical="top"/>
    </xf>
    <xf borderId="21" fillId="16" fontId="1" numFmtId="0" xfId="0" applyBorder="1" applyFill="1" applyFont="1"/>
    <xf borderId="21" fillId="16" fontId="3" numFmtId="0" xfId="0" applyBorder="1" applyFont="1"/>
    <xf borderId="25" fillId="10" fontId="3" numFmtId="0" xfId="0" applyBorder="1" applyFont="1"/>
    <xf borderId="26" fillId="12" fontId="3" numFmtId="0" xfId="0" applyBorder="1" applyFont="1"/>
    <xf borderId="26" fillId="13" fontId="3" numFmtId="0" xfId="0" applyBorder="1" applyFont="1"/>
    <xf borderId="26" fillId="14" fontId="3" numFmtId="0" xfId="0" applyBorder="1" applyFont="1"/>
    <xf borderId="26" fillId="15" fontId="3" numFmtId="0" xfId="0" applyBorder="1" applyFont="1"/>
    <xf borderId="21" fillId="17" fontId="1" numFmtId="0" xfId="0" applyBorder="1" applyFill="1" applyFont="1"/>
    <xf borderId="21" fillId="17" fontId="3" numFmtId="0" xfId="0" applyBorder="1" applyFont="1"/>
    <xf borderId="21" fillId="18" fontId="1" numFmtId="0" xfId="0" applyBorder="1" applyFill="1" applyFont="1"/>
    <xf borderId="21" fillId="18" fontId="3" numFmtId="0" xfId="0" applyBorder="1" applyFont="1"/>
    <xf borderId="1" fillId="0" fontId="1" numFmtId="0" xfId="0" applyBorder="1" applyFont="1"/>
    <xf borderId="1" fillId="0" fontId="3" numFmtId="0" xfId="0" applyBorder="1" applyFont="1"/>
    <xf borderId="1" fillId="19" fontId="3" numFmtId="0" xfId="0" applyBorder="1" applyFill="1" applyFont="1"/>
    <xf borderId="1" fillId="20" fontId="3" numFmtId="0" xfId="0" applyBorder="1" applyFill="1" applyFont="1"/>
    <xf borderId="21" fillId="21" fontId="1" numFmtId="0" xfId="0" applyBorder="1" applyFill="1" applyFont="1"/>
    <xf borderId="21" fillId="21" fontId="3" numFmtId="0" xfId="0" applyBorder="1" applyFont="1"/>
    <xf borderId="1" fillId="22" fontId="3" numFmtId="0" xfId="0" applyBorder="1" applyFill="1" applyFont="1"/>
    <xf borderId="21" fillId="23" fontId="1" numFmtId="0" xfId="0" applyBorder="1" applyFill="1" applyFont="1"/>
    <xf borderId="21" fillId="23" fontId="3" numFmtId="0" xfId="0" applyBorder="1" applyFont="1"/>
    <xf borderId="0" fillId="0" fontId="1" numFmtId="0" xfId="0" applyFont="1"/>
    <xf borderId="1" fillId="24" fontId="3" numFmtId="0" xfId="0" applyBorder="1" applyFill="1" applyFont="1"/>
    <xf borderId="5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21" fillId="25" fontId="1" numFmtId="0" xfId="0" applyBorder="1" applyFill="1" applyFont="1"/>
    <xf borderId="21" fillId="25" fontId="3" numFmtId="0" xfId="0" applyBorder="1" applyFont="1"/>
    <xf borderId="1" fillId="26" fontId="3" numFmtId="0" xfId="0" applyBorder="1" applyFill="1" applyFont="1"/>
    <xf borderId="21" fillId="2" fontId="1" numFmtId="0" xfId="0" applyBorder="1" applyFont="1"/>
    <xf borderId="21" fillId="2" fontId="3" numFmtId="0" xfId="0" applyBorder="1" applyFont="1"/>
    <xf borderId="1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AT Mat (Plants)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Graphs!$C$36:$P$36</c:f>
            </c:strRef>
          </c:cat>
          <c:val>
            <c:numRef>
              <c:f>Graphs!$C$37:$P$37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Graphs!$C$36:$P$36</c:f>
            </c:strRef>
          </c:cat>
          <c:val>
            <c:numRef>
              <c:f>Graphs!$C$38:$P$38</c:f>
              <c:numCache/>
            </c:numRef>
          </c:val>
        </c:ser>
        <c:axId val="494326397"/>
        <c:axId val="31162770"/>
      </c:barChart>
      <c:catAx>
        <c:axId val="494326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162770"/>
      </c:catAx>
      <c:valAx>
        <c:axId val="31162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43263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AT Mat (Feed)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Graphs!$C$70:$P$70</c:f>
            </c:strRef>
          </c:cat>
          <c:val>
            <c:numRef>
              <c:f>Graphs!$C$71:$P$71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Graphs!$C$70:$P$70</c:f>
            </c:strRef>
          </c:cat>
          <c:val>
            <c:numRef>
              <c:f>Graphs!$C$72:$P$72</c:f>
              <c:numCache/>
            </c:numRef>
          </c:val>
        </c:ser>
        <c:axId val="1338088289"/>
        <c:axId val="573937584"/>
      </c:barChart>
      <c:catAx>
        <c:axId val="1338088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3937584"/>
      </c:catAx>
      <c:valAx>
        <c:axId val="573937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808828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WBAT GHG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Graphs!$R$2:$AE$2</c:f>
            </c:strRef>
          </c:cat>
          <c:val>
            <c:numRef>
              <c:f>Graphs!$R$3:$AE$3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Graphs!$R$2:$AE$2</c:f>
            </c:strRef>
          </c:cat>
          <c:val>
            <c:numRef>
              <c:f>Graphs!$R$4:$AE$4</c:f>
              <c:numCache/>
            </c:numRef>
          </c:val>
        </c:ser>
        <c:axId val="702865336"/>
        <c:axId val="1162391051"/>
      </c:barChart>
      <c:catAx>
        <c:axId val="702865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2391051"/>
      </c:catAx>
      <c:valAx>
        <c:axId val="1162391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28653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AT GHG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Graphs!$C$2:$P$2</c:f>
            </c:strRef>
          </c:cat>
          <c:val>
            <c:numRef>
              <c:f>Graphs!$C$3:$P$3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Graphs!$C$2:$P$2</c:f>
            </c:strRef>
          </c:cat>
          <c:val>
            <c:numRef>
              <c:f>Graphs!$C$4:$P$4</c:f>
              <c:numCache/>
            </c:numRef>
          </c:val>
        </c:ser>
        <c:axId val="1321434769"/>
        <c:axId val="1386377356"/>
      </c:barChart>
      <c:catAx>
        <c:axId val="1321434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6377356"/>
      </c:catAx>
      <c:valAx>
        <c:axId val="1386377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143476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WBAT Mat (Plants)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Graphs!$R$36:$AE$36</c:f>
            </c:strRef>
          </c:cat>
          <c:val>
            <c:numRef>
              <c:f>Graphs!$R$37:$AE$37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Graphs!$R$36:$AE$36</c:f>
            </c:strRef>
          </c:cat>
          <c:val>
            <c:numRef>
              <c:f>Graphs!$R$38:$AE$38</c:f>
              <c:numCache/>
            </c:numRef>
          </c:val>
        </c:ser>
        <c:axId val="139865321"/>
        <c:axId val="1789496969"/>
      </c:barChart>
      <c:catAx>
        <c:axId val="139865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9496969"/>
      </c:catAx>
      <c:valAx>
        <c:axId val="1789496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8653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WBAT Mat (Feed)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Footprint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Graphs!$R$70:$AE$70</c:f>
            </c:strRef>
          </c:cat>
          <c:val>
            <c:numRef>
              <c:f>Graphs!$R$71:$AE$71</c:f>
              <c:numCache/>
            </c:numRef>
          </c:val>
        </c:ser>
        <c:ser>
          <c:idx val="1"/>
          <c:order val="1"/>
          <c:tx>
            <c:v>Direct output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Graphs!$R$70:$AE$70</c:f>
            </c:strRef>
          </c:cat>
          <c:val>
            <c:numRef>
              <c:f>Graphs!$R$72:$AE$72</c:f>
              <c:numCache/>
            </c:numRef>
          </c:val>
        </c:ser>
        <c:axId val="760504102"/>
        <c:axId val="293798395"/>
      </c:barChart>
      <c:catAx>
        <c:axId val="760504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3798395"/>
      </c:catAx>
      <c:valAx>
        <c:axId val="293798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050410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38</xdr:row>
      <xdr:rowOff>19050</xdr:rowOff>
    </xdr:from>
    <xdr:ext cx="9877425" cy="5353050"/>
    <xdr:graphicFrame>
      <xdr:nvGraphicFramePr>
        <xdr:cNvPr id="201737407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161925</xdr:colOff>
      <xdr:row>72</xdr:row>
      <xdr:rowOff>66675</xdr:rowOff>
    </xdr:from>
    <xdr:ext cx="10258425" cy="5353050"/>
    <xdr:graphicFrame>
      <xdr:nvGraphicFramePr>
        <xdr:cNvPr id="786403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28575</xdr:colOff>
      <xdr:row>4</xdr:row>
      <xdr:rowOff>66675</xdr:rowOff>
    </xdr:from>
    <xdr:ext cx="12801600" cy="5305425"/>
    <xdr:graphicFrame>
      <xdr:nvGraphicFramePr>
        <xdr:cNvPr id="69444267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971550</xdr:colOff>
      <xdr:row>4</xdr:row>
      <xdr:rowOff>76200</xdr:rowOff>
    </xdr:from>
    <xdr:ext cx="10401300" cy="5267325"/>
    <xdr:graphicFrame>
      <xdr:nvGraphicFramePr>
        <xdr:cNvPr id="23058716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0</xdr:colOff>
      <xdr:row>38</xdr:row>
      <xdr:rowOff>9525</xdr:rowOff>
    </xdr:from>
    <xdr:ext cx="11887200" cy="5400675"/>
    <xdr:graphicFrame>
      <xdr:nvGraphicFramePr>
        <xdr:cNvPr id="92173317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28575</xdr:colOff>
      <xdr:row>72</xdr:row>
      <xdr:rowOff>19050</xdr:rowOff>
    </xdr:from>
    <xdr:ext cx="12163425" cy="5410200"/>
    <xdr:graphicFrame>
      <xdr:nvGraphicFramePr>
        <xdr:cNvPr id="199768774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7.57"/>
    <col customWidth="1" min="3" max="3" width="11.86"/>
    <col customWidth="1" min="4" max="4" width="12.14"/>
    <col customWidth="1" min="5" max="5" width="11.57"/>
    <col customWidth="1" min="6" max="6" width="24.86"/>
    <col customWidth="1" min="7" max="7" width="26.43"/>
    <col customWidth="1" min="8" max="8" width="10.71"/>
    <col customWidth="1" min="9" max="9" width="20.57"/>
    <col customWidth="1" min="10" max="10" width="11.71"/>
    <col customWidth="1" min="11" max="11" width="11.86"/>
    <col customWidth="1" min="12" max="12" width="18.86"/>
    <col customWidth="1" min="13" max="13" width="11.0"/>
    <col customWidth="1" min="14" max="14" width="10.29"/>
    <col customWidth="1" min="15" max="16" width="11.86"/>
    <col customWidth="1" min="17" max="17" width="12.14"/>
    <col customWidth="1" min="18" max="18" width="12.0"/>
    <col customWidth="1" min="19" max="20" width="10.86"/>
    <col customWidth="1" min="21" max="21" width="11.57"/>
    <col customWidth="1" min="22" max="22" width="11.86"/>
    <col customWidth="1" min="23" max="24" width="11.57"/>
    <col customWidth="1" min="25" max="25" width="10.14"/>
    <col customWidth="1" min="26" max="26" width="9.43"/>
    <col customWidth="1" min="27" max="27" width="9.71"/>
    <col customWidth="1" min="28" max="30" width="11.71"/>
    <col customWidth="1" min="49" max="49" width="25.57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2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2" t="s">
        <v>1</v>
      </c>
      <c r="AF1" s="3"/>
      <c r="AG1" s="3"/>
      <c r="AH1" s="3"/>
      <c r="AI1" s="3"/>
      <c r="AJ1" s="3"/>
      <c r="AK1" s="4"/>
      <c r="AL1" s="2" t="s">
        <v>2</v>
      </c>
      <c r="AM1" s="3"/>
      <c r="AN1" s="3"/>
      <c r="AO1" s="3"/>
      <c r="AP1" s="3"/>
      <c r="AQ1" s="3"/>
      <c r="AR1" s="4"/>
      <c r="AW1" s="1" t="s">
        <v>0</v>
      </c>
    </row>
    <row r="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  <c r="AD2" s="5" t="s">
        <v>17</v>
      </c>
      <c r="AE2" s="1" t="s">
        <v>18</v>
      </c>
      <c r="AF2" s="1" t="s">
        <v>19</v>
      </c>
      <c r="AG2" s="1" t="s">
        <v>20</v>
      </c>
      <c r="AH2" s="1" t="s">
        <v>21</v>
      </c>
      <c r="AI2" s="1" t="s">
        <v>22</v>
      </c>
      <c r="AJ2" s="1" t="s">
        <v>23</v>
      </c>
      <c r="AK2" s="1" t="s">
        <v>24</v>
      </c>
      <c r="AL2" s="5" t="s">
        <v>18</v>
      </c>
      <c r="AM2" s="5" t="s">
        <v>19</v>
      </c>
      <c r="AN2" s="5" t="s">
        <v>20</v>
      </c>
      <c r="AO2" s="5" t="s">
        <v>21</v>
      </c>
      <c r="AP2" s="5" t="s">
        <v>22</v>
      </c>
      <c r="AQ2" s="5" t="s">
        <v>23</v>
      </c>
      <c r="AR2" s="5" t="s">
        <v>24</v>
      </c>
      <c r="AS2" s="6" t="s">
        <v>25</v>
      </c>
      <c r="AT2" s="6" t="s">
        <v>26</v>
      </c>
      <c r="AU2" s="7" t="s">
        <v>27</v>
      </c>
      <c r="AV2" s="8" t="s">
        <v>28</v>
      </c>
      <c r="AW2" s="1" t="s">
        <v>3</v>
      </c>
      <c r="AX2" s="1" t="s">
        <v>0</v>
      </c>
    </row>
    <row r="3">
      <c r="A3" s="5" t="s">
        <v>1</v>
      </c>
      <c r="B3" s="1" t="s">
        <v>4</v>
      </c>
      <c r="C3" s="9">
        <v>230.6825588427182</v>
      </c>
      <c r="D3" s="9">
        <v>654.3442168219483</v>
      </c>
      <c r="E3" s="9">
        <v>327.4707849464996</v>
      </c>
      <c r="F3" s="9">
        <v>0.04654267067515479</v>
      </c>
      <c r="G3" s="9">
        <v>67.0539324673578</v>
      </c>
      <c r="H3" s="9">
        <v>0.0030308331385438</v>
      </c>
      <c r="I3" s="9">
        <v>0.11128201179599</v>
      </c>
      <c r="J3" s="9">
        <v>55.34304704974451</v>
      </c>
      <c r="K3" s="9">
        <v>0.0271263598617762</v>
      </c>
      <c r="L3" s="9">
        <v>24.38816253123899</v>
      </c>
      <c r="M3" s="9">
        <v>32.10877986682696</v>
      </c>
      <c r="N3" s="9">
        <v>0.005571896243849099</v>
      </c>
      <c r="O3" s="9">
        <v>0.00826059190177</v>
      </c>
      <c r="P3" s="9">
        <v>78.2820970824405</v>
      </c>
      <c r="Q3" s="10">
        <v>40.30720739203209</v>
      </c>
      <c r="R3" s="11">
        <v>67.66336943543497</v>
      </c>
      <c r="S3" s="11">
        <v>211.8866897520539</v>
      </c>
      <c r="T3" s="11">
        <v>4.653765603528827</v>
      </c>
      <c r="U3" s="11">
        <v>418.4717903308639</v>
      </c>
      <c r="V3" s="11">
        <v>0.6702289584321992</v>
      </c>
      <c r="W3" s="11">
        <v>17.87202854023849</v>
      </c>
      <c r="X3" s="11">
        <v>165.1393429924308</v>
      </c>
      <c r="Y3" s="11">
        <v>4.185157214728063</v>
      </c>
      <c r="Z3" s="11">
        <v>66.78056917350628</v>
      </c>
      <c r="AA3" s="11">
        <v>195.4649021118397</v>
      </c>
      <c r="AB3" s="11">
        <v>1.458538759546562</v>
      </c>
      <c r="AC3" s="11">
        <v>0.04394830551274112</v>
      </c>
      <c r="AD3" s="12">
        <v>65.56035528430286</v>
      </c>
      <c r="AE3" s="9">
        <v>462.26954373294</v>
      </c>
      <c r="AF3" s="9">
        <v>7.31443873378E-4</v>
      </c>
      <c r="AG3" s="9">
        <v>0.0452800470749373</v>
      </c>
      <c r="AH3" s="9">
        <v>31.99376784449027</v>
      </c>
      <c r="AI3" s="9">
        <v>7.419107842632901</v>
      </c>
      <c r="AJ3" s="9">
        <v>2.41139494014469</v>
      </c>
      <c r="AK3" s="9">
        <v>0.0</v>
      </c>
      <c r="AL3" s="10">
        <v>636.9865086661871</v>
      </c>
      <c r="AM3" s="11">
        <v>0.02299175326345493</v>
      </c>
      <c r="AN3" s="11">
        <v>3.654546038884813</v>
      </c>
      <c r="AO3" s="11">
        <v>0.7648449913303524</v>
      </c>
      <c r="AP3" s="11">
        <v>177.9850180194541</v>
      </c>
      <c r="AQ3" s="11">
        <v>0.04771269979099789</v>
      </c>
      <c r="AR3" s="12">
        <v>0.0</v>
      </c>
      <c r="AS3" s="10">
        <f t="shared" ref="AS3:AS15" si="1">SUM(AE3:AK3)</f>
        <v>504.1398259</v>
      </c>
      <c r="AT3" s="11">
        <f t="shared" ref="AT3:AT15" si="2">SUM(AL3:AR3)</f>
        <v>819.4616222</v>
      </c>
      <c r="AU3" s="13">
        <f t="shared" ref="AU3:AU30" si="3">AS3+AT3</f>
        <v>1323.601448</v>
      </c>
      <c r="AV3" s="14">
        <f t="shared" ref="AV3:AV30" si="4">SUM(C3:AR3)</f>
        <v>4053.634736</v>
      </c>
      <c r="AW3" s="15" t="s">
        <v>4</v>
      </c>
      <c r="AX3" s="5" t="s">
        <v>1</v>
      </c>
    </row>
    <row r="4">
      <c r="A4" s="16"/>
      <c r="B4" s="1" t="s">
        <v>5</v>
      </c>
      <c r="C4" s="9">
        <v>0.211728498510648</v>
      </c>
      <c r="D4" s="9">
        <v>27.85990925091272</v>
      </c>
      <c r="E4" s="9">
        <v>107.3157000351616</v>
      </c>
      <c r="F4" s="9">
        <v>3.952821991690596</v>
      </c>
      <c r="G4" s="9">
        <v>170.688398095833</v>
      </c>
      <c r="H4" s="9">
        <v>1.355557075668951</v>
      </c>
      <c r="I4" s="9">
        <v>0.215076779341094</v>
      </c>
      <c r="J4" s="9">
        <v>32.19101598853251</v>
      </c>
      <c r="K4" s="9">
        <v>0.02548544020810156</v>
      </c>
      <c r="L4" s="9">
        <v>39.60290216324197</v>
      </c>
      <c r="M4" s="9">
        <v>87.24659664426952</v>
      </c>
      <c r="N4" s="9">
        <v>2.623549040340432</v>
      </c>
      <c r="O4" s="9">
        <v>0.0444661386321143</v>
      </c>
      <c r="P4" s="9">
        <v>288.734505261003</v>
      </c>
      <c r="Q4" s="17">
        <v>4.900747926812905</v>
      </c>
      <c r="R4" s="9">
        <v>72.05881626652797</v>
      </c>
      <c r="S4" s="9">
        <v>82.9424059295448</v>
      </c>
      <c r="T4" s="9">
        <v>30.55794117905194</v>
      </c>
      <c r="U4" s="9">
        <v>224.5842545731643</v>
      </c>
      <c r="V4" s="9">
        <v>0.2765588588676304</v>
      </c>
      <c r="W4" s="9">
        <v>26.5548145342251</v>
      </c>
      <c r="X4" s="9">
        <v>121.3129040440744</v>
      </c>
      <c r="Y4" s="9">
        <v>9.308016346244015</v>
      </c>
      <c r="Z4" s="9">
        <v>148.8095778653868</v>
      </c>
      <c r="AA4" s="9">
        <v>203.1610248167022</v>
      </c>
      <c r="AB4" s="9">
        <v>5.317702552292162</v>
      </c>
      <c r="AC4" s="9">
        <v>0.3594506954758016</v>
      </c>
      <c r="AD4" s="18">
        <v>463.358488549552</v>
      </c>
      <c r="AE4" s="9">
        <v>921.34975180174</v>
      </c>
      <c r="AF4" s="9">
        <v>0.02214475944812184</v>
      </c>
      <c r="AG4" s="9">
        <v>2.81175743743965</v>
      </c>
      <c r="AH4" s="9">
        <v>10.0939566990579</v>
      </c>
      <c r="AI4" s="9">
        <v>3.34959379620186</v>
      </c>
      <c r="AJ4" s="9">
        <v>1.01871152681364</v>
      </c>
      <c r="AK4" s="9">
        <v>0.0</v>
      </c>
      <c r="AL4" s="17">
        <v>2553.031774156392</v>
      </c>
      <c r="AM4" s="9">
        <v>0.4028888463207095</v>
      </c>
      <c r="AN4" s="9">
        <v>2.032167501864795</v>
      </c>
      <c r="AO4" s="9">
        <v>1.83930763742036</v>
      </c>
      <c r="AP4" s="9">
        <v>19.88039017845599</v>
      </c>
      <c r="AQ4" s="9">
        <v>0.6193169968270493</v>
      </c>
      <c r="AR4" s="18">
        <v>0.0</v>
      </c>
      <c r="AS4" s="17">
        <f t="shared" si="1"/>
        <v>938.645916</v>
      </c>
      <c r="AT4" s="9">
        <f t="shared" si="2"/>
        <v>2577.805845</v>
      </c>
      <c r="AU4" s="19">
        <f t="shared" si="3"/>
        <v>3516.451761</v>
      </c>
      <c r="AV4" s="20">
        <f t="shared" si="4"/>
        <v>5672.022178</v>
      </c>
      <c r="AW4" s="15" t="s">
        <v>5</v>
      </c>
      <c r="AX4" s="16"/>
    </row>
    <row r="5">
      <c r="A5" s="16"/>
      <c r="B5" s="1" t="s">
        <v>6</v>
      </c>
      <c r="C5" s="9">
        <v>0.1695103931088819</v>
      </c>
      <c r="D5" s="9">
        <v>1.444456961560928</v>
      </c>
      <c r="E5" s="9">
        <v>11.70119233429133</v>
      </c>
      <c r="F5" s="9">
        <v>844.6913707519323</v>
      </c>
      <c r="G5" s="9">
        <v>277.7325735813</v>
      </c>
      <c r="H5" s="9">
        <v>0.19585693981851</v>
      </c>
      <c r="I5" s="9">
        <v>0.253008871149416</v>
      </c>
      <c r="J5" s="9">
        <v>29.78388260613794</v>
      </c>
      <c r="K5" s="9">
        <v>4.59980198801896</v>
      </c>
      <c r="L5" s="9">
        <v>392.2577576742346</v>
      </c>
      <c r="M5" s="9">
        <v>31.4970288309463</v>
      </c>
      <c r="N5" s="9">
        <v>0.3828206706836231</v>
      </c>
      <c r="O5" s="9">
        <v>0.1582082851399</v>
      </c>
      <c r="P5" s="9">
        <v>57.45537546522399</v>
      </c>
      <c r="Q5" s="17">
        <v>0.4984975803256112</v>
      </c>
      <c r="R5" s="9">
        <v>2.932525870364256</v>
      </c>
      <c r="S5" s="9">
        <v>12.00277812437471</v>
      </c>
      <c r="T5" s="9">
        <v>81.23728591918679</v>
      </c>
      <c r="U5" s="9">
        <v>25.14082990075135</v>
      </c>
      <c r="V5" s="9">
        <v>0.842294984932878</v>
      </c>
      <c r="W5" s="9">
        <v>1.897815967753675</v>
      </c>
      <c r="X5" s="9">
        <v>115.7698226031406</v>
      </c>
      <c r="Y5" s="9">
        <v>8.712008598710863</v>
      </c>
      <c r="Z5" s="9">
        <v>62.59940418354575</v>
      </c>
      <c r="AA5" s="9">
        <v>54.23465383065651</v>
      </c>
      <c r="AB5" s="9">
        <v>3.113366354049413</v>
      </c>
      <c r="AC5" s="9">
        <v>0.04385910551496764</v>
      </c>
      <c r="AD5" s="18">
        <v>12.68987181255881</v>
      </c>
      <c r="AE5" s="9">
        <v>695.64016024556</v>
      </c>
      <c r="AF5" s="9">
        <v>0.0956286900434</v>
      </c>
      <c r="AG5" s="9">
        <v>30.24559591718313</v>
      </c>
      <c r="AH5" s="9">
        <v>1221.937853143195</v>
      </c>
      <c r="AI5" s="9">
        <v>9.095737590372465</v>
      </c>
      <c r="AJ5" s="9">
        <v>2.148371080436415</v>
      </c>
      <c r="AK5" s="9">
        <v>0.0</v>
      </c>
      <c r="AL5" s="17">
        <v>197.8533029881214</v>
      </c>
      <c r="AM5" s="9">
        <v>3.69487030151954</v>
      </c>
      <c r="AN5" s="9">
        <v>3.238761790470058</v>
      </c>
      <c r="AO5" s="9">
        <v>55.72758786367015</v>
      </c>
      <c r="AP5" s="9">
        <v>47.22766151478891</v>
      </c>
      <c r="AQ5" s="9">
        <v>6.857331209931306</v>
      </c>
      <c r="AR5" s="18">
        <v>0.0</v>
      </c>
      <c r="AS5" s="17">
        <f t="shared" si="1"/>
        <v>1959.163347</v>
      </c>
      <c r="AT5" s="9">
        <f t="shared" si="2"/>
        <v>314.5995157</v>
      </c>
      <c r="AU5" s="19">
        <f t="shared" si="3"/>
        <v>2273.762862</v>
      </c>
      <c r="AV5" s="20">
        <f t="shared" si="4"/>
        <v>4307.800723</v>
      </c>
      <c r="AW5" s="15" t="s">
        <v>6</v>
      </c>
      <c r="AX5" s="16"/>
    </row>
    <row r="6">
      <c r="A6" s="16"/>
      <c r="B6" s="1" t="s">
        <v>7</v>
      </c>
      <c r="C6" s="9">
        <v>2.831444991714129</v>
      </c>
      <c r="D6" s="9">
        <v>5.270052725348881</v>
      </c>
      <c r="E6" s="9">
        <v>53.13214710738541</v>
      </c>
      <c r="F6" s="9">
        <v>427.5006634033355</v>
      </c>
      <c r="G6" s="9">
        <v>160.04118807535</v>
      </c>
      <c r="H6" s="9">
        <v>1.086280553992809</v>
      </c>
      <c r="I6" s="9">
        <v>1.760142594834987</v>
      </c>
      <c r="J6" s="9">
        <v>126.5979093192191</v>
      </c>
      <c r="K6" s="9">
        <v>0.4214772068559149</v>
      </c>
      <c r="L6" s="9">
        <v>112.2109017307109</v>
      </c>
      <c r="M6" s="9">
        <v>414.2443971296182</v>
      </c>
      <c r="N6" s="9">
        <v>2.139832915845838</v>
      </c>
      <c r="O6" s="9">
        <v>0.4169688909517</v>
      </c>
      <c r="P6" s="9">
        <v>459.4767224525299</v>
      </c>
      <c r="Q6" s="17">
        <v>20.74597252426317</v>
      </c>
      <c r="R6" s="9">
        <v>8.216159709149212</v>
      </c>
      <c r="S6" s="9">
        <v>45.19712611624707</v>
      </c>
      <c r="T6" s="9">
        <v>591.6325091322241</v>
      </c>
      <c r="U6" s="9">
        <v>270.1100394050391</v>
      </c>
      <c r="V6" s="9">
        <v>1.301886340851253</v>
      </c>
      <c r="W6" s="9">
        <v>30.89146001519529</v>
      </c>
      <c r="X6" s="9">
        <v>267.6062827374382</v>
      </c>
      <c r="Y6" s="9">
        <v>4.766840355020994</v>
      </c>
      <c r="Z6" s="9">
        <v>169.7570622157416</v>
      </c>
      <c r="AA6" s="9">
        <v>303.645189531622</v>
      </c>
      <c r="AB6" s="9">
        <v>2.366067712600422</v>
      </c>
      <c r="AC6" s="9">
        <v>0.5487537855722094</v>
      </c>
      <c r="AD6" s="18">
        <v>325.1102561515387</v>
      </c>
      <c r="AE6" s="9">
        <v>1506.4836687129</v>
      </c>
      <c r="AF6" s="9">
        <v>0.0232505127898673</v>
      </c>
      <c r="AG6" s="9">
        <v>24.6691922082074</v>
      </c>
      <c r="AH6" s="9">
        <v>61.64258728446999</v>
      </c>
      <c r="AI6" s="9">
        <v>9.486454263385301</v>
      </c>
      <c r="AJ6" s="9">
        <v>2.4528548572334</v>
      </c>
      <c r="AK6" s="9">
        <v>0.0</v>
      </c>
      <c r="AL6" s="17">
        <v>2648.915880994884</v>
      </c>
      <c r="AM6" s="9">
        <v>3.600550526843314</v>
      </c>
      <c r="AN6" s="9">
        <v>5.14507242233153</v>
      </c>
      <c r="AO6" s="9">
        <v>6.807631528143199</v>
      </c>
      <c r="AP6" s="9">
        <v>-184.6499897914667</v>
      </c>
      <c r="AQ6" s="9">
        <v>6.867294105025226</v>
      </c>
      <c r="AR6" s="18">
        <v>0.0</v>
      </c>
      <c r="AS6" s="17">
        <f t="shared" si="1"/>
        <v>1604.758008</v>
      </c>
      <c r="AT6" s="9">
        <f t="shared" si="2"/>
        <v>2486.68644</v>
      </c>
      <c r="AU6" s="19">
        <f t="shared" si="3"/>
        <v>4091.444448</v>
      </c>
      <c r="AV6" s="20">
        <f t="shared" si="4"/>
        <v>7900.470182</v>
      </c>
      <c r="AW6" s="15" t="s">
        <v>7</v>
      </c>
      <c r="AX6" s="16"/>
    </row>
    <row r="7">
      <c r="A7" s="16"/>
      <c r="B7" s="1" t="s">
        <v>8</v>
      </c>
      <c r="C7" s="9">
        <v>0.493509445108576</v>
      </c>
      <c r="D7" s="9">
        <v>54.47948182316741</v>
      </c>
      <c r="E7" s="9">
        <v>340.0538204072171</v>
      </c>
      <c r="F7" s="9">
        <v>43.8423209615224</v>
      </c>
      <c r="G7" s="9">
        <v>1265.75667246</v>
      </c>
      <c r="H7" s="9">
        <v>0.5559257526106999</v>
      </c>
      <c r="I7" s="9">
        <v>0.58805680818265</v>
      </c>
      <c r="J7" s="9">
        <v>107.6379643476154</v>
      </c>
      <c r="K7" s="9">
        <v>0.0510879441464</v>
      </c>
      <c r="L7" s="9">
        <v>72.5013800357187</v>
      </c>
      <c r="M7" s="9">
        <v>264.923820029622</v>
      </c>
      <c r="N7" s="9">
        <v>1.09476177985074</v>
      </c>
      <c r="O7" s="9">
        <v>0.120969417439</v>
      </c>
      <c r="P7" s="9">
        <v>749.53394723</v>
      </c>
      <c r="Q7" s="17">
        <v>10.36909839241138</v>
      </c>
      <c r="R7" s="9">
        <v>145.6261931656098</v>
      </c>
      <c r="S7" s="9">
        <v>263.2330327347781</v>
      </c>
      <c r="T7" s="9">
        <v>214.147963806328</v>
      </c>
      <c r="U7" s="9">
        <v>1040.666136370523</v>
      </c>
      <c r="V7" s="9">
        <v>0.7504334700116327</v>
      </c>
      <c r="W7" s="9">
        <v>36.26323035272927</v>
      </c>
      <c r="X7" s="9">
        <v>473.2426988652471</v>
      </c>
      <c r="Y7" s="9">
        <v>16.35614152649908</v>
      </c>
      <c r="Z7" s="9">
        <v>232.7734429022882</v>
      </c>
      <c r="AA7" s="9">
        <v>480.738219381371</v>
      </c>
      <c r="AB7" s="9">
        <v>4.648993775425299</v>
      </c>
      <c r="AC7" s="9">
        <v>0.498252170496936</v>
      </c>
      <c r="AD7" s="18">
        <v>577.2200807125607</v>
      </c>
      <c r="AE7" s="9">
        <v>6136.36344807</v>
      </c>
      <c r="AF7" s="9">
        <v>0.0216546924313</v>
      </c>
      <c r="AG7" s="9">
        <v>8.15614796412</v>
      </c>
      <c r="AH7" s="9">
        <v>41.1239691604</v>
      </c>
      <c r="AI7" s="9">
        <v>15.6341645197</v>
      </c>
      <c r="AJ7" s="9">
        <v>5.13364392191</v>
      </c>
      <c r="AK7" s="9">
        <v>0.0</v>
      </c>
      <c r="AL7" s="17">
        <v>7105.207309014662</v>
      </c>
      <c r="AM7" s="9">
        <v>1.28565190580754</v>
      </c>
      <c r="AN7" s="9">
        <v>13.71362916809966</v>
      </c>
      <c r="AO7" s="9">
        <v>6.895955759551252</v>
      </c>
      <c r="AP7" s="9">
        <v>-32.52702527126959</v>
      </c>
      <c r="AQ7" s="9">
        <v>1.324783744272544</v>
      </c>
      <c r="AR7" s="18">
        <v>0.0</v>
      </c>
      <c r="AS7" s="17">
        <f t="shared" si="1"/>
        <v>6206.433028</v>
      </c>
      <c r="AT7" s="9">
        <f t="shared" si="2"/>
        <v>7095.900304</v>
      </c>
      <c r="AU7" s="19">
        <f t="shared" si="3"/>
        <v>13302.33333</v>
      </c>
      <c r="AV7" s="20">
        <f t="shared" si="4"/>
        <v>19700.50097</v>
      </c>
      <c r="AW7" s="15" t="s">
        <v>8</v>
      </c>
      <c r="AX7" s="16"/>
    </row>
    <row r="8">
      <c r="A8" s="16"/>
      <c r="B8" s="1" t="s">
        <v>9</v>
      </c>
      <c r="C8" s="9">
        <v>33.58089287366703</v>
      </c>
      <c r="D8" s="9">
        <v>3.016944022495765</v>
      </c>
      <c r="E8" s="9">
        <v>1.504930434155945</v>
      </c>
      <c r="F8" s="9">
        <v>11.56261032866159</v>
      </c>
      <c r="G8" s="9">
        <v>5.334164565490999</v>
      </c>
      <c r="H8" s="9">
        <v>280.6696765226648</v>
      </c>
      <c r="I8" s="9">
        <v>3.333115087616119</v>
      </c>
      <c r="J8" s="9">
        <v>257.9287884792816</v>
      </c>
      <c r="K8" s="9">
        <v>0.291495958360279</v>
      </c>
      <c r="L8" s="9">
        <v>186.3918762849617</v>
      </c>
      <c r="M8" s="9">
        <v>904.5864760879349</v>
      </c>
      <c r="N8" s="9">
        <v>551.7256231561212</v>
      </c>
      <c r="O8" s="9">
        <v>1.0748559530929</v>
      </c>
      <c r="P8" s="9">
        <v>22.651082551434</v>
      </c>
      <c r="Q8" s="17">
        <v>1.422474419856741</v>
      </c>
      <c r="R8" s="9">
        <v>0.7613830951166474</v>
      </c>
      <c r="S8" s="9">
        <v>2.555742005037531</v>
      </c>
      <c r="T8" s="9">
        <v>3.94791180616954</v>
      </c>
      <c r="U8" s="9">
        <v>0.9254317693120004</v>
      </c>
      <c r="V8" s="9">
        <v>1.411161446095036</v>
      </c>
      <c r="W8" s="9">
        <v>1.172496255562155</v>
      </c>
      <c r="X8" s="9">
        <v>28.27930673042231</v>
      </c>
      <c r="Y8" s="9">
        <v>0.3560292429748874</v>
      </c>
      <c r="Z8" s="9">
        <v>11.06049879009816</v>
      </c>
      <c r="AA8" s="9">
        <v>11.70575622513904</v>
      </c>
      <c r="AB8" s="9">
        <v>4.230361884662249</v>
      </c>
      <c r="AC8" s="9">
        <v>0.1989376678054957</v>
      </c>
      <c r="AD8" s="18">
        <v>0.8813743562661451</v>
      </c>
      <c r="AE8" s="9">
        <v>42.19037332436501</v>
      </c>
      <c r="AF8" s="9">
        <v>0.03373553244254699</v>
      </c>
      <c r="AG8" s="9">
        <v>5.5730160790782</v>
      </c>
      <c r="AH8" s="9">
        <v>11.550764466616</v>
      </c>
      <c r="AI8" s="9">
        <v>2.1513444972243</v>
      </c>
      <c r="AJ8" s="9">
        <v>0.33941870821963</v>
      </c>
      <c r="AK8" s="9">
        <v>0.0</v>
      </c>
      <c r="AL8" s="17">
        <v>5.161341639574866</v>
      </c>
      <c r="AM8" s="9">
        <v>0.09043336286702382</v>
      </c>
      <c r="AN8" s="9">
        <v>0.9185608210831885</v>
      </c>
      <c r="AO8" s="9">
        <v>1.538076414532215</v>
      </c>
      <c r="AP8" s="9">
        <v>0.4359034961482118</v>
      </c>
      <c r="AQ8" s="9">
        <v>0.1943411404489888</v>
      </c>
      <c r="AR8" s="18">
        <v>0.0</v>
      </c>
      <c r="AS8" s="17">
        <f t="shared" si="1"/>
        <v>61.83865261</v>
      </c>
      <c r="AT8" s="9">
        <f t="shared" si="2"/>
        <v>8.338656875</v>
      </c>
      <c r="AU8" s="19">
        <f t="shared" si="3"/>
        <v>70.17730948</v>
      </c>
      <c r="AV8" s="20">
        <f t="shared" si="4"/>
        <v>2402.738707</v>
      </c>
      <c r="AW8" s="15" t="s">
        <v>9</v>
      </c>
      <c r="AX8" s="16"/>
    </row>
    <row r="9">
      <c r="A9" s="16"/>
      <c r="B9" s="1" t="s">
        <v>10</v>
      </c>
      <c r="C9" s="9">
        <v>45.36131282424528</v>
      </c>
      <c r="D9" s="9">
        <v>22.62895215262993</v>
      </c>
      <c r="E9" s="9">
        <v>17.73572699045586</v>
      </c>
      <c r="F9" s="9">
        <v>16.43747325747489</v>
      </c>
      <c r="G9" s="9">
        <v>14.3896003820097</v>
      </c>
      <c r="H9" s="9">
        <v>23.13833833732107</v>
      </c>
      <c r="I9" s="9">
        <v>1030.949528534216</v>
      </c>
      <c r="J9" s="9">
        <v>2017.035737771999</v>
      </c>
      <c r="K9" s="9">
        <v>19.19537637122243</v>
      </c>
      <c r="L9" s="9">
        <v>516.3769039457376</v>
      </c>
      <c r="M9" s="9">
        <v>292.8064476637134</v>
      </c>
      <c r="N9" s="9">
        <v>43.11902964243559</v>
      </c>
      <c r="O9" s="9">
        <v>1.68841880932867</v>
      </c>
      <c r="P9" s="9">
        <v>158.4009246547331</v>
      </c>
      <c r="Q9" s="17">
        <v>96.4618714452005</v>
      </c>
      <c r="R9" s="9">
        <v>16.32316073827572</v>
      </c>
      <c r="S9" s="9">
        <v>19.95099555318231</v>
      </c>
      <c r="T9" s="9">
        <v>37.78290954185854</v>
      </c>
      <c r="U9" s="9">
        <v>29.3590994447161</v>
      </c>
      <c r="V9" s="9">
        <v>2.355327119765275</v>
      </c>
      <c r="W9" s="9">
        <v>20.90557119099398</v>
      </c>
      <c r="X9" s="9">
        <v>579.182907846251</v>
      </c>
      <c r="Y9" s="9">
        <v>7.298370340444789</v>
      </c>
      <c r="Z9" s="9">
        <v>193.8184751203445</v>
      </c>
      <c r="AA9" s="9">
        <v>83.52217122923365</v>
      </c>
      <c r="AB9" s="9">
        <v>7.487954034863329</v>
      </c>
      <c r="AC9" s="9">
        <v>2.838690655143451</v>
      </c>
      <c r="AD9" s="18">
        <v>60.22854429469642</v>
      </c>
      <c r="AE9" s="9">
        <v>725.0977191039</v>
      </c>
      <c r="AF9" s="9">
        <v>0.01935723415516077</v>
      </c>
      <c r="AG9" s="9">
        <v>23.7000022314734</v>
      </c>
      <c r="AH9" s="9">
        <v>134.986216157357</v>
      </c>
      <c r="AI9" s="9">
        <v>57.33814368928226</v>
      </c>
      <c r="AJ9" s="9">
        <v>-5.538835757762952</v>
      </c>
      <c r="AK9" s="9">
        <v>0.0</v>
      </c>
      <c r="AL9" s="17">
        <v>466.4587744112534</v>
      </c>
      <c r="AM9" s="9">
        <v>0.252955580578664</v>
      </c>
      <c r="AN9" s="9">
        <v>3.963291283760074</v>
      </c>
      <c r="AO9" s="9">
        <v>12.78098708119538</v>
      </c>
      <c r="AP9" s="9">
        <v>170.4893940020283</v>
      </c>
      <c r="AQ9" s="9">
        <v>0.3079729900220162</v>
      </c>
      <c r="AR9" s="18">
        <v>0.0</v>
      </c>
      <c r="AS9" s="17">
        <f t="shared" si="1"/>
        <v>935.6026027</v>
      </c>
      <c r="AT9" s="9">
        <f t="shared" si="2"/>
        <v>654.2533753</v>
      </c>
      <c r="AU9" s="19">
        <f t="shared" si="3"/>
        <v>1589.855978</v>
      </c>
      <c r="AV9" s="20">
        <f t="shared" si="4"/>
        <v>6966.635798</v>
      </c>
      <c r="AW9" s="15" t="s">
        <v>10</v>
      </c>
      <c r="AX9" s="16"/>
    </row>
    <row r="10">
      <c r="A10" s="16"/>
      <c r="B10" s="1" t="s">
        <v>11</v>
      </c>
      <c r="C10" s="9">
        <v>419.0808512079473</v>
      </c>
      <c r="D10" s="9">
        <v>448.0305082557286</v>
      </c>
      <c r="E10" s="9">
        <v>329.7363865129888</v>
      </c>
      <c r="F10" s="9">
        <v>415.8930538778218</v>
      </c>
      <c r="G10" s="9">
        <v>332.8946724283875</v>
      </c>
      <c r="H10" s="9">
        <v>147.8339175903514</v>
      </c>
      <c r="I10" s="9">
        <v>426.1959929102543</v>
      </c>
      <c r="J10" s="9">
        <v>50825.42559288116</v>
      </c>
      <c r="K10" s="9">
        <v>7.600021569139187</v>
      </c>
      <c r="L10" s="9">
        <v>7584.276637244364</v>
      </c>
      <c r="M10" s="9">
        <v>20824.42654791754</v>
      </c>
      <c r="N10" s="9">
        <v>258.6424195401578</v>
      </c>
      <c r="O10" s="9">
        <v>262.0370987176017</v>
      </c>
      <c r="P10" s="9">
        <v>1219.661478623556</v>
      </c>
      <c r="Q10" s="17">
        <v>516.4919389765147</v>
      </c>
      <c r="R10" s="9">
        <v>424.7074689067938</v>
      </c>
      <c r="S10" s="9">
        <v>341.3918949028644</v>
      </c>
      <c r="T10" s="9">
        <v>631.442596534655</v>
      </c>
      <c r="U10" s="9">
        <v>483.407529970977</v>
      </c>
      <c r="V10" s="9">
        <v>48.81276479826355</v>
      </c>
      <c r="W10" s="9">
        <v>533.2044337247252</v>
      </c>
      <c r="X10" s="9">
        <v>50558.37539967799</v>
      </c>
      <c r="Y10" s="9">
        <v>249.3220433323342</v>
      </c>
      <c r="Z10" s="9">
        <v>4284.823932276953</v>
      </c>
      <c r="AA10" s="9">
        <v>4748.705193594134</v>
      </c>
      <c r="AB10" s="9">
        <v>145.1422634631868</v>
      </c>
      <c r="AC10" s="9">
        <v>39.23175657351525</v>
      </c>
      <c r="AD10" s="18">
        <v>273.0853420212852</v>
      </c>
      <c r="AE10" s="9">
        <v>10196.33384278691</v>
      </c>
      <c r="AF10" s="9">
        <v>2.531313186720358</v>
      </c>
      <c r="AG10" s="9">
        <v>3581.506438197316</v>
      </c>
      <c r="AH10" s="9">
        <v>52684.79886559145</v>
      </c>
      <c r="AI10" s="9">
        <v>9.434744561933229</v>
      </c>
      <c r="AJ10" s="9">
        <v>-57.52735506952202</v>
      </c>
      <c r="AK10" s="9">
        <v>0.0</v>
      </c>
      <c r="AL10" s="17">
        <v>10454.40057786092</v>
      </c>
      <c r="AM10" s="9">
        <v>31.12618350525615</v>
      </c>
      <c r="AN10" s="9">
        <v>480.4820566477221</v>
      </c>
      <c r="AO10" s="9">
        <v>11678.23702980427</v>
      </c>
      <c r="AP10" s="9">
        <v>1029.706633345001</v>
      </c>
      <c r="AQ10" s="9">
        <v>2.221681088482631</v>
      </c>
      <c r="AR10" s="18">
        <v>0.0</v>
      </c>
      <c r="AS10" s="17">
        <f t="shared" si="1"/>
        <v>66417.07785</v>
      </c>
      <c r="AT10" s="9">
        <f t="shared" si="2"/>
        <v>23676.17416</v>
      </c>
      <c r="AU10" s="19">
        <f t="shared" si="3"/>
        <v>90093.25201</v>
      </c>
      <c r="AV10" s="20">
        <f t="shared" si="4"/>
        <v>236873.1317</v>
      </c>
      <c r="AW10" s="15" t="s">
        <v>11</v>
      </c>
      <c r="AX10" s="16"/>
    </row>
    <row r="11">
      <c r="A11" s="16"/>
      <c r="B11" s="1" t="s">
        <v>12</v>
      </c>
      <c r="C11" s="9">
        <v>4.439715160149872</v>
      </c>
      <c r="D11" s="9">
        <v>0.1437087941178931</v>
      </c>
      <c r="E11" s="9">
        <v>47.11581697165293</v>
      </c>
      <c r="F11" s="9">
        <v>0.182201445329043</v>
      </c>
      <c r="G11" s="9">
        <v>69.830265225105</v>
      </c>
      <c r="H11" s="9">
        <v>2.041241956271934</v>
      </c>
      <c r="I11" s="9">
        <v>0.307056258948974</v>
      </c>
      <c r="J11" s="9">
        <v>13.48677193371644</v>
      </c>
      <c r="K11" s="9">
        <v>0.005182991000349</v>
      </c>
      <c r="L11" s="9">
        <v>4.958252776565235</v>
      </c>
      <c r="M11" s="9">
        <v>22.25152307730638</v>
      </c>
      <c r="N11" s="9">
        <v>3.943432329991264</v>
      </c>
      <c r="O11" s="9">
        <v>0.0317472245207</v>
      </c>
      <c r="P11" s="9">
        <v>61.424073402316</v>
      </c>
      <c r="Q11" s="17">
        <v>24.56419920994344</v>
      </c>
      <c r="R11" s="9">
        <v>1.451301988199979</v>
      </c>
      <c r="S11" s="9">
        <v>13.37013082656243</v>
      </c>
      <c r="T11" s="9">
        <v>4.864340773864716</v>
      </c>
      <c r="U11" s="9">
        <v>69.43340184982597</v>
      </c>
      <c r="V11" s="9">
        <v>0.0742247643432112</v>
      </c>
      <c r="W11" s="9">
        <v>0.5999993364928526</v>
      </c>
      <c r="X11" s="9">
        <v>44.02646667486925</v>
      </c>
      <c r="Y11" s="9">
        <v>0.6002036221562548</v>
      </c>
      <c r="Z11" s="9">
        <v>6.497882970563632</v>
      </c>
      <c r="AA11" s="9">
        <v>12.2021772075365</v>
      </c>
      <c r="AB11" s="9">
        <v>0.1227502189816302</v>
      </c>
      <c r="AC11" s="9">
        <v>0.01297038406512345</v>
      </c>
      <c r="AD11" s="18">
        <v>13.48361835823909</v>
      </c>
      <c r="AE11" s="9">
        <v>33.5846430597</v>
      </c>
      <c r="AF11" s="9">
        <v>0.170519011399129</v>
      </c>
      <c r="AG11" s="9">
        <v>2.642558084911</v>
      </c>
      <c r="AH11" s="9">
        <v>6.69469270437</v>
      </c>
      <c r="AI11" s="9">
        <v>0.1064959406373</v>
      </c>
      <c r="AJ11" s="9">
        <v>0.24803852691695</v>
      </c>
      <c r="AK11" s="9">
        <v>0.0</v>
      </c>
      <c r="AL11" s="17">
        <v>63.59035513477934</v>
      </c>
      <c r="AM11" s="9">
        <v>0.08048772490627329</v>
      </c>
      <c r="AN11" s="9">
        <v>10.0934520195862</v>
      </c>
      <c r="AO11" s="9">
        <v>0.4786148534877455</v>
      </c>
      <c r="AP11" s="9">
        <v>-2.625444082310151</v>
      </c>
      <c r="AQ11" s="9">
        <v>0.001951967978912954</v>
      </c>
      <c r="AR11" s="18">
        <v>0.0</v>
      </c>
      <c r="AS11" s="17">
        <f t="shared" si="1"/>
        <v>43.44694733</v>
      </c>
      <c r="AT11" s="9">
        <f t="shared" si="2"/>
        <v>71.61941762</v>
      </c>
      <c r="AU11" s="19">
        <f t="shared" si="3"/>
        <v>115.0663649</v>
      </c>
      <c r="AV11" s="20">
        <f t="shared" si="4"/>
        <v>536.5310227</v>
      </c>
      <c r="AW11" s="15" t="s">
        <v>12</v>
      </c>
      <c r="AX11" s="16"/>
    </row>
    <row r="12">
      <c r="A12" s="16"/>
      <c r="B12" s="1" t="s">
        <v>13</v>
      </c>
      <c r="C12" s="9">
        <v>243.713218561104</v>
      </c>
      <c r="D12" s="9">
        <v>511.3045753622799</v>
      </c>
      <c r="E12" s="9">
        <v>212.4640990790011</v>
      </c>
      <c r="F12" s="9">
        <v>762.3399652712844</v>
      </c>
      <c r="G12" s="9">
        <v>642.577525100511</v>
      </c>
      <c r="H12" s="9">
        <v>135.4319868493477</v>
      </c>
      <c r="I12" s="9">
        <v>468.3733057624128</v>
      </c>
      <c r="J12" s="9">
        <v>12367.6688833706</v>
      </c>
      <c r="K12" s="9">
        <v>34.07104130216199</v>
      </c>
      <c r="L12" s="9">
        <v>18158.68358465099</v>
      </c>
      <c r="M12" s="9">
        <v>10886.37029718234</v>
      </c>
      <c r="N12" s="9">
        <v>234.3608115137066</v>
      </c>
      <c r="O12" s="9">
        <v>57.48961927655036</v>
      </c>
      <c r="P12" s="9">
        <v>1662.16333315645</v>
      </c>
      <c r="Q12" s="17">
        <v>395.6198580998125</v>
      </c>
      <c r="R12" s="9">
        <v>392.1159058878178</v>
      </c>
      <c r="S12" s="9">
        <v>328.6818038088452</v>
      </c>
      <c r="T12" s="9">
        <v>633.3156415423878</v>
      </c>
      <c r="U12" s="9">
        <v>430.0759343940072</v>
      </c>
      <c r="V12" s="9">
        <v>150.0165584334475</v>
      </c>
      <c r="W12" s="9">
        <v>282.1632879334293</v>
      </c>
      <c r="X12" s="9">
        <v>9778.974447884555</v>
      </c>
      <c r="Y12" s="9">
        <v>117.1426887014887</v>
      </c>
      <c r="Z12" s="9">
        <v>10068.6108709264</v>
      </c>
      <c r="AA12" s="9">
        <v>3865.991585121138</v>
      </c>
      <c r="AB12" s="9">
        <v>134.6615966560161</v>
      </c>
      <c r="AC12" s="9">
        <v>47.4529091019829</v>
      </c>
      <c r="AD12" s="18">
        <v>267.7202113746908</v>
      </c>
      <c r="AE12" s="9">
        <v>54706.46794894799</v>
      </c>
      <c r="AF12" s="9">
        <v>2.679177240176077</v>
      </c>
      <c r="AG12" s="9">
        <v>6051.928924610388</v>
      </c>
      <c r="AH12" s="9">
        <v>4487.798978254412</v>
      </c>
      <c r="AI12" s="9">
        <v>239.5322883686726</v>
      </c>
      <c r="AJ12" s="9">
        <v>24.52206140025055</v>
      </c>
      <c r="AK12" s="9">
        <v>0.0</v>
      </c>
      <c r="AL12" s="17">
        <v>6380.551067420662</v>
      </c>
      <c r="AM12" s="9">
        <v>32.91903232227442</v>
      </c>
      <c r="AN12" s="9">
        <v>106.9570687237968</v>
      </c>
      <c r="AO12" s="9">
        <v>638.0899485307662</v>
      </c>
      <c r="AP12" s="9">
        <v>142.4830779519722</v>
      </c>
      <c r="AQ12" s="9">
        <v>54.75887770210508</v>
      </c>
      <c r="AR12" s="18">
        <v>0.0</v>
      </c>
      <c r="AS12" s="17">
        <f t="shared" si="1"/>
        <v>65512.92938</v>
      </c>
      <c r="AT12" s="9">
        <f t="shared" si="2"/>
        <v>7355.759073</v>
      </c>
      <c r="AU12" s="19">
        <f t="shared" si="3"/>
        <v>72868.68845</v>
      </c>
      <c r="AV12" s="20">
        <f t="shared" si="4"/>
        <v>146138.244</v>
      </c>
      <c r="AW12" s="15" t="s">
        <v>13</v>
      </c>
      <c r="AX12" s="16"/>
    </row>
    <row r="13">
      <c r="A13" s="16"/>
      <c r="B13" s="1" t="s">
        <v>14</v>
      </c>
      <c r="C13" s="9">
        <v>311.2930589949969</v>
      </c>
      <c r="D13" s="9">
        <v>742.0392174514367</v>
      </c>
      <c r="E13" s="9">
        <v>314.9966072963555</v>
      </c>
      <c r="F13" s="9">
        <v>946.0125595114134</v>
      </c>
      <c r="G13" s="9">
        <v>929.71186084061</v>
      </c>
      <c r="H13" s="9">
        <v>186.6809837977917</v>
      </c>
      <c r="I13" s="9">
        <v>284.3616023038459</v>
      </c>
      <c r="J13" s="9">
        <v>15342.21086090685</v>
      </c>
      <c r="K13" s="9">
        <v>6.010286954508851</v>
      </c>
      <c r="L13" s="9">
        <v>19864.12321073543</v>
      </c>
      <c r="M13" s="9">
        <v>54019.4326567606</v>
      </c>
      <c r="N13" s="9">
        <v>382.6146119939909</v>
      </c>
      <c r="O13" s="9">
        <v>82.07223203144498</v>
      </c>
      <c r="P13" s="9">
        <v>1665.35393117499</v>
      </c>
      <c r="Q13" s="17">
        <v>143.4993945765686</v>
      </c>
      <c r="R13" s="9">
        <v>112.0360638663722</v>
      </c>
      <c r="S13" s="9">
        <v>100.4628423471938</v>
      </c>
      <c r="T13" s="9">
        <v>195.8396163241841</v>
      </c>
      <c r="U13" s="9">
        <v>210.3695673831804</v>
      </c>
      <c r="V13" s="9">
        <v>35.12232700941335</v>
      </c>
      <c r="W13" s="9">
        <v>207.291025904363</v>
      </c>
      <c r="X13" s="9">
        <v>4319.734799203505</v>
      </c>
      <c r="Y13" s="9">
        <v>50.03394629826958</v>
      </c>
      <c r="Z13" s="9">
        <v>2040.181968021886</v>
      </c>
      <c r="AA13" s="9">
        <v>5289.566015074121</v>
      </c>
      <c r="AB13" s="9">
        <v>104.7755043515653</v>
      </c>
      <c r="AC13" s="9">
        <v>16.48644532378795</v>
      </c>
      <c r="AD13" s="18">
        <v>156.4922994281326</v>
      </c>
      <c r="AE13" s="9">
        <v>79893.2620355443</v>
      </c>
      <c r="AF13" s="9">
        <v>10429.67354068332</v>
      </c>
      <c r="AG13" s="9">
        <v>67269.72223538726</v>
      </c>
      <c r="AH13" s="9">
        <v>14375.9321880634</v>
      </c>
      <c r="AI13" s="9">
        <v>66.680606345516</v>
      </c>
      <c r="AJ13" s="9">
        <v>17.0011628330337</v>
      </c>
      <c r="AK13" s="9">
        <v>0.0</v>
      </c>
      <c r="AL13" s="17">
        <v>1580.065033470434</v>
      </c>
      <c r="AM13" s="9">
        <v>191.5937961042089</v>
      </c>
      <c r="AN13" s="9">
        <v>504.5343355529897</v>
      </c>
      <c r="AO13" s="9">
        <v>2003.677781665995</v>
      </c>
      <c r="AP13" s="9">
        <v>150.1069764468394</v>
      </c>
      <c r="AQ13" s="9">
        <v>41.6743369662688</v>
      </c>
      <c r="AR13" s="18">
        <v>0.0</v>
      </c>
      <c r="AS13" s="17">
        <f t="shared" si="1"/>
        <v>172052.2718</v>
      </c>
      <c r="AT13" s="9">
        <f t="shared" si="2"/>
        <v>4471.65226</v>
      </c>
      <c r="AU13" s="19">
        <f t="shared" si="3"/>
        <v>176523.924</v>
      </c>
      <c r="AV13" s="20">
        <f t="shared" si="4"/>
        <v>284582.7295</v>
      </c>
      <c r="AW13" s="15" t="s">
        <v>14</v>
      </c>
      <c r="AX13" s="16"/>
    </row>
    <row r="14">
      <c r="A14" s="16"/>
      <c r="B14" s="1" t="s">
        <v>15</v>
      </c>
      <c r="C14" s="9">
        <v>13.74624492698072</v>
      </c>
      <c r="D14" s="9">
        <v>5.738556389354758</v>
      </c>
      <c r="E14" s="9">
        <v>3.881547906994117</v>
      </c>
      <c r="F14" s="9">
        <v>42.50758980539889</v>
      </c>
      <c r="G14" s="9">
        <v>10.39145386385417</v>
      </c>
      <c r="H14" s="9">
        <v>543.0199648692551</v>
      </c>
      <c r="I14" s="9">
        <v>6.651916886552509</v>
      </c>
      <c r="J14" s="9">
        <v>639.3505748451232</v>
      </c>
      <c r="K14" s="9">
        <v>0.5878752970634077</v>
      </c>
      <c r="L14" s="9">
        <v>371.4119987293584</v>
      </c>
      <c r="M14" s="9">
        <v>1679.039557530294</v>
      </c>
      <c r="N14" s="9">
        <v>1073.229362344547</v>
      </c>
      <c r="O14" s="9">
        <v>1.814247863400347</v>
      </c>
      <c r="P14" s="9">
        <v>41.98348987192197</v>
      </c>
      <c r="Q14" s="17">
        <v>3.385699805019966</v>
      </c>
      <c r="R14" s="9">
        <v>2.16236065985553</v>
      </c>
      <c r="S14" s="9">
        <v>5.517430805089644</v>
      </c>
      <c r="T14" s="9">
        <v>8.538076496958384</v>
      </c>
      <c r="U14" s="9">
        <v>1.880065865772187</v>
      </c>
      <c r="V14" s="9">
        <v>3.989313089572215</v>
      </c>
      <c r="W14" s="9">
        <v>2.237713985602458</v>
      </c>
      <c r="X14" s="9">
        <v>65.50224689063343</v>
      </c>
      <c r="Y14" s="9">
        <v>1.656875665918976</v>
      </c>
      <c r="Z14" s="9">
        <v>20.55199877393849</v>
      </c>
      <c r="AA14" s="9">
        <v>27.13085601274992</v>
      </c>
      <c r="AB14" s="9">
        <v>10.39924982883698</v>
      </c>
      <c r="AC14" s="9">
        <v>0.4682137301964405</v>
      </c>
      <c r="AD14" s="18">
        <v>1.784979605029983</v>
      </c>
      <c r="AE14" s="9">
        <v>44.65593015761451</v>
      </c>
      <c r="AF14" s="9">
        <v>0.06804619795203799</v>
      </c>
      <c r="AG14" s="9">
        <v>8.79559567867623</v>
      </c>
      <c r="AH14" s="9">
        <v>23.91105923512939</v>
      </c>
      <c r="AI14" s="9">
        <v>4.257447937103011</v>
      </c>
      <c r="AJ14" s="9">
        <v>0.7061291840577871</v>
      </c>
      <c r="AK14" s="9">
        <v>0.0</v>
      </c>
      <c r="AL14" s="17">
        <v>12.53720421332408</v>
      </c>
      <c r="AM14" s="9">
        <v>0.2045086044712902</v>
      </c>
      <c r="AN14" s="9">
        <v>1.48432133199973</v>
      </c>
      <c r="AO14" s="9">
        <v>3.265133432856384</v>
      </c>
      <c r="AP14" s="9">
        <v>1.022369894843737</v>
      </c>
      <c r="AQ14" s="9">
        <v>0.3118078185897767</v>
      </c>
      <c r="AR14" s="18">
        <v>0.0</v>
      </c>
      <c r="AS14" s="17">
        <f t="shared" si="1"/>
        <v>82.39420839</v>
      </c>
      <c r="AT14" s="9">
        <f t="shared" si="2"/>
        <v>18.8253453</v>
      </c>
      <c r="AU14" s="19">
        <f t="shared" si="3"/>
        <v>101.2195537</v>
      </c>
      <c r="AV14" s="20">
        <f t="shared" si="4"/>
        <v>4689.779016</v>
      </c>
      <c r="AW14" s="15" t="s">
        <v>15</v>
      </c>
      <c r="AX14" s="16"/>
    </row>
    <row r="15">
      <c r="A15" s="16"/>
      <c r="B15" s="1" t="s">
        <v>16</v>
      </c>
      <c r="C15" s="9">
        <v>4.694894204834799</v>
      </c>
      <c r="D15" s="9">
        <v>10.77111981178536</v>
      </c>
      <c r="E15" s="9">
        <v>5.413369475946115</v>
      </c>
      <c r="F15" s="9">
        <v>3.122279580419754</v>
      </c>
      <c r="G15" s="9">
        <v>8.78431015368</v>
      </c>
      <c r="H15" s="9">
        <v>5.0753002350471</v>
      </c>
      <c r="I15" s="9">
        <v>1.54556273333276</v>
      </c>
      <c r="J15" s="9">
        <v>100.3261212154258</v>
      </c>
      <c r="K15" s="9">
        <v>0.1838494245517</v>
      </c>
      <c r="L15" s="9">
        <v>93.59322556079569</v>
      </c>
      <c r="M15" s="9">
        <v>783.8543833460941</v>
      </c>
      <c r="N15" s="9">
        <v>10.007125957751</v>
      </c>
      <c r="O15" s="9">
        <v>22.2010179754</v>
      </c>
      <c r="P15" s="9">
        <v>49.2018939598</v>
      </c>
      <c r="Q15" s="17">
        <v>0.1770287698871209</v>
      </c>
      <c r="R15" s="9">
        <v>0.05061006679627765</v>
      </c>
      <c r="S15" s="9">
        <v>0.03439811619334139</v>
      </c>
      <c r="T15" s="9">
        <v>0.06659973400781573</v>
      </c>
      <c r="U15" s="9">
        <v>0.04204792116660713</v>
      </c>
      <c r="V15" s="9">
        <v>0.01481400256717412</v>
      </c>
      <c r="W15" s="9">
        <v>0.03558927046114905</v>
      </c>
      <c r="X15" s="9">
        <v>1.523792269362123</v>
      </c>
      <c r="Y15" s="9">
        <v>0.009318251455310558</v>
      </c>
      <c r="Z15" s="9">
        <v>1.033184005992636</v>
      </c>
      <c r="AA15" s="9">
        <v>1.323254855244192</v>
      </c>
      <c r="AB15" s="9">
        <v>0.03895923323122876</v>
      </c>
      <c r="AC15" s="9">
        <v>0.03114848094262538</v>
      </c>
      <c r="AD15" s="18">
        <v>0.03867185544785517</v>
      </c>
      <c r="AE15" s="9">
        <v>1.36516102807</v>
      </c>
      <c r="AF15" s="9">
        <v>0.0</v>
      </c>
      <c r="AG15" s="9">
        <v>0.0232016966375</v>
      </c>
      <c r="AH15" s="9">
        <v>10.4831028121</v>
      </c>
      <c r="AI15" s="9">
        <v>0.0323281467407</v>
      </c>
      <c r="AJ15" s="9">
        <v>0.00804317820774</v>
      </c>
      <c r="AK15" s="9">
        <v>0.0</v>
      </c>
      <c r="AL15" s="17">
        <v>0.2951126353938044</v>
      </c>
      <c r="AM15" s="9">
        <v>0.01836701148556584</v>
      </c>
      <c r="AN15" s="9">
        <v>0.01293880219774327</v>
      </c>
      <c r="AO15" s="9">
        <v>0.7324733177890848</v>
      </c>
      <c r="AP15" s="9">
        <v>0.00447812098108109</v>
      </c>
      <c r="AQ15" s="9">
        <v>9.227734867328322E-4</v>
      </c>
      <c r="AR15" s="18">
        <v>0.0</v>
      </c>
      <c r="AS15" s="17">
        <f t="shared" si="1"/>
        <v>11.91183686</v>
      </c>
      <c r="AT15" s="9">
        <f t="shared" si="2"/>
        <v>1.064292661</v>
      </c>
      <c r="AU15" s="19">
        <f t="shared" si="3"/>
        <v>12.97612952</v>
      </c>
      <c r="AV15" s="20">
        <f t="shared" si="4"/>
        <v>1116.17</v>
      </c>
      <c r="AW15" s="15" t="s">
        <v>16</v>
      </c>
      <c r="AX15" s="16"/>
    </row>
    <row r="16">
      <c r="A16" s="21"/>
      <c r="B16" s="1" t="s">
        <v>17</v>
      </c>
      <c r="C16" s="9">
        <v>5.313613210400629</v>
      </c>
      <c r="D16" s="9">
        <v>42.06356155280757</v>
      </c>
      <c r="E16" s="9">
        <v>5.597665371877567</v>
      </c>
      <c r="F16" s="9">
        <v>48.128642909856</v>
      </c>
      <c r="G16" s="9">
        <v>44.1730077106</v>
      </c>
      <c r="H16" s="9">
        <v>4.265402825109001</v>
      </c>
      <c r="I16" s="9">
        <v>6.907091353768999</v>
      </c>
      <c r="J16" s="9">
        <v>548.1474454384188</v>
      </c>
      <c r="K16" s="9">
        <v>0.423824058298</v>
      </c>
      <c r="L16" s="9">
        <v>881.71413900289</v>
      </c>
      <c r="M16" s="9">
        <v>1074.129820271352</v>
      </c>
      <c r="N16" s="9">
        <v>8.44024845077433</v>
      </c>
      <c r="O16" s="9">
        <v>3.06289023888</v>
      </c>
      <c r="P16" s="9">
        <v>302.89195228</v>
      </c>
      <c r="Q16" s="22">
        <v>32.60448212190097</v>
      </c>
      <c r="R16" s="23">
        <v>31.46149536369766</v>
      </c>
      <c r="S16" s="23">
        <v>26.99619637974201</v>
      </c>
      <c r="T16" s="23">
        <v>22.31399671592541</v>
      </c>
      <c r="U16" s="23">
        <v>38.25803247578523</v>
      </c>
      <c r="V16" s="23">
        <v>9.586102647468623</v>
      </c>
      <c r="W16" s="23">
        <v>45.97338418514197</v>
      </c>
      <c r="X16" s="23">
        <v>2852.164246808642</v>
      </c>
      <c r="Y16" s="23">
        <v>78.94250453751789</v>
      </c>
      <c r="Z16" s="23">
        <v>9260.027016222772</v>
      </c>
      <c r="AA16" s="23">
        <v>3505.6874319227</v>
      </c>
      <c r="AB16" s="23">
        <v>21.25043779648098</v>
      </c>
      <c r="AC16" s="23">
        <v>4.154774408064431</v>
      </c>
      <c r="AD16" s="24">
        <v>157.0474504909557</v>
      </c>
      <c r="AE16" s="9">
        <v>2664.16692759</v>
      </c>
      <c r="AF16" s="9">
        <v>5.19285339707</v>
      </c>
      <c r="AG16" s="9">
        <v>77.3345884626</v>
      </c>
      <c r="AH16" s="9">
        <v>43.5026786084</v>
      </c>
      <c r="AI16" s="9">
        <v>1.34239237792</v>
      </c>
      <c r="AJ16" s="9">
        <v>0.269797311671</v>
      </c>
      <c r="AK16" s="9">
        <v>0.0</v>
      </c>
      <c r="AL16" s="22">
        <v>1951.764169020446</v>
      </c>
      <c r="AM16" s="23">
        <v>554.3166258545385</v>
      </c>
      <c r="AN16" s="23">
        <v>23.58271602121914</v>
      </c>
      <c r="AO16" s="23">
        <v>20.3446667780963</v>
      </c>
      <c r="AP16" s="23">
        <v>4883.764609076587</v>
      </c>
      <c r="AQ16" s="23">
        <v>1303.914832591401</v>
      </c>
      <c r="AR16" s="24">
        <v>0.0</v>
      </c>
      <c r="AS16" s="17">
        <f t="shared" ref="AS16:AS30" si="5">SUM(AL16:AR16)</f>
        <v>8737.687619</v>
      </c>
      <c r="AT16" s="9">
        <f t="shared" ref="AT16:AT30" si="6">SUM(AE16:AK16)</f>
        <v>2791.809238</v>
      </c>
      <c r="AU16" s="19">
        <f t="shared" si="3"/>
        <v>11529.49686</v>
      </c>
      <c r="AV16" s="20">
        <f t="shared" si="4"/>
        <v>30591.22371</v>
      </c>
      <c r="AW16" s="15" t="s">
        <v>17</v>
      </c>
      <c r="AX16" s="21"/>
    </row>
    <row r="17">
      <c r="A17" s="5" t="s">
        <v>2</v>
      </c>
      <c r="B17" s="2" t="s">
        <v>4</v>
      </c>
      <c r="C17" s="10">
        <v>62.86528265035722</v>
      </c>
      <c r="D17" s="11">
        <v>174.3086691868635</v>
      </c>
      <c r="E17" s="11">
        <v>468.8100328765125</v>
      </c>
      <c r="F17" s="11">
        <v>0.6331911525074753</v>
      </c>
      <c r="G17" s="11">
        <v>548.980975608806</v>
      </c>
      <c r="H17" s="11">
        <v>0.07648065322423937</v>
      </c>
      <c r="I17" s="11">
        <v>0.4619678662471818</v>
      </c>
      <c r="J17" s="11">
        <v>169.9740227244939</v>
      </c>
      <c r="K17" s="11">
        <v>0.1222368099750535</v>
      </c>
      <c r="L17" s="11">
        <v>18.99648208780784</v>
      </c>
      <c r="M17" s="11">
        <v>46.80042051561678</v>
      </c>
      <c r="N17" s="11">
        <v>0.1916263178706317</v>
      </c>
      <c r="O17" s="11">
        <v>0.005818787430124278</v>
      </c>
      <c r="P17" s="12">
        <v>174.1354572070827</v>
      </c>
      <c r="Q17" s="10">
        <v>716052.2031935218</v>
      </c>
      <c r="R17" s="11">
        <v>163039.664971409</v>
      </c>
      <c r="S17" s="11">
        <v>87428.0075958723</v>
      </c>
      <c r="T17" s="11">
        <v>5979.018959313911</v>
      </c>
      <c r="U17" s="11">
        <v>716713.1418197905</v>
      </c>
      <c r="V17" s="11">
        <v>199.9289866903415</v>
      </c>
      <c r="W17" s="11">
        <v>22338.44701031923</v>
      </c>
      <c r="X17" s="11">
        <v>463959.7946927871</v>
      </c>
      <c r="Y17" s="11">
        <v>29676.562873201</v>
      </c>
      <c r="Z17" s="11">
        <v>48374.11557474068</v>
      </c>
      <c r="AA17" s="11">
        <v>150224.9962072238</v>
      </c>
      <c r="AB17" s="11">
        <v>839.0532163370887</v>
      </c>
      <c r="AC17" s="11">
        <v>696.7873166134237</v>
      </c>
      <c r="AD17" s="12">
        <v>47428.82574561777</v>
      </c>
      <c r="AE17" s="10">
        <v>1263.91509148053</v>
      </c>
      <c r="AF17" s="11">
        <v>0.0</v>
      </c>
      <c r="AG17" s="11">
        <v>0.1899793920724182</v>
      </c>
      <c r="AH17" s="11">
        <v>36.48352030368296</v>
      </c>
      <c r="AI17" s="11">
        <v>3.065474619972921</v>
      </c>
      <c r="AJ17" s="11">
        <v>0.04270501822165242</v>
      </c>
      <c r="AK17" s="12">
        <v>0.0</v>
      </c>
      <c r="AL17" s="10">
        <v>904926.9128416507</v>
      </c>
      <c r="AM17" s="11">
        <v>552.4542964805064</v>
      </c>
      <c r="AN17" s="11">
        <v>18964.20918591821</v>
      </c>
      <c r="AO17" s="11">
        <v>63323.49457890576</v>
      </c>
      <c r="AP17" s="11">
        <v>130813.4363139673</v>
      </c>
      <c r="AQ17" s="11">
        <v>-46.80768258909544</v>
      </c>
      <c r="AR17" s="12">
        <v>0.0</v>
      </c>
      <c r="AS17" s="17">
        <f t="shared" si="5"/>
        <v>1118533.7</v>
      </c>
      <c r="AT17" s="9">
        <f t="shared" si="6"/>
        <v>1303.696771</v>
      </c>
      <c r="AU17" s="19">
        <f t="shared" si="3"/>
        <v>1119837.396</v>
      </c>
      <c r="AV17" s="20">
        <f t="shared" si="4"/>
        <v>3574454.307</v>
      </c>
      <c r="AW17" s="25" t="s">
        <v>4</v>
      </c>
      <c r="AX17" s="5" t="s">
        <v>2</v>
      </c>
    </row>
    <row r="18">
      <c r="A18" s="16"/>
      <c r="B18" s="2" t="s">
        <v>5</v>
      </c>
      <c r="C18" s="17">
        <v>0.8484447732700529</v>
      </c>
      <c r="D18" s="9">
        <v>10.59111723302351</v>
      </c>
      <c r="E18" s="9">
        <v>16.76521472908522</v>
      </c>
      <c r="F18" s="9">
        <v>3.011820111169737</v>
      </c>
      <c r="G18" s="9">
        <v>213.0730760240387</v>
      </c>
      <c r="H18" s="9">
        <v>0.008168666311481245</v>
      </c>
      <c r="I18" s="9">
        <v>0.2038660952701842</v>
      </c>
      <c r="J18" s="9">
        <v>251.0968294270474</v>
      </c>
      <c r="K18" s="9">
        <v>0.047325771808579</v>
      </c>
      <c r="L18" s="9">
        <v>8.158554776216269</v>
      </c>
      <c r="M18" s="9">
        <v>30.44106540110337</v>
      </c>
      <c r="N18" s="9">
        <v>0.01619373591864261</v>
      </c>
      <c r="O18" s="9">
        <v>0.009965918407596783</v>
      </c>
      <c r="P18" s="18">
        <v>122.015178063572</v>
      </c>
      <c r="Q18" s="17">
        <v>3680.74006109563</v>
      </c>
      <c r="R18" s="9">
        <v>39365.34819336615</v>
      </c>
      <c r="S18" s="9">
        <v>31082.12929334357</v>
      </c>
      <c r="T18" s="9">
        <v>26751.83078687432</v>
      </c>
      <c r="U18" s="9">
        <v>58851.48161490822</v>
      </c>
      <c r="V18" s="9">
        <v>205.2823228445163</v>
      </c>
      <c r="W18" s="9">
        <v>1951.860859567278</v>
      </c>
      <c r="X18" s="9">
        <v>46145.57891845664</v>
      </c>
      <c r="Y18" s="9">
        <v>3195.536192474091</v>
      </c>
      <c r="Z18" s="9">
        <v>47349.22606766521</v>
      </c>
      <c r="AA18" s="9">
        <v>56452.96616352523</v>
      </c>
      <c r="AB18" s="9">
        <v>868.7736975832701</v>
      </c>
      <c r="AC18" s="9">
        <v>264.0151719713833</v>
      </c>
      <c r="AD18" s="18">
        <v>125960.2898066018</v>
      </c>
      <c r="AE18" s="17">
        <v>866.1529169083187</v>
      </c>
      <c r="AF18" s="9">
        <v>0.0</v>
      </c>
      <c r="AG18" s="9">
        <v>0.08592482391439069</v>
      </c>
      <c r="AH18" s="9">
        <v>2.284899424036052</v>
      </c>
      <c r="AI18" s="9">
        <v>0.8516819944522945</v>
      </c>
      <c r="AJ18" s="9">
        <v>0.002577991832516221</v>
      </c>
      <c r="AK18" s="18">
        <v>0.0</v>
      </c>
      <c r="AL18" s="17">
        <v>627569.9905716935</v>
      </c>
      <c r="AM18" s="9">
        <v>120.6645649086494</v>
      </c>
      <c r="AN18" s="9">
        <v>1658.031132516211</v>
      </c>
      <c r="AO18" s="9">
        <v>1813.83064320283</v>
      </c>
      <c r="AP18" s="9">
        <v>1979.271011033797</v>
      </c>
      <c r="AQ18" s="9">
        <v>142.7192292700112</v>
      </c>
      <c r="AR18" s="18">
        <v>0.0</v>
      </c>
      <c r="AS18" s="17">
        <f t="shared" si="5"/>
        <v>633284.5072</v>
      </c>
      <c r="AT18" s="9">
        <f t="shared" si="6"/>
        <v>869.3780011</v>
      </c>
      <c r="AU18" s="19">
        <f t="shared" si="3"/>
        <v>634153.8852</v>
      </c>
      <c r="AV18" s="20">
        <f t="shared" si="4"/>
        <v>1076935.231</v>
      </c>
      <c r="AW18" s="25" t="s">
        <v>5</v>
      </c>
      <c r="AX18" s="16"/>
    </row>
    <row r="19">
      <c r="A19" s="16"/>
      <c r="B19" s="2" t="s">
        <v>6</v>
      </c>
      <c r="C19" s="17">
        <v>0.1030796344943575</v>
      </c>
      <c r="D19" s="9">
        <v>0.5062220458268868</v>
      </c>
      <c r="E19" s="9">
        <v>2.472801394462456</v>
      </c>
      <c r="F19" s="9">
        <v>126.361918761743</v>
      </c>
      <c r="G19" s="9">
        <v>4.532598485527011</v>
      </c>
      <c r="H19" s="9">
        <v>0.03066532448101567</v>
      </c>
      <c r="I19" s="9">
        <v>0.8548332973927203</v>
      </c>
      <c r="J19" s="9">
        <v>35.07828791432285</v>
      </c>
      <c r="K19" s="9">
        <v>0.03162278392663921</v>
      </c>
      <c r="L19" s="9">
        <v>37.09908117303056</v>
      </c>
      <c r="M19" s="9">
        <v>31.35059284376958</v>
      </c>
      <c r="N19" s="9">
        <v>0.06850193829659056</v>
      </c>
      <c r="O19" s="9">
        <v>0.007228604048708382</v>
      </c>
      <c r="P19" s="18">
        <v>17.42359777708685</v>
      </c>
      <c r="Q19" s="17">
        <v>3827.733584178989</v>
      </c>
      <c r="R19" s="9">
        <v>1044.336831411701</v>
      </c>
      <c r="S19" s="9">
        <v>153421.234848141</v>
      </c>
      <c r="T19" s="9">
        <v>730109.3012334422</v>
      </c>
      <c r="U19" s="9">
        <v>24710.42282091128</v>
      </c>
      <c r="V19" s="9">
        <v>463.463911863798</v>
      </c>
      <c r="W19" s="9">
        <v>5649.192085767553</v>
      </c>
      <c r="X19" s="9">
        <v>82247.61367588621</v>
      </c>
      <c r="Y19" s="9">
        <v>9469.9757818447</v>
      </c>
      <c r="Z19" s="9">
        <v>26223.91658315609</v>
      </c>
      <c r="AA19" s="9">
        <v>35709.82608735064</v>
      </c>
      <c r="AB19" s="9">
        <v>377.8888224334543</v>
      </c>
      <c r="AC19" s="9">
        <v>919.7735067522068</v>
      </c>
      <c r="AD19" s="18">
        <v>64998.85680790889</v>
      </c>
      <c r="AE19" s="17">
        <v>109.3655634567079</v>
      </c>
      <c r="AF19" s="9">
        <v>0.0</v>
      </c>
      <c r="AG19" s="9">
        <v>0.2713459165609642</v>
      </c>
      <c r="AH19" s="9">
        <v>113.8379392924525</v>
      </c>
      <c r="AI19" s="9">
        <v>-0.752282243317623</v>
      </c>
      <c r="AJ19" s="9">
        <v>0.0745490148153067</v>
      </c>
      <c r="AK19" s="18">
        <v>0.0</v>
      </c>
      <c r="AL19" s="17">
        <v>591491.8408581036</v>
      </c>
      <c r="AM19" s="9">
        <v>2517.197306540251</v>
      </c>
      <c r="AN19" s="9">
        <v>34496.01800171533</v>
      </c>
      <c r="AO19" s="9">
        <v>95928.07002835145</v>
      </c>
      <c r="AP19" s="9">
        <v>261735.5798799888</v>
      </c>
      <c r="AQ19" s="9">
        <v>266.2598854981971</v>
      </c>
      <c r="AR19" s="18">
        <v>0.0</v>
      </c>
      <c r="AS19" s="17">
        <f t="shared" si="5"/>
        <v>986434.966</v>
      </c>
      <c r="AT19" s="9">
        <f t="shared" si="6"/>
        <v>222.7971154</v>
      </c>
      <c r="AU19" s="19">
        <f t="shared" si="3"/>
        <v>986657.7631</v>
      </c>
      <c r="AV19" s="20">
        <f t="shared" si="4"/>
        <v>2126087.221</v>
      </c>
      <c r="AW19" s="25" t="s">
        <v>6</v>
      </c>
      <c r="AX19" s="16"/>
    </row>
    <row r="20" ht="15.75" customHeight="1">
      <c r="A20" s="16"/>
      <c r="B20" s="2" t="s">
        <v>7</v>
      </c>
      <c r="C20" s="17">
        <v>0.8736894722868893</v>
      </c>
      <c r="D20" s="9">
        <v>2.633263623336125</v>
      </c>
      <c r="E20" s="9">
        <v>87.24123927164027</v>
      </c>
      <c r="F20" s="9">
        <v>351.0916821345416</v>
      </c>
      <c r="G20" s="9">
        <v>104.6521946882739</v>
      </c>
      <c r="H20" s="9">
        <v>0.06946558736894329</v>
      </c>
      <c r="I20" s="9">
        <v>0.7207531767319256</v>
      </c>
      <c r="J20" s="9">
        <v>197.7600920823944</v>
      </c>
      <c r="K20" s="9">
        <v>0.2778508194817919</v>
      </c>
      <c r="L20" s="9">
        <v>572.5254441759889</v>
      </c>
      <c r="M20" s="9">
        <v>134.1578744348525</v>
      </c>
      <c r="N20" s="9">
        <v>0.1437878508030432</v>
      </c>
      <c r="O20" s="9">
        <v>0.03167918330228564</v>
      </c>
      <c r="P20" s="18">
        <v>293.1656120167479</v>
      </c>
      <c r="Q20" s="17">
        <v>7637.54434716415</v>
      </c>
      <c r="R20" s="9">
        <v>6617.621164142811</v>
      </c>
      <c r="S20" s="9">
        <v>35153.2526115208</v>
      </c>
      <c r="T20" s="9">
        <v>179327.0637328218</v>
      </c>
      <c r="U20" s="9">
        <v>112014.7866381854</v>
      </c>
      <c r="V20" s="9">
        <v>348.3577977157419</v>
      </c>
      <c r="W20" s="9">
        <v>3477.463309949715</v>
      </c>
      <c r="X20" s="9">
        <v>84174.69539161585</v>
      </c>
      <c r="Y20" s="9">
        <v>5557.571423689948</v>
      </c>
      <c r="Z20" s="9">
        <v>43166.37463669317</v>
      </c>
      <c r="AA20" s="9">
        <v>143802.5276797596</v>
      </c>
      <c r="AB20" s="9">
        <v>1439.538025966981</v>
      </c>
      <c r="AC20" s="9">
        <v>577.8808720926495</v>
      </c>
      <c r="AD20" s="18">
        <v>182740.9521245798</v>
      </c>
      <c r="AE20" s="17">
        <v>1277.447092629195</v>
      </c>
      <c r="AF20" s="9">
        <v>0.0</v>
      </c>
      <c r="AG20" s="9">
        <v>0.3092874994224312</v>
      </c>
      <c r="AH20" s="9">
        <v>10.99722876653069</v>
      </c>
      <c r="AI20" s="9">
        <v>5.192252393746272</v>
      </c>
      <c r="AJ20" s="9">
        <v>0.01572939443740303</v>
      </c>
      <c r="AK20" s="18">
        <v>0.0</v>
      </c>
      <c r="AL20" s="17">
        <v>1390058.344163374</v>
      </c>
      <c r="AM20" s="9">
        <v>16936.94056597389</v>
      </c>
      <c r="AN20" s="9">
        <v>14125.23105676941</v>
      </c>
      <c r="AO20" s="9">
        <v>6845.796306541906</v>
      </c>
      <c r="AP20" s="9">
        <v>49962.77169062495</v>
      </c>
      <c r="AQ20" s="9">
        <v>348.9897046984574</v>
      </c>
      <c r="AR20" s="18">
        <v>0.0</v>
      </c>
      <c r="AS20" s="17">
        <f t="shared" si="5"/>
        <v>1478278.073</v>
      </c>
      <c r="AT20" s="9">
        <f t="shared" si="6"/>
        <v>1293.961591</v>
      </c>
      <c r="AU20" s="19">
        <f t="shared" si="3"/>
        <v>1479572.035</v>
      </c>
      <c r="AV20" s="20">
        <f t="shared" si="4"/>
        <v>2287353.009</v>
      </c>
      <c r="AW20" s="25" t="s">
        <v>7</v>
      </c>
      <c r="AX20" s="16"/>
    </row>
    <row r="21" ht="15.75" customHeight="1">
      <c r="A21" s="16"/>
      <c r="B21" s="2" t="s">
        <v>8</v>
      </c>
      <c r="C21" s="17">
        <v>0.658785543909386</v>
      </c>
      <c r="D21" s="9">
        <v>22.99653130403086</v>
      </c>
      <c r="E21" s="9">
        <v>59.51008518966826</v>
      </c>
      <c r="F21" s="9">
        <v>58.94582713083626</v>
      </c>
      <c r="G21" s="9">
        <v>677.9487479311699</v>
      </c>
      <c r="H21" s="9">
        <v>0.02147918599614632</v>
      </c>
      <c r="I21" s="9">
        <v>0.217555199293439</v>
      </c>
      <c r="J21" s="9">
        <v>231.3143246777734</v>
      </c>
      <c r="K21" s="9">
        <v>0.09956675306191315</v>
      </c>
      <c r="L21" s="9">
        <v>153.7657909532382</v>
      </c>
      <c r="M21" s="9">
        <v>80.54611153579273</v>
      </c>
      <c r="N21" s="9">
        <v>0.04390956002765048</v>
      </c>
      <c r="O21" s="9">
        <v>0.0304281497228716</v>
      </c>
      <c r="P21" s="18">
        <v>271.0565762503225</v>
      </c>
      <c r="Q21" s="17">
        <v>6418.864216968675</v>
      </c>
      <c r="R21" s="9">
        <v>47810.96664858886</v>
      </c>
      <c r="S21" s="9">
        <v>139003.530673171</v>
      </c>
      <c r="T21" s="9">
        <v>62881.35699773638</v>
      </c>
      <c r="U21" s="9">
        <v>370511.6486241819</v>
      </c>
      <c r="V21" s="9">
        <v>249.8047521004418</v>
      </c>
      <c r="W21" s="9">
        <v>3863.036059179256</v>
      </c>
      <c r="X21" s="9">
        <v>71126.73336207437</v>
      </c>
      <c r="Y21" s="9">
        <v>9530.233656043678</v>
      </c>
      <c r="Z21" s="9">
        <v>37332.84203806496</v>
      </c>
      <c r="AA21" s="9">
        <v>129562.4097040286</v>
      </c>
      <c r="AB21" s="9">
        <v>607.3526729311984</v>
      </c>
      <c r="AC21" s="9">
        <v>472.7952401771774</v>
      </c>
      <c r="AD21" s="18">
        <v>190755.773960465</v>
      </c>
      <c r="AE21" s="17">
        <v>4116.016682888914</v>
      </c>
      <c r="AF21" s="9">
        <v>0.0</v>
      </c>
      <c r="AG21" s="9">
        <v>0.132407378983262</v>
      </c>
      <c r="AH21" s="9">
        <v>3.59142671409786</v>
      </c>
      <c r="AI21" s="9">
        <v>1.225575447663042</v>
      </c>
      <c r="AJ21" s="9">
        <v>0.007649044578031968</v>
      </c>
      <c r="AK21" s="18">
        <v>0.0</v>
      </c>
      <c r="AL21" s="17">
        <v>1604153.892336488</v>
      </c>
      <c r="AM21" s="9">
        <v>351.7121544329784</v>
      </c>
      <c r="AN21" s="9">
        <v>15892.81289793148</v>
      </c>
      <c r="AO21" s="9">
        <v>4143.143662918288</v>
      </c>
      <c r="AP21" s="9">
        <v>13780.78480103546</v>
      </c>
      <c r="AQ21" s="9">
        <v>333.550282798764</v>
      </c>
      <c r="AR21" s="18">
        <v>0.0</v>
      </c>
      <c r="AS21" s="17">
        <f t="shared" si="5"/>
        <v>1638655.896</v>
      </c>
      <c r="AT21" s="9">
        <f t="shared" si="6"/>
        <v>4120.973741</v>
      </c>
      <c r="AU21" s="19">
        <f t="shared" si="3"/>
        <v>1642776.87</v>
      </c>
      <c r="AV21" s="20">
        <f t="shared" si="4"/>
        <v>2714461.374</v>
      </c>
      <c r="AW21" s="25" t="s">
        <v>8</v>
      </c>
      <c r="AX21" s="16"/>
    </row>
    <row r="22" ht="15.75" customHeight="1">
      <c r="A22" s="16"/>
      <c r="B22" s="2" t="s">
        <v>9</v>
      </c>
      <c r="C22" s="17">
        <v>0.1257336377887986</v>
      </c>
      <c r="D22" s="9">
        <v>0.4212720795802694</v>
      </c>
      <c r="E22" s="9">
        <v>0.1360830695206668</v>
      </c>
      <c r="F22" s="9">
        <v>0.5473953123341282</v>
      </c>
      <c r="G22" s="9">
        <v>0.951088383825396</v>
      </c>
      <c r="H22" s="9">
        <v>2.556879723585626</v>
      </c>
      <c r="I22" s="9">
        <v>0.02699835211208503</v>
      </c>
      <c r="J22" s="9">
        <v>33.85152736023311</v>
      </c>
      <c r="K22" s="9">
        <v>0.02024793640455449</v>
      </c>
      <c r="L22" s="9">
        <v>8.501985995001053</v>
      </c>
      <c r="M22" s="9">
        <v>3.24334503724931</v>
      </c>
      <c r="N22" s="9">
        <v>4.849011617209217</v>
      </c>
      <c r="O22" s="9">
        <v>0.01411837409458595</v>
      </c>
      <c r="P22" s="18">
        <v>0.2470006500957151</v>
      </c>
      <c r="Q22" s="17">
        <v>760.0330132384084</v>
      </c>
      <c r="R22" s="9">
        <v>546.5385990636763</v>
      </c>
      <c r="S22" s="9">
        <v>813.7327032093057</v>
      </c>
      <c r="T22" s="9">
        <v>1430.179549204511</v>
      </c>
      <c r="U22" s="9">
        <v>1031.113645720709</v>
      </c>
      <c r="V22" s="9">
        <v>5446.94618053814</v>
      </c>
      <c r="W22" s="9">
        <v>1694.720932403385</v>
      </c>
      <c r="X22" s="9">
        <v>30546.02355267385</v>
      </c>
      <c r="Y22" s="9">
        <v>300.044428214678</v>
      </c>
      <c r="Z22" s="9">
        <v>9456.793030768209</v>
      </c>
      <c r="AA22" s="9">
        <v>26211.78438987611</v>
      </c>
      <c r="AB22" s="9">
        <v>10921.75762582424</v>
      </c>
      <c r="AC22" s="9">
        <v>1426.467423921327</v>
      </c>
      <c r="AD22" s="18">
        <v>1982.449943069702</v>
      </c>
      <c r="AE22" s="17">
        <v>51.9685576570073</v>
      </c>
      <c r="AF22" s="9">
        <v>0.0</v>
      </c>
      <c r="AG22" s="9">
        <v>0.03655074651141303</v>
      </c>
      <c r="AH22" s="9">
        <v>1.030596170486209</v>
      </c>
      <c r="AI22" s="9">
        <v>0.8582389554913031</v>
      </c>
      <c r="AJ22" s="9">
        <v>0.3215192244507553</v>
      </c>
      <c r="AK22" s="18">
        <v>0.0</v>
      </c>
      <c r="AL22" s="17">
        <v>36987.40305620636</v>
      </c>
      <c r="AM22" s="9">
        <v>187.4029743239258</v>
      </c>
      <c r="AN22" s="9">
        <v>15693.7650058426</v>
      </c>
      <c r="AO22" s="9">
        <v>2207.971070356055</v>
      </c>
      <c r="AP22" s="9">
        <v>652.9216637541338</v>
      </c>
      <c r="AQ22" s="9">
        <v>99.63117343302591</v>
      </c>
      <c r="AR22" s="18">
        <v>0.0</v>
      </c>
      <c r="AS22" s="17">
        <f t="shared" si="5"/>
        <v>55829.09494</v>
      </c>
      <c r="AT22" s="9">
        <f t="shared" si="6"/>
        <v>54.21546275</v>
      </c>
      <c r="AU22" s="19">
        <f t="shared" si="3"/>
        <v>55883.31041</v>
      </c>
      <c r="AV22" s="20">
        <f t="shared" si="4"/>
        <v>148507.3881</v>
      </c>
      <c r="AW22" s="25" t="s">
        <v>9</v>
      </c>
      <c r="AX22" s="16"/>
    </row>
    <row r="23" ht="15.75" customHeight="1">
      <c r="A23" s="16"/>
      <c r="B23" s="2" t="s">
        <v>10</v>
      </c>
      <c r="C23" s="17">
        <v>20.09313238722618</v>
      </c>
      <c r="D23" s="9">
        <v>3.174309899905208</v>
      </c>
      <c r="E23" s="9">
        <v>80.83340123381875</v>
      </c>
      <c r="F23" s="9">
        <v>6.674459189860498</v>
      </c>
      <c r="G23" s="9">
        <v>39.41247556985082</v>
      </c>
      <c r="H23" s="9">
        <v>0.9611883497527868</v>
      </c>
      <c r="I23" s="9">
        <v>329.3368832027765</v>
      </c>
      <c r="J23" s="9">
        <v>6540.618238951512</v>
      </c>
      <c r="K23" s="9">
        <v>344.7977839542665</v>
      </c>
      <c r="L23" s="9">
        <v>718.1291878180467</v>
      </c>
      <c r="M23" s="9">
        <v>76.75234080204184</v>
      </c>
      <c r="N23" s="9">
        <v>2.26206948974388</v>
      </c>
      <c r="O23" s="9">
        <v>0.1381448190011932</v>
      </c>
      <c r="P23" s="18">
        <v>19.62194564871503</v>
      </c>
      <c r="Q23" s="17">
        <v>14687.03411073508</v>
      </c>
      <c r="R23" s="9">
        <v>4445.462953861754</v>
      </c>
      <c r="S23" s="9">
        <v>13024.99592157526</v>
      </c>
      <c r="T23" s="9">
        <v>15589.13223227641</v>
      </c>
      <c r="U23" s="9">
        <v>13208.412819673</v>
      </c>
      <c r="V23" s="9">
        <v>784.4618104975153</v>
      </c>
      <c r="W23" s="9">
        <v>526712.8027611263</v>
      </c>
      <c r="X23" s="9">
        <v>2941972.421903314</v>
      </c>
      <c r="Y23" s="9">
        <v>34589.50059772708</v>
      </c>
      <c r="Z23" s="9">
        <v>553260.5089687749</v>
      </c>
      <c r="AA23" s="9">
        <v>67606.98192126644</v>
      </c>
      <c r="AB23" s="9">
        <v>3235.578906686792</v>
      </c>
      <c r="AC23" s="9">
        <v>2429.481756982816</v>
      </c>
      <c r="AD23" s="18">
        <v>6575.537543004049</v>
      </c>
      <c r="AE23" s="17">
        <v>52.7325620142073</v>
      </c>
      <c r="AF23" s="9">
        <v>0.0</v>
      </c>
      <c r="AG23" s="9">
        <v>1.475453618875441</v>
      </c>
      <c r="AH23" s="9">
        <v>19.54084867182477</v>
      </c>
      <c r="AI23" s="9">
        <v>124.3804576840507</v>
      </c>
      <c r="AJ23" s="9">
        <v>0.0157493848755585</v>
      </c>
      <c r="AK23" s="18">
        <v>0.0</v>
      </c>
      <c r="AL23" s="17">
        <v>187013.5652219891</v>
      </c>
      <c r="AM23" s="9">
        <v>334.5121843512309</v>
      </c>
      <c r="AN23" s="9">
        <v>15610.20927045048</v>
      </c>
      <c r="AO23" s="9">
        <v>27480.31570379712</v>
      </c>
      <c r="AP23" s="9">
        <v>54336.21459104295</v>
      </c>
      <c r="AQ23" s="9">
        <v>91.40929114187973</v>
      </c>
      <c r="AR23" s="18">
        <v>0.0</v>
      </c>
      <c r="AS23" s="17">
        <f t="shared" si="5"/>
        <v>284866.2263</v>
      </c>
      <c r="AT23" s="9">
        <f t="shared" si="6"/>
        <v>198.1450714</v>
      </c>
      <c r="AU23" s="19">
        <f t="shared" si="3"/>
        <v>285064.3713</v>
      </c>
      <c r="AV23" s="20">
        <f t="shared" si="4"/>
        <v>4491369.491</v>
      </c>
      <c r="AW23" s="25" t="s">
        <v>10</v>
      </c>
      <c r="AX23" s="16"/>
    </row>
    <row r="24" ht="15.75" customHeight="1">
      <c r="A24" s="16"/>
      <c r="B24" s="2" t="s">
        <v>11</v>
      </c>
      <c r="C24" s="17">
        <v>618.1788814570143</v>
      </c>
      <c r="D24" s="9">
        <v>411.8469738097266</v>
      </c>
      <c r="E24" s="9">
        <v>181.1009478730103</v>
      </c>
      <c r="F24" s="9">
        <v>505.7213343752433</v>
      </c>
      <c r="G24" s="9">
        <v>344.9199008858172</v>
      </c>
      <c r="H24" s="9">
        <v>22.86063705152124</v>
      </c>
      <c r="I24" s="9">
        <v>114.0883954276002</v>
      </c>
      <c r="J24" s="9">
        <v>41525.82350305323</v>
      </c>
      <c r="K24" s="9">
        <v>10.37788960902009</v>
      </c>
      <c r="L24" s="9">
        <v>2802.738393838064</v>
      </c>
      <c r="M24" s="9">
        <v>6039.028132053259</v>
      </c>
      <c r="N24" s="9">
        <v>32.97656696445227</v>
      </c>
      <c r="O24" s="9">
        <v>10.85051824431412</v>
      </c>
      <c r="P24" s="18">
        <v>376.4609469798218</v>
      </c>
      <c r="Q24" s="17">
        <v>282819.0053053589</v>
      </c>
      <c r="R24" s="9">
        <v>148774.7266535077</v>
      </c>
      <c r="S24" s="9">
        <v>152714.0619221166</v>
      </c>
      <c r="T24" s="9">
        <v>222343.7218820042</v>
      </c>
      <c r="U24" s="9">
        <v>178746.5477881106</v>
      </c>
      <c r="V24" s="9">
        <v>18597.77329771499</v>
      </c>
      <c r="W24" s="9">
        <v>544153.243018354</v>
      </c>
      <c r="X24" s="9">
        <v>2.042318411559699E7</v>
      </c>
      <c r="Y24" s="9">
        <v>173627.0353842976</v>
      </c>
      <c r="Z24" s="9">
        <v>2451611.929201243</v>
      </c>
      <c r="AA24" s="9">
        <v>3845384.824310104</v>
      </c>
      <c r="AB24" s="9">
        <v>41352.1098543335</v>
      </c>
      <c r="AC24" s="9">
        <v>26848.34280155232</v>
      </c>
      <c r="AD24" s="18">
        <v>184857.618037747</v>
      </c>
      <c r="AE24" s="17">
        <v>25473.29775247629</v>
      </c>
      <c r="AF24" s="9">
        <v>0.0</v>
      </c>
      <c r="AG24" s="9">
        <v>48.6936474327396</v>
      </c>
      <c r="AH24" s="9">
        <v>25730.39087688862</v>
      </c>
      <c r="AI24" s="9">
        <v>-3856.317502555541</v>
      </c>
      <c r="AJ24" s="9">
        <v>2.19104072864706</v>
      </c>
      <c r="AK24" s="18">
        <v>0.0</v>
      </c>
      <c r="AL24" s="17">
        <v>5631171.133254381</v>
      </c>
      <c r="AM24" s="9">
        <v>21194.94134479049</v>
      </c>
      <c r="AN24" s="9">
        <v>345242.146977703</v>
      </c>
      <c r="AO24" s="9">
        <v>1.545089995378228E7</v>
      </c>
      <c r="AP24" s="9">
        <v>339885.8653568218</v>
      </c>
      <c r="AQ24" s="9">
        <v>33751.13261232673</v>
      </c>
      <c r="AR24" s="18">
        <v>0.0</v>
      </c>
      <c r="AS24" s="17">
        <f t="shared" si="5"/>
        <v>21822145.17</v>
      </c>
      <c r="AT24" s="9">
        <f t="shared" si="6"/>
        <v>47398.25581</v>
      </c>
      <c r="AU24" s="19">
        <f t="shared" si="3"/>
        <v>21869543.43</v>
      </c>
      <c r="AV24" s="20">
        <f t="shared" si="4"/>
        <v>50617555.46</v>
      </c>
      <c r="AW24" s="25" t="s">
        <v>11</v>
      </c>
      <c r="AX24" s="16"/>
    </row>
    <row r="25" ht="15.75" customHeight="1">
      <c r="A25" s="16"/>
      <c r="B25" s="2" t="s">
        <v>12</v>
      </c>
      <c r="C25" s="17">
        <v>12.16253488885952</v>
      </c>
      <c r="D25" s="9">
        <v>0.3892890558549805</v>
      </c>
      <c r="E25" s="9">
        <v>1.665678081461212</v>
      </c>
      <c r="F25" s="9">
        <v>0.4278953713782412</v>
      </c>
      <c r="G25" s="9">
        <v>0.5033040400011529</v>
      </c>
      <c r="H25" s="9">
        <v>0.1326654976588241</v>
      </c>
      <c r="I25" s="9">
        <v>0.4627790240346269</v>
      </c>
      <c r="J25" s="9">
        <v>111.7548559653928</v>
      </c>
      <c r="K25" s="9">
        <v>0.1853382992922668</v>
      </c>
      <c r="L25" s="9">
        <v>4.274690352375231</v>
      </c>
      <c r="M25" s="9">
        <v>7.706057403018536</v>
      </c>
      <c r="N25" s="9">
        <v>0.2663561857336739</v>
      </c>
      <c r="O25" s="9">
        <v>0.011981261302136</v>
      </c>
      <c r="P25" s="18">
        <v>0.6698581453483407</v>
      </c>
      <c r="Q25" s="17">
        <v>229904.3763301819</v>
      </c>
      <c r="R25" s="9">
        <v>732.06469742016</v>
      </c>
      <c r="S25" s="9">
        <v>6213.591116836313</v>
      </c>
      <c r="T25" s="9">
        <v>2496.904541763659</v>
      </c>
      <c r="U25" s="9">
        <v>1547.323287330586</v>
      </c>
      <c r="V25" s="9">
        <v>67.06825055086702</v>
      </c>
      <c r="W25" s="9">
        <v>13897.57153445963</v>
      </c>
      <c r="X25" s="9">
        <v>68620.42906226567</v>
      </c>
      <c r="Y25" s="9">
        <v>117970.937274149</v>
      </c>
      <c r="Z25" s="9">
        <v>11692.70054335158</v>
      </c>
      <c r="AA25" s="9">
        <v>21279.99633762863</v>
      </c>
      <c r="AB25" s="9">
        <v>135.3396404941727</v>
      </c>
      <c r="AC25" s="9">
        <v>236.1875290631054</v>
      </c>
      <c r="AD25" s="18">
        <v>1280.216728494805</v>
      </c>
      <c r="AE25" s="17">
        <v>27.8437773046215</v>
      </c>
      <c r="AF25" s="9">
        <v>0.0</v>
      </c>
      <c r="AG25" s="9">
        <v>4.244012529966717</v>
      </c>
      <c r="AH25" s="9">
        <v>8.44630369730711</v>
      </c>
      <c r="AI25" s="9">
        <v>2.137150797335026</v>
      </c>
      <c r="AJ25" s="9">
        <v>0.01596142486043767</v>
      </c>
      <c r="AK25" s="18">
        <v>0.0</v>
      </c>
      <c r="AL25" s="17">
        <v>47836.89967082597</v>
      </c>
      <c r="AM25" s="9">
        <v>80.06668630698772</v>
      </c>
      <c r="AN25" s="9">
        <v>215061.4183675453</v>
      </c>
      <c r="AO25" s="9">
        <v>3610.352967946166</v>
      </c>
      <c r="AP25" s="9">
        <v>9292.567736915158</v>
      </c>
      <c r="AQ25" s="9">
        <v>70.44958586158258</v>
      </c>
      <c r="AR25" s="18">
        <v>0.0</v>
      </c>
      <c r="AS25" s="17">
        <f t="shared" si="5"/>
        <v>275951.755</v>
      </c>
      <c r="AT25" s="9">
        <f t="shared" si="6"/>
        <v>42.68720575</v>
      </c>
      <c r="AU25" s="19">
        <f t="shared" si="3"/>
        <v>275994.4422</v>
      </c>
      <c r="AV25" s="20">
        <f t="shared" si="4"/>
        <v>752209.7624</v>
      </c>
      <c r="AW25" s="25" t="s">
        <v>12</v>
      </c>
      <c r="AX25" s="16"/>
    </row>
    <row r="26" ht="15.75" customHeight="1">
      <c r="A26" s="16"/>
      <c r="B26" s="2" t="s">
        <v>13</v>
      </c>
      <c r="C26" s="17">
        <v>37.77304609266829</v>
      </c>
      <c r="D26" s="9">
        <v>259.1324602696182</v>
      </c>
      <c r="E26" s="9">
        <v>93.19880255150882</v>
      </c>
      <c r="F26" s="9">
        <v>674.3470365818553</v>
      </c>
      <c r="G26" s="9">
        <v>377.3137440513047</v>
      </c>
      <c r="H26" s="9">
        <v>25.43211215723542</v>
      </c>
      <c r="I26" s="9">
        <v>178.5067582618109</v>
      </c>
      <c r="J26" s="9">
        <v>8410.507656087711</v>
      </c>
      <c r="K26" s="9">
        <v>47.5090701855477</v>
      </c>
      <c r="L26" s="9">
        <v>6079.678283635962</v>
      </c>
      <c r="M26" s="9">
        <v>1856.408525004907</v>
      </c>
      <c r="N26" s="9">
        <v>59.87755792381316</v>
      </c>
      <c r="O26" s="9">
        <v>14.66592098032681</v>
      </c>
      <c r="P26" s="18">
        <v>167.7714458966384</v>
      </c>
      <c r="Q26" s="17">
        <v>239401.9393852626</v>
      </c>
      <c r="R26" s="9">
        <v>222257.7322641127</v>
      </c>
      <c r="S26" s="9">
        <v>245596.9729874082</v>
      </c>
      <c r="T26" s="9">
        <v>302634.7984247749</v>
      </c>
      <c r="U26" s="9">
        <v>257449.0598207667</v>
      </c>
      <c r="V26" s="9">
        <v>13907.12381173421</v>
      </c>
      <c r="W26" s="9">
        <v>386960.0571173642</v>
      </c>
      <c r="X26" s="9">
        <v>5500831.789484587</v>
      </c>
      <c r="Y26" s="9">
        <v>153703.4771505466</v>
      </c>
      <c r="Z26" s="9">
        <v>4491665.546452275</v>
      </c>
      <c r="AA26" s="9">
        <v>3440014.557796778</v>
      </c>
      <c r="AB26" s="9">
        <v>31283.52719913503</v>
      </c>
      <c r="AC26" s="9">
        <v>22070.4897893408</v>
      </c>
      <c r="AD26" s="18">
        <v>472686.7533987166</v>
      </c>
      <c r="AE26" s="17">
        <v>1156.630701684462</v>
      </c>
      <c r="AF26" s="9">
        <v>0.0</v>
      </c>
      <c r="AG26" s="9">
        <v>24.30801695146246</v>
      </c>
      <c r="AH26" s="9">
        <v>4680.114150439798</v>
      </c>
      <c r="AI26" s="9">
        <v>-25.00938698263687</v>
      </c>
      <c r="AJ26" s="9">
        <v>8.566633974405889</v>
      </c>
      <c r="AK26" s="18">
        <v>0.0</v>
      </c>
      <c r="AL26" s="17">
        <v>9724786.035232594</v>
      </c>
      <c r="AM26" s="9">
        <v>12549.97646369253</v>
      </c>
      <c r="AN26" s="9">
        <v>541122.3671786571</v>
      </c>
      <c r="AO26" s="9">
        <v>979977.5673876887</v>
      </c>
      <c r="AP26" s="9">
        <v>108548.9961349472</v>
      </c>
      <c r="AQ26" s="9">
        <v>11207.68039782215</v>
      </c>
      <c r="AR26" s="18">
        <v>0.0</v>
      </c>
      <c r="AS26" s="17">
        <f t="shared" si="5"/>
        <v>11378192.62</v>
      </c>
      <c r="AT26" s="9">
        <f t="shared" si="6"/>
        <v>5844.610116</v>
      </c>
      <c r="AU26" s="19">
        <f t="shared" si="3"/>
        <v>11384037.23</v>
      </c>
      <c r="AV26" s="20">
        <f t="shared" si="4"/>
        <v>27182783.18</v>
      </c>
      <c r="AW26" s="25" t="s">
        <v>13</v>
      </c>
      <c r="AX26" s="16"/>
    </row>
    <row r="27" ht="15.75" customHeight="1">
      <c r="A27" s="16"/>
      <c r="B27" s="2" t="s">
        <v>14</v>
      </c>
      <c r="C27" s="17">
        <v>20.62936234406928</v>
      </c>
      <c r="D27" s="9">
        <v>150.2607949729889</v>
      </c>
      <c r="E27" s="9">
        <v>24.75530027825397</v>
      </c>
      <c r="F27" s="9">
        <v>486.8617011407854</v>
      </c>
      <c r="G27" s="9">
        <v>148.8733991974851</v>
      </c>
      <c r="H27" s="9">
        <v>8.823454932266648</v>
      </c>
      <c r="I27" s="9">
        <v>32.52131692553296</v>
      </c>
      <c r="J27" s="9">
        <v>4134.651279217383</v>
      </c>
      <c r="K27" s="9">
        <v>7.148211738765444</v>
      </c>
      <c r="L27" s="9">
        <v>2099.361497461352</v>
      </c>
      <c r="M27" s="9">
        <v>7508.532594397171</v>
      </c>
      <c r="N27" s="9">
        <v>17.48200415207332</v>
      </c>
      <c r="O27" s="9">
        <v>2.361490452455667</v>
      </c>
      <c r="P27" s="18">
        <v>149.5950611184104</v>
      </c>
      <c r="Q27" s="17">
        <v>158442.1723368626</v>
      </c>
      <c r="R27" s="9">
        <v>91753.8881205839</v>
      </c>
      <c r="S27" s="9">
        <v>99539.65545986852</v>
      </c>
      <c r="T27" s="9">
        <v>113474.5859849477</v>
      </c>
      <c r="U27" s="9">
        <v>146789.1540155624</v>
      </c>
      <c r="V27" s="9">
        <v>25640.82827767064</v>
      </c>
      <c r="W27" s="9">
        <v>362121.9480040092</v>
      </c>
      <c r="X27" s="9">
        <v>3779585.309258939</v>
      </c>
      <c r="Y27" s="9">
        <v>68545.02739567374</v>
      </c>
      <c r="Z27" s="9">
        <v>2942021.656268209</v>
      </c>
      <c r="AA27" s="9">
        <v>1.19166085511989E7</v>
      </c>
      <c r="AB27" s="9">
        <v>50347.55913734892</v>
      </c>
      <c r="AC27" s="9">
        <v>28946.10885414614</v>
      </c>
      <c r="AD27" s="18">
        <v>479283.4696904212</v>
      </c>
      <c r="AE27" s="17">
        <v>1889.76085570905</v>
      </c>
      <c r="AF27" s="9">
        <v>0.0</v>
      </c>
      <c r="AG27" s="9">
        <v>126.6485353230122</v>
      </c>
      <c r="AH27" s="9">
        <v>240.4135501404733</v>
      </c>
      <c r="AI27" s="9">
        <v>-15.82838138011536</v>
      </c>
      <c r="AJ27" s="9">
        <v>4.105898574624691</v>
      </c>
      <c r="AK27" s="18">
        <v>0.0</v>
      </c>
      <c r="AL27" s="17">
        <v>1.921487638349182E7</v>
      </c>
      <c r="AM27" s="9">
        <v>910965.0593006716</v>
      </c>
      <c r="AN27" s="9">
        <v>1.161346340408759E7</v>
      </c>
      <c r="AO27" s="9">
        <v>3305544.367448729</v>
      </c>
      <c r="AP27" s="9">
        <v>123639.7310161102</v>
      </c>
      <c r="AQ27" s="9">
        <v>2782.121509025499</v>
      </c>
      <c r="AR27" s="18">
        <v>0.0</v>
      </c>
      <c r="AS27" s="17">
        <f t="shared" si="5"/>
        <v>35171271.07</v>
      </c>
      <c r="AT27" s="9">
        <f t="shared" si="6"/>
        <v>2245.100458</v>
      </c>
      <c r="AU27" s="19">
        <f t="shared" si="3"/>
        <v>35173516.17</v>
      </c>
      <c r="AV27" s="20">
        <f t="shared" si="4"/>
        <v>55451407.94</v>
      </c>
      <c r="AW27" s="25" t="s">
        <v>14</v>
      </c>
      <c r="AX27" s="16"/>
    </row>
    <row r="28" ht="15.75" customHeight="1">
      <c r="A28" s="16"/>
      <c r="B28" s="2" t="s">
        <v>15</v>
      </c>
      <c r="C28" s="17">
        <v>0.08323127021432435</v>
      </c>
      <c r="D28" s="9">
        <v>0.9283802202779482</v>
      </c>
      <c r="E28" s="9">
        <v>0.1141543171151105</v>
      </c>
      <c r="F28" s="9">
        <v>1.320317101005468</v>
      </c>
      <c r="G28" s="9">
        <v>1.678225180260759</v>
      </c>
      <c r="H28" s="9">
        <v>5.650207263235055</v>
      </c>
      <c r="I28" s="9">
        <v>0.1112826808887167</v>
      </c>
      <c r="J28" s="9">
        <v>155.8873742281018</v>
      </c>
      <c r="K28" s="9">
        <v>0.04823861237186795</v>
      </c>
      <c r="L28" s="9">
        <v>25.12464297131107</v>
      </c>
      <c r="M28" s="9">
        <v>5.355864106421086</v>
      </c>
      <c r="N28" s="9">
        <v>15.34346949203117</v>
      </c>
      <c r="O28" s="9">
        <v>0.03489528165428532</v>
      </c>
      <c r="P28" s="18">
        <v>0.510068618704345</v>
      </c>
      <c r="Q28" s="17">
        <v>2145.983065035291</v>
      </c>
      <c r="R28" s="9">
        <v>1669.679855927693</v>
      </c>
      <c r="S28" s="9">
        <v>3015.863182322725</v>
      </c>
      <c r="T28" s="9">
        <v>4318.304081373272</v>
      </c>
      <c r="U28" s="9">
        <v>2912.197728129626</v>
      </c>
      <c r="V28" s="9">
        <v>11475.42617674844</v>
      </c>
      <c r="W28" s="9">
        <v>6237.776543297759</v>
      </c>
      <c r="X28" s="9">
        <v>66726.37668191784</v>
      </c>
      <c r="Y28" s="9">
        <v>732.8542991184167</v>
      </c>
      <c r="Z28" s="9">
        <v>27381.41786239854</v>
      </c>
      <c r="AA28" s="9">
        <v>77180.18832491338</v>
      </c>
      <c r="AB28" s="9">
        <v>27810.594848647</v>
      </c>
      <c r="AC28" s="9">
        <v>2770.819540097979</v>
      </c>
      <c r="AD28" s="18">
        <v>7535.997261177888</v>
      </c>
      <c r="AE28" s="17">
        <v>3.097445822173814</v>
      </c>
      <c r="AF28" s="9">
        <v>0.0</v>
      </c>
      <c r="AG28" s="9">
        <v>0.06246148626304529</v>
      </c>
      <c r="AH28" s="9">
        <v>2.437501145096102</v>
      </c>
      <c r="AI28" s="9">
        <v>4.843644756390735</v>
      </c>
      <c r="AJ28" s="9">
        <v>0.8953510899473404</v>
      </c>
      <c r="AK28" s="18">
        <v>0.0</v>
      </c>
      <c r="AL28" s="17">
        <v>59356.02736672117</v>
      </c>
      <c r="AM28" s="9">
        <v>433.8032171170188</v>
      </c>
      <c r="AN28" s="9">
        <v>27888.70114732236</v>
      </c>
      <c r="AO28" s="9">
        <v>1264.828890250356</v>
      </c>
      <c r="AP28" s="9">
        <v>1275.908063582274</v>
      </c>
      <c r="AQ28" s="9">
        <v>216.1845456227803</v>
      </c>
      <c r="AR28" s="18">
        <v>0.0</v>
      </c>
      <c r="AS28" s="9">
        <f t="shared" si="5"/>
        <v>90435.45323</v>
      </c>
      <c r="AT28" s="9">
        <f t="shared" si="6"/>
        <v>11.3364043</v>
      </c>
      <c r="AU28" s="19">
        <f t="shared" si="3"/>
        <v>90446.78963</v>
      </c>
      <c r="AV28" s="20">
        <f t="shared" si="4"/>
        <v>332572.4594</v>
      </c>
      <c r="AW28" s="25" t="s">
        <v>15</v>
      </c>
      <c r="AX28" s="16"/>
    </row>
    <row r="29" ht="15.75" customHeight="1">
      <c r="A29" s="16"/>
      <c r="B29" s="2" t="s">
        <v>16</v>
      </c>
      <c r="C29" s="17">
        <v>0.02932170586680652</v>
      </c>
      <c r="D29" s="9">
        <v>0.3692947263036774</v>
      </c>
      <c r="E29" s="9">
        <v>0.05794727043915426</v>
      </c>
      <c r="F29" s="9">
        <v>0.6269436080571128</v>
      </c>
      <c r="G29" s="9">
        <v>0.7068987206062264</v>
      </c>
      <c r="H29" s="9">
        <v>0.6177586959551622</v>
      </c>
      <c r="I29" s="9">
        <v>0.1423666216542104</v>
      </c>
      <c r="J29" s="9">
        <v>14.45739950166515</v>
      </c>
      <c r="K29" s="9">
        <v>0.02677332126951932</v>
      </c>
      <c r="L29" s="9">
        <v>20.73597195934589</v>
      </c>
      <c r="M29" s="9">
        <v>3.265326376434578</v>
      </c>
      <c r="N29" s="9">
        <v>1.337729909998048</v>
      </c>
      <c r="O29" s="9">
        <v>0.005109047585374299</v>
      </c>
      <c r="P29" s="18">
        <v>0.2596581441226977</v>
      </c>
      <c r="Q29" s="17">
        <v>4585.715206186791</v>
      </c>
      <c r="R29" s="9">
        <v>1399.386549015269</v>
      </c>
      <c r="S29" s="9">
        <v>1267.579423642632</v>
      </c>
      <c r="T29" s="9">
        <v>1513.809359811582</v>
      </c>
      <c r="U29" s="9">
        <v>1678.04549996104</v>
      </c>
      <c r="V29" s="9">
        <v>1289.169644103945</v>
      </c>
      <c r="W29" s="9">
        <v>3367.021406584129</v>
      </c>
      <c r="X29" s="9">
        <v>27465.18930793762</v>
      </c>
      <c r="Y29" s="9">
        <v>1112.864665893082</v>
      </c>
      <c r="Z29" s="9">
        <v>15449.48490331748</v>
      </c>
      <c r="AA29" s="9">
        <v>42739.89349635813</v>
      </c>
      <c r="AB29" s="9">
        <v>2611.016383189459</v>
      </c>
      <c r="AC29" s="9">
        <v>10850.18921725735</v>
      </c>
      <c r="AD29" s="18">
        <v>5374.079997282348</v>
      </c>
      <c r="AE29" s="17">
        <v>2.595800755776077</v>
      </c>
      <c r="AF29" s="9">
        <v>0.0</v>
      </c>
      <c r="AG29" s="9">
        <v>0.03618247642663451</v>
      </c>
      <c r="AH29" s="9">
        <v>6.375250018953876</v>
      </c>
      <c r="AI29" s="9">
        <v>0.06411481150692508</v>
      </c>
      <c r="AJ29" s="9">
        <v>0.1176715101844378</v>
      </c>
      <c r="AK29" s="18">
        <v>0.0</v>
      </c>
      <c r="AL29" s="17">
        <v>109252.564615866</v>
      </c>
      <c r="AM29" s="9">
        <v>58.15450903888431</v>
      </c>
      <c r="AN29" s="9">
        <v>7502.937585098122</v>
      </c>
      <c r="AO29" s="9">
        <v>1778.501972785819</v>
      </c>
      <c r="AP29" s="9">
        <v>-72.78056898447542</v>
      </c>
      <c r="AQ29" s="9">
        <v>50.51849577798351</v>
      </c>
      <c r="AR29" s="18">
        <v>0.0</v>
      </c>
      <c r="AS29" s="9">
        <f t="shared" si="5"/>
        <v>118569.8966</v>
      </c>
      <c r="AT29" s="9">
        <f t="shared" si="6"/>
        <v>9.189019573</v>
      </c>
      <c r="AU29" s="19">
        <f t="shared" si="3"/>
        <v>118579.0856</v>
      </c>
      <c r="AV29" s="20">
        <f t="shared" si="4"/>
        <v>239325.1692</v>
      </c>
      <c r="AW29" s="25" t="s">
        <v>16</v>
      </c>
      <c r="AX29" s="16"/>
    </row>
    <row r="30" ht="15.75" customHeight="1">
      <c r="A30" s="21"/>
      <c r="B30" s="26" t="s">
        <v>17</v>
      </c>
      <c r="C30" s="17">
        <v>1.964441900060895</v>
      </c>
      <c r="D30" s="9">
        <v>11.88858682991016</v>
      </c>
      <c r="E30" s="9">
        <v>2.708743880487114</v>
      </c>
      <c r="F30" s="9">
        <v>13.91454761429686</v>
      </c>
      <c r="G30" s="9">
        <v>16.9068704946544</v>
      </c>
      <c r="H30" s="9">
        <v>1.399880382837125</v>
      </c>
      <c r="I30" s="9">
        <v>2.619536702581952</v>
      </c>
      <c r="J30" s="9">
        <v>372.0463722928534</v>
      </c>
      <c r="K30" s="9">
        <v>0.359682548404572</v>
      </c>
      <c r="L30" s="9">
        <v>1303.956277830125</v>
      </c>
      <c r="M30" s="9">
        <v>7248.500480069238</v>
      </c>
      <c r="N30" s="9">
        <v>2.777769686652587</v>
      </c>
      <c r="O30" s="9">
        <v>0.8306994715953472</v>
      </c>
      <c r="P30" s="18">
        <v>76.3212517013102</v>
      </c>
      <c r="Q30" s="17">
        <v>7916.945690273786</v>
      </c>
      <c r="R30" s="9">
        <v>6385.724759419541</v>
      </c>
      <c r="S30" s="9">
        <v>5460.578903252706</v>
      </c>
      <c r="T30" s="9">
        <v>11204.75599928303</v>
      </c>
      <c r="U30" s="9">
        <v>5962.186211779387</v>
      </c>
      <c r="V30" s="9">
        <v>785.4843734733023</v>
      </c>
      <c r="W30" s="9">
        <v>19200.85112724437</v>
      </c>
      <c r="X30" s="9">
        <v>266448.0421069262</v>
      </c>
      <c r="Y30" s="9">
        <v>4293.706264940352</v>
      </c>
      <c r="Z30" s="9">
        <v>275122.3997870517</v>
      </c>
      <c r="AA30" s="9">
        <v>771357.8034851889</v>
      </c>
      <c r="AB30" s="9">
        <v>2266.376667120408</v>
      </c>
      <c r="AC30" s="9">
        <v>992.6559758681432</v>
      </c>
      <c r="AD30" s="18">
        <v>40077.98308807753</v>
      </c>
      <c r="AE30" s="22">
        <v>7.841953225606806</v>
      </c>
      <c r="AF30" s="23">
        <v>0.0</v>
      </c>
      <c r="AG30" s="23">
        <v>0.1249853774649127</v>
      </c>
      <c r="AH30" s="23">
        <v>3.743880856367821</v>
      </c>
      <c r="AI30" s="23">
        <v>-0.3040584520035439</v>
      </c>
      <c r="AJ30" s="23">
        <v>0.05288816146539875</v>
      </c>
      <c r="AK30" s="24">
        <v>0.0</v>
      </c>
      <c r="AL30" s="22">
        <v>2716276.360358094</v>
      </c>
      <c r="AM30" s="23">
        <v>29605.39222160448</v>
      </c>
      <c r="AN30" s="23">
        <v>76762.7191681192</v>
      </c>
      <c r="AO30" s="23">
        <v>7526.205671279502</v>
      </c>
      <c r="AP30" s="23">
        <v>33012.51234253689</v>
      </c>
      <c r="AQ30" s="23">
        <v>7549.744209818788</v>
      </c>
      <c r="AR30" s="24">
        <v>0.0</v>
      </c>
      <c r="AS30" s="22">
        <f t="shared" si="5"/>
        <v>2870732.934</v>
      </c>
      <c r="AT30" s="24">
        <f t="shared" si="6"/>
        <v>11.45964917</v>
      </c>
      <c r="AU30" s="27">
        <f t="shared" si="3"/>
        <v>2870744.394</v>
      </c>
      <c r="AV30" s="28">
        <f t="shared" si="4"/>
        <v>4297276.083</v>
      </c>
      <c r="AW30" s="25" t="s">
        <v>17</v>
      </c>
      <c r="AX30" s="21"/>
    </row>
    <row r="31" ht="15.75" customHeight="1">
      <c r="A31" s="9"/>
      <c r="B31" s="29" t="s">
        <v>29</v>
      </c>
      <c r="C31" s="30">
        <f>$AV3-C32</f>
        <v>1961.633214</v>
      </c>
      <c r="D31" s="30">
        <f>$AV4-D32</f>
        <v>2093.439751</v>
      </c>
      <c r="E31" s="30">
        <f>$AV5-E32</f>
        <v>1510.310496</v>
      </c>
      <c r="F31" s="30">
        <f>$AV6-F32</f>
        <v>2103.764017</v>
      </c>
      <c r="G31" s="30">
        <f>$AV7-G32</f>
        <v>13220.68784</v>
      </c>
      <c r="H31" s="30">
        <f>$AV8-H32</f>
        <v>1002.7442</v>
      </c>
      <c r="I31" s="30">
        <f>$AV9-I32</f>
        <v>4074.807766</v>
      </c>
      <c r="J31" s="30">
        <f>$AV10-J32</f>
        <v>92225.17539</v>
      </c>
      <c r="K31" s="30">
        <f>$AV11-K32</f>
        <v>51.98525067</v>
      </c>
      <c r="L31" s="30">
        <f>$AV12-L32</f>
        <v>83982.70678</v>
      </c>
      <c r="M31" s="30">
        <f>$AV13-M32</f>
        <v>170193.7225</v>
      </c>
      <c r="N31" s="30">
        <f>$AV14-N32</f>
        <v>1979.81326</v>
      </c>
      <c r="O31" s="30">
        <f>$AV15-O32</f>
        <v>654.951</v>
      </c>
      <c r="P31" s="30">
        <f>$AV16-P32</f>
        <v>22104.75525</v>
      </c>
      <c r="Q31" s="30">
        <f>$AV17-Q32</f>
        <v>1894882.969</v>
      </c>
      <c r="R31" s="30">
        <f>$AV18-R32</f>
        <v>339814.522</v>
      </c>
      <c r="S31" s="30">
        <f>$AV19-S32</f>
        <v>1150897.811</v>
      </c>
      <c r="T31" s="30">
        <f>$AV20-T32</f>
        <v>604837.9045</v>
      </c>
      <c r="U31" s="30">
        <f>$AV21-U32</f>
        <v>819093.1277</v>
      </c>
      <c r="V31" s="30">
        <f>$AV22-V32</f>
        <v>68791.04452</v>
      </c>
      <c r="W31" s="30">
        <f>$AV23-W32</f>
        <v>2588536.436</v>
      </c>
      <c r="X31" s="30">
        <f>$AV24-X32</f>
        <v>16695150.51</v>
      </c>
      <c r="Y31" s="30">
        <f>$AV25-Y32</f>
        <v>139355.7448</v>
      </c>
      <c r="Z31" s="30">
        <f>$AV26-Z32</f>
        <v>16176106.94</v>
      </c>
      <c r="AA31" s="30">
        <f>$AV27-AA32</f>
        <v>34708487.55</v>
      </c>
      <c r="AB31" s="30">
        <f>$AV28-AB32</f>
        <v>158030.979</v>
      </c>
      <c r="AC31" s="30">
        <f>$AV29-AC32</f>
        <v>139710.8041</v>
      </c>
      <c r="AD31" s="31">
        <f>$AV30-AD32</f>
        <v>2483362.578</v>
      </c>
      <c r="AE31" s="32">
        <f>SUM(C31:AD31)</f>
        <v>78364219.42</v>
      </c>
      <c r="AF31" s="32" t="s">
        <v>30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ht="15.75" customHeight="1">
      <c r="A32" s="9"/>
      <c r="B32" s="33" t="s">
        <v>31</v>
      </c>
      <c r="C32" s="34">
        <f t="shared" ref="C32:AD32" si="7">SUM(C3:C30)</f>
        <v>2092.001522</v>
      </c>
      <c r="D32" s="34">
        <f t="shared" si="7"/>
        <v>3578.582427</v>
      </c>
      <c r="E32" s="34">
        <f t="shared" si="7"/>
        <v>2797.490227</v>
      </c>
      <c r="F32" s="34">
        <f t="shared" si="7"/>
        <v>5796.706165</v>
      </c>
      <c r="G32" s="34">
        <f t="shared" si="7"/>
        <v>6479.813124</v>
      </c>
      <c r="H32" s="34">
        <f t="shared" si="7"/>
        <v>1399.994508</v>
      </c>
      <c r="I32" s="34">
        <f t="shared" si="7"/>
        <v>2891.828032</v>
      </c>
      <c r="J32" s="34">
        <f t="shared" si="7"/>
        <v>144647.9564</v>
      </c>
      <c r="K32" s="34">
        <f t="shared" si="7"/>
        <v>484.545772</v>
      </c>
      <c r="L32" s="34">
        <f t="shared" si="7"/>
        <v>62155.53722</v>
      </c>
      <c r="M32" s="34">
        <f t="shared" si="7"/>
        <v>114389.0071</v>
      </c>
      <c r="N32" s="34">
        <f t="shared" si="7"/>
        <v>2709.965756</v>
      </c>
      <c r="O32" s="34">
        <f t="shared" si="7"/>
        <v>461.219</v>
      </c>
      <c r="P32" s="34">
        <f t="shared" si="7"/>
        <v>8486.468465</v>
      </c>
      <c r="Q32" s="34">
        <f t="shared" si="7"/>
        <v>1679571.338</v>
      </c>
      <c r="R32" s="34">
        <f t="shared" si="7"/>
        <v>737120.7091</v>
      </c>
      <c r="S32" s="34">
        <f t="shared" si="7"/>
        <v>975189.4101</v>
      </c>
      <c r="T32" s="34">
        <f t="shared" si="7"/>
        <v>1682515.105</v>
      </c>
      <c r="U32" s="34">
        <f t="shared" si="7"/>
        <v>1895368.246</v>
      </c>
      <c r="V32" s="34">
        <f t="shared" si="7"/>
        <v>79716.34359</v>
      </c>
      <c r="W32" s="34">
        <f t="shared" si="7"/>
        <v>1902833.055</v>
      </c>
      <c r="X32" s="34">
        <f t="shared" si="7"/>
        <v>33922404.95</v>
      </c>
      <c r="Y32" s="34">
        <f t="shared" si="7"/>
        <v>612854.0175</v>
      </c>
      <c r="Z32" s="34">
        <f t="shared" si="7"/>
        <v>11006676.24</v>
      </c>
      <c r="AA32" s="34">
        <f t="shared" si="7"/>
        <v>20742920.39</v>
      </c>
      <c r="AB32" s="34">
        <f t="shared" si="7"/>
        <v>174541.4804</v>
      </c>
      <c r="AC32" s="34">
        <f t="shared" si="7"/>
        <v>99614.36511</v>
      </c>
      <c r="AD32" s="35">
        <f t="shared" si="7"/>
        <v>1813913.506</v>
      </c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ht="15.75" customHeight="1">
      <c r="A33" s="9"/>
      <c r="B33" s="36" t="s">
        <v>32</v>
      </c>
      <c r="C33" s="37">
        <f t="shared" ref="C33:AD33" si="8">SUM(C3:C31)</f>
        <v>4053.634736</v>
      </c>
      <c r="D33" s="37">
        <f t="shared" si="8"/>
        <v>5672.022178</v>
      </c>
      <c r="E33" s="37">
        <f t="shared" si="8"/>
        <v>4307.800723</v>
      </c>
      <c r="F33" s="37">
        <f t="shared" si="8"/>
        <v>7900.470182</v>
      </c>
      <c r="G33" s="37">
        <f t="shared" si="8"/>
        <v>19700.50097</v>
      </c>
      <c r="H33" s="37">
        <f t="shared" si="8"/>
        <v>2402.738707</v>
      </c>
      <c r="I33" s="37">
        <f t="shared" si="8"/>
        <v>6966.635798</v>
      </c>
      <c r="J33" s="37">
        <f t="shared" si="8"/>
        <v>236873.1317</v>
      </c>
      <c r="K33" s="37">
        <f t="shared" si="8"/>
        <v>536.5310227</v>
      </c>
      <c r="L33" s="37">
        <f t="shared" si="8"/>
        <v>146138.244</v>
      </c>
      <c r="M33" s="37">
        <f t="shared" si="8"/>
        <v>284582.7295</v>
      </c>
      <c r="N33" s="37">
        <f t="shared" si="8"/>
        <v>4689.779016</v>
      </c>
      <c r="O33" s="37">
        <f t="shared" si="8"/>
        <v>1116.17</v>
      </c>
      <c r="P33" s="37">
        <f t="shared" si="8"/>
        <v>30591.22371</v>
      </c>
      <c r="Q33" s="37">
        <f t="shared" si="8"/>
        <v>3574454.307</v>
      </c>
      <c r="R33" s="37">
        <f t="shared" si="8"/>
        <v>1076935.231</v>
      </c>
      <c r="S33" s="37">
        <f t="shared" si="8"/>
        <v>2126087.221</v>
      </c>
      <c r="T33" s="37">
        <f t="shared" si="8"/>
        <v>2287353.009</v>
      </c>
      <c r="U33" s="37">
        <f t="shared" si="8"/>
        <v>2714461.374</v>
      </c>
      <c r="V33" s="37">
        <f t="shared" si="8"/>
        <v>148507.3881</v>
      </c>
      <c r="W33" s="37">
        <f t="shared" si="8"/>
        <v>4491369.491</v>
      </c>
      <c r="X33" s="37">
        <f t="shared" si="8"/>
        <v>50617555.46</v>
      </c>
      <c r="Y33" s="37">
        <f t="shared" si="8"/>
        <v>752209.7624</v>
      </c>
      <c r="Z33" s="37">
        <f t="shared" si="8"/>
        <v>27182783.18</v>
      </c>
      <c r="AA33" s="37">
        <f t="shared" si="8"/>
        <v>55451407.94</v>
      </c>
      <c r="AB33" s="37">
        <f t="shared" si="8"/>
        <v>332572.4594</v>
      </c>
      <c r="AC33" s="37">
        <f t="shared" si="8"/>
        <v>239325.1692</v>
      </c>
      <c r="AD33" s="38">
        <f t="shared" si="8"/>
        <v>4297276.083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ht="15.75" customHeight="1">
      <c r="A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</row>
    <row r="35" ht="15.75" customHeight="1">
      <c r="A35" s="9"/>
      <c r="B35" s="39" t="s">
        <v>33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ht="15.75" customHeight="1">
      <c r="B36" s="1" t="s">
        <v>0</v>
      </c>
      <c r="C36" s="2" t="s">
        <v>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2" t="s">
        <v>2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</row>
    <row r="37" ht="15.75" customHeight="1">
      <c r="B37" s="5" t="s">
        <v>3</v>
      </c>
      <c r="C37" s="1" t="s">
        <v>4</v>
      </c>
      <c r="D37" s="1" t="s">
        <v>5</v>
      </c>
      <c r="E37" s="1" t="s">
        <v>6</v>
      </c>
      <c r="F37" s="1" t="s">
        <v>7</v>
      </c>
      <c r="G37" s="1" t="s">
        <v>8</v>
      </c>
      <c r="H37" s="1" t="s">
        <v>9</v>
      </c>
      <c r="I37" s="1" t="s">
        <v>10</v>
      </c>
      <c r="J37" s="1" t="s">
        <v>11</v>
      </c>
      <c r="K37" s="1" t="s">
        <v>12</v>
      </c>
      <c r="L37" s="1" t="s">
        <v>13</v>
      </c>
      <c r="M37" s="1" t="s">
        <v>14</v>
      </c>
      <c r="N37" s="1" t="s">
        <v>15</v>
      </c>
      <c r="O37" s="1" t="s">
        <v>16</v>
      </c>
      <c r="P37" s="1" t="s">
        <v>17</v>
      </c>
      <c r="Q37" s="5" t="s">
        <v>4</v>
      </c>
      <c r="R37" s="5" t="s">
        <v>5</v>
      </c>
      <c r="S37" s="5" t="s">
        <v>6</v>
      </c>
      <c r="T37" s="5" t="s">
        <v>7</v>
      </c>
      <c r="U37" s="5" t="s">
        <v>8</v>
      </c>
      <c r="V37" s="5" t="s">
        <v>9</v>
      </c>
      <c r="W37" s="5" t="s">
        <v>10</v>
      </c>
      <c r="X37" s="5" t="s">
        <v>11</v>
      </c>
      <c r="Y37" s="5" t="s">
        <v>12</v>
      </c>
      <c r="Z37" s="5" t="s">
        <v>13</v>
      </c>
      <c r="AA37" s="5" t="s">
        <v>14</v>
      </c>
      <c r="AB37" s="1" t="s">
        <v>15</v>
      </c>
      <c r="AC37" s="26" t="s">
        <v>16</v>
      </c>
      <c r="AD37" s="1" t="s">
        <v>17</v>
      </c>
    </row>
    <row r="38" ht="15.75" customHeight="1">
      <c r="A38" s="9" t="s">
        <v>34</v>
      </c>
      <c r="B38" s="41" t="s">
        <v>35</v>
      </c>
      <c r="C38" s="42">
        <v>1.599395405E9</v>
      </c>
      <c r="D38" s="42">
        <v>3.587600898E8</v>
      </c>
      <c r="E38" s="42">
        <v>1.422018201E9</v>
      </c>
      <c r="F38" s="42">
        <v>4.501120214E8</v>
      </c>
      <c r="G38" s="42">
        <v>5.485440117E8</v>
      </c>
      <c r="H38" s="42">
        <v>1.975489823E8</v>
      </c>
      <c r="I38" s="42">
        <v>1.348811516E9</v>
      </c>
      <c r="J38" s="42">
        <v>2.6932981668E10</v>
      </c>
      <c r="K38" s="42">
        <v>2.541129995E7</v>
      </c>
      <c r="L38" s="42">
        <v>2.4996084252E10</v>
      </c>
      <c r="M38" s="42">
        <v>5.812384122E9</v>
      </c>
      <c r="N38" s="42">
        <v>3.045105696E8</v>
      </c>
      <c r="O38" s="42">
        <v>6207549.366</v>
      </c>
      <c r="P38" s="42">
        <v>1.269548174E9</v>
      </c>
      <c r="Q38" s="42">
        <v>6.70602115573E11</v>
      </c>
      <c r="R38" s="42">
        <v>2.02554273436E11</v>
      </c>
      <c r="S38" s="42">
        <v>3.55284242092E11</v>
      </c>
      <c r="T38" s="42">
        <v>5.40857723573E11</v>
      </c>
      <c r="U38" s="42">
        <v>2.58664599387E11</v>
      </c>
      <c r="V38" s="42">
        <v>4.8940750472E10</v>
      </c>
      <c r="W38" s="42">
        <v>1.268162071905E12</v>
      </c>
      <c r="X38" s="42">
        <v>1.0717220105631E13</v>
      </c>
      <c r="Y38" s="42">
        <v>3.72430342643E11</v>
      </c>
      <c r="Z38" s="42">
        <v>1.6319027056517E13</v>
      </c>
      <c r="AA38" s="42">
        <v>1.700308756206E12</v>
      </c>
      <c r="AB38" s="43">
        <v>8.3590784657E10</v>
      </c>
      <c r="AC38" s="42">
        <v>2.3772824682E10</v>
      </c>
      <c r="AD38" s="44">
        <v>1.19998374518E11</v>
      </c>
    </row>
    <row r="39" ht="15.75" customHeight="1">
      <c r="B39" s="45" t="s">
        <v>36</v>
      </c>
      <c r="C39" s="43">
        <v>1.456430696E7</v>
      </c>
      <c r="D39" s="43">
        <v>1537193.892</v>
      </c>
      <c r="E39" s="43">
        <v>2.7359991E7</v>
      </c>
      <c r="F39" s="43">
        <v>1807094.242</v>
      </c>
      <c r="G39" s="43">
        <v>1726688.824</v>
      </c>
      <c r="H39" s="43">
        <v>1338099.206</v>
      </c>
      <c r="I39" s="43">
        <v>2.538400006E7</v>
      </c>
      <c r="J39" s="43">
        <v>7.63962409E7</v>
      </c>
      <c r="K39" s="43">
        <v>122854.7442</v>
      </c>
      <c r="L39" s="43">
        <v>8.803887689E7</v>
      </c>
      <c r="M39" s="43">
        <v>1.984653263E7</v>
      </c>
      <c r="N39" s="43">
        <v>2583157.201</v>
      </c>
      <c r="O39" s="43">
        <v>17230.29568</v>
      </c>
      <c r="P39" s="43">
        <v>1.300299727E7</v>
      </c>
      <c r="Q39" s="43">
        <v>8.165801132E9</v>
      </c>
      <c r="R39" s="43">
        <v>9.118432486E8</v>
      </c>
      <c r="S39" s="43">
        <v>4.721539586E9</v>
      </c>
      <c r="T39" s="43">
        <v>3.215760927E9</v>
      </c>
      <c r="U39" s="43">
        <v>1.238572984E9</v>
      </c>
      <c r="V39" s="43">
        <v>1.480013824E8</v>
      </c>
      <c r="W39" s="43">
        <v>3.425315802E9</v>
      </c>
      <c r="X39" s="43">
        <v>2.677766528E10</v>
      </c>
      <c r="Y39" s="43">
        <v>9.836065131E8</v>
      </c>
      <c r="Z39" s="43">
        <v>1.7845257369E10</v>
      </c>
      <c r="AA39" s="43">
        <v>1.4396814755E10</v>
      </c>
      <c r="AB39" s="43">
        <v>5.091670861E8</v>
      </c>
      <c r="AC39" s="43">
        <v>1.556410841E8</v>
      </c>
      <c r="AD39" s="46">
        <v>2.182400095E9</v>
      </c>
    </row>
    <row r="40" ht="15.75" customHeight="1">
      <c r="B40" s="47" t="s">
        <v>37</v>
      </c>
      <c r="C40" s="43">
        <v>0.0</v>
      </c>
      <c r="D40" s="43">
        <v>0.0</v>
      </c>
      <c r="E40" s="43">
        <v>5.572599601E9</v>
      </c>
      <c r="F40" s="43">
        <v>0.0</v>
      </c>
      <c r="G40" s="43">
        <v>0.0</v>
      </c>
      <c r="H40" s="43">
        <v>1.118487853E9</v>
      </c>
      <c r="I40" s="43">
        <v>0.0</v>
      </c>
      <c r="J40" s="43">
        <v>0.0</v>
      </c>
      <c r="K40" s="43">
        <v>0.0</v>
      </c>
      <c r="L40" s="43">
        <v>0.0</v>
      </c>
      <c r="M40" s="43">
        <v>0.0</v>
      </c>
      <c r="N40" s="43">
        <v>1.643973174E9</v>
      </c>
      <c r="O40" s="43">
        <v>0.0</v>
      </c>
      <c r="P40" s="43">
        <v>0.0</v>
      </c>
      <c r="Q40" s="43">
        <v>1.20053926897E12</v>
      </c>
      <c r="R40" s="43">
        <v>0.0</v>
      </c>
      <c r="S40" s="43">
        <v>2.962486480102E12</v>
      </c>
      <c r="T40" s="43">
        <v>0.0</v>
      </c>
      <c r="U40" s="43">
        <v>0.0</v>
      </c>
      <c r="V40" s="43">
        <v>1.495842188233E12</v>
      </c>
      <c r="W40" s="43">
        <v>0.0</v>
      </c>
      <c r="X40" s="43">
        <v>0.0</v>
      </c>
      <c r="Y40" s="43">
        <v>0.0</v>
      </c>
      <c r="Z40" s="43">
        <v>0.0</v>
      </c>
      <c r="AA40" s="43">
        <v>0.0</v>
      </c>
      <c r="AB40" s="43">
        <v>8.74586918021E11</v>
      </c>
      <c r="AC40" s="43">
        <v>0.0</v>
      </c>
      <c r="AD40" s="46">
        <v>0.0</v>
      </c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</row>
    <row r="41" ht="15.75" customHeight="1">
      <c r="A41" s="9"/>
      <c r="B41" s="48" t="s">
        <v>38</v>
      </c>
      <c r="C41" s="43">
        <v>1.810403803E7</v>
      </c>
      <c r="D41" s="43">
        <v>2151217.212</v>
      </c>
      <c r="E41" s="43">
        <v>1.681940128E7</v>
      </c>
      <c r="F41" s="43">
        <v>2387046.571</v>
      </c>
      <c r="G41" s="43">
        <v>2153840.847</v>
      </c>
      <c r="H41" s="43">
        <v>2057895.475</v>
      </c>
      <c r="I41" s="43">
        <v>1.04785579E7</v>
      </c>
      <c r="J41" s="43">
        <v>1.477607369E8</v>
      </c>
      <c r="K41" s="43">
        <v>149676.7113</v>
      </c>
      <c r="L41" s="43">
        <v>1.193205444E8</v>
      </c>
      <c r="M41" s="43">
        <v>4.391967656E7</v>
      </c>
      <c r="N41" s="43">
        <v>3256031.019</v>
      </c>
      <c r="O41" s="43">
        <v>63616.4185</v>
      </c>
      <c r="P41" s="43">
        <v>1.417528405E7</v>
      </c>
      <c r="Q41" s="43">
        <v>9.849554745E9</v>
      </c>
      <c r="R41" s="43">
        <v>1.272084202E9</v>
      </c>
      <c r="S41" s="43">
        <v>4.66788706E9</v>
      </c>
      <c r="T41" s="43">
        <v>3.740364275E9</v>
      </c>
      <c r="U41" s="43">
        <v>1.821984025E9</v>
      </c>
      <c r="V41" s="43">
        <v>2.243225774E8</v>
      </c>
      <c r="W41" s="43">
        <v>6.922893579E9</v>
      </c>
      <c r="X41" s="43">
        <v>5.2859796171E10</v>
      </c>
      <c r="Y41" s="43">
        <v>1.616244777E9</v>
      </c>
      <c r="Z41" s="43">
        <v>1.06622441999E11</v>
      </c>
      <c r="AA41" s="43">
        <v>1.4916700287E10</v>
      </c>
      <c r="AB41" s="43">
        <v>3.521797895E8</v>
      </c>
      <c r="AC41" s="43">
        <v>1.055221447E8</v>
      </c>
      <c r="AD41" s="46">
        <v>1.401770009E9</v>
      </c>
    </row>
    <row r="42" ht="15.75" customHeight="1">
      <c r="B42" s="49" t="s">
        <v>39</v>
      </c>
      <c r="C42" s="43">
        <v>3.6898335E7</v>
      </c>
      <c r="D42" s="43">
        <v>7551796.05</v>
      </c>
      <c r="E42" s="43">
        <v>6080196.623</v>
      </c>
      <c r="F42" s="43">
        <v>3311865.835</v>
      </c>
      <c r="G42" s="43">
        <v>1.18743894E7</v>
      </c>
      <c r="H42" s="43">
        <v>7.696652943E7</v>
      </c>
      <c r="I42" s="43">
        <v>1.214573627E8</v>
      </c>
      <c r="J42" s="43">
        <v>1.101655211E8</v>
      </c>
      <c r="K42" s="43">
        <v>1221786.99</v>
      </c>
      <c r="L42" s="43">
        <v>0.0</v>
      </c>
      <c r="M42" s="43">
        <v>0.0</v>
      </c>
      <c r="N42" s="43">
        <v>8.860217779E7</v>
      </c>
      <c r="O42" s="43">
        <v>0.0</v>
      </c>
      <c r="P42" s="43">
        <v>0.0</v>
      </c>
      <c r="Q42" s="43">
        <v>2.1037289017E10</v>
      </c>
      <c r="R42" s="43">
        <v>1.77538511E9</v>
      </c>
      <c r="S42" s="43">
        <v>2.497399972E9</v>
      </c>
      <c r="T42" s="43">
        <v>4.957460129E8</v>
      </c>
      <c r="U42" s="43">
        <v>1.00042326E9</v>
      </c>
      <c r="V42" s="43">
        <v>3.3242258623E10</v>
      </c>
      <c r="W42" s="43">
        <v>5.951574383E10</v>
      </c>
      <c r="X42" s="43">
        <v>8.0459782391E10</v>
      </c>
      <c r="Y42" s="43">
        <v>6.901977389E8</v>
      </c>
      <c r="Z42" s="43">
        <v>0.0</v>
      </c>
      <c r="AA42" s="43">
        <v>0.0</v>
      </c>
      <c r="AB42" s="43">
        <v>1.3386852096E10</v>
      </c>
      <c r="AC42" s="43">
        <v>0.0</v>
      </c>
      <c r="AD42" s="46">
        <v>0.0</v>
      </c>
      <c r="CG42" s="9">
        <f>SUM(C43:AB43)</f>
        <v>39647132586299</v>
      </c>
    </row>
    <row r="43" ht="15.75" customHeight="1">
      <c r="B43" s="22" t="s">
        <v>40</v>
      </c>
      <c r="C43" s="50">
        <f t="shared" ref="C43:AD43" si="9">SUM(C38:C42)</f>
        <v>1668962085</v>
      </c>
      <c r="D43" s="50">
        <f t="shared" si="9"/>
        <v>370000297</v>
      </c>
      <c r="E43" s="50">
        <f t="shared" si="9"/>
        <v>7044877391</v>
      </c>
      <c r="F43" s="50">
        <f t="shared" si="9"/>
        <v>457618028</v>
      </c>
      <c r="G43" s="50">
        <f t="shared" si="9"/>
        <v>564298930.8</v>
      </c>
      <c r="H43" s="50">
        <f t="shared" si="9"/>
        <v>1396399359</v>
      </c>
      <c r="I43" s="50">
        <f t="shared" si="9"/>
        <v>1506131437</v>
      </c>
      <c r="J43" s="50">
        <f t="shared" si="9"/>
        <v>27267304167</v>
      </c>
      <c r="K43" s="50">
        <f t="shared" si="9"/>
        <v>26905618.4</v>
      </c>
      <c r="L43" s="50">
        <f t="shared" si="9"/>
        <v>25203443673</v>
      </c>
      <c r="M43" s="50">
        <f t="shared" si="9"/>
        <v>5876150331</v>
      </c>
      <c r="N43" s="50">
        <f t="shared" si="9"/>
        <v>2042925110</v>
      </c>
      <c r="O43" s="50">
        <f t="shared" si="9"/>
        <v>6288396.08</v>
      </c>
      <c r="P43" s="50">
        <f t="shared" si="9"/>
        <v>1296726455</v>
      </c>
      <c r="Q43" s="50">
        <f t="shared" si="9"/>
        <v>1910194029437</v>
      </c>
      <c r="R43" s="50">
        <f t="shared" si="9"/>
        <v>206513585997</v>
      </c>
      <c r="S43" s="50">
        <f t="shared" si="9"/>
        <v>3329657548812</v>
      </c>
      <c r="T43" s="50">
        <f t="shared" si="9"/>
        <v>548309594788</v>
      </c>
      <c r="U43" s="50">
        <f t="shared" si="9"/>
        <v>262725579656</v>
      </c>
      <c r="V43" s="50">
        <f t="shared" si="9"/>
        <v>1578397521288</v>
      </c>
      <c r="W43" s="50">
        <f t="shared" si="9"/>
        <v>1338026025116</v>
      </c>
      <c r="X43" s="50">
        <f t="shared" si="9"/>
        <v>10877317349473</v>
      </c>
      <c r="Y43" s="50">
        <f t="shared" si="9"/>
        <v>375720391672</v>
      </c>
      <c r="Z43" s="50">
        <f t="shared" si="9"/>
        <v>16443494755885</v>
      </c>
      <c r="AA43" s="50">
        <f t="shared" si="9"/>
        <v>1729622271248</v>
      </c>
      <c r="AB43" s="50">
        <f t="shared" si="9"/>
        <v>972425901650</v>
      </c>
      <c r="AC43" s="50">
        <f t="shared" si="9"/>
        <v>24033987911</v>
      </c>
      <c r="AD43" s="50">
        <f t="shared" si="9"/>
        <v>123582544622</v>
      </c>
      <c r="AE43" s="51">
        <f>SUM(C43:AD43)</f>
        <v>39794749118832</v>
      </c>
    </row>
    <row r="44" ht="15.75" customHeight="1">
      <c r="B44" s="52" t="s">
        <v>0</v>
      </c>
      <c r="C44" s="2" t="s">
        <v>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2" t="s">
        <v>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</row>
    <row r="45" ht="15.75" customHeight="1">
      <c r="B45" s="5" t="s">
        <v>3</v>
      </c>
      <c r="C45" s="1" t="s">
        <v>4</v>
      </c>
      <c r="D45" s="1" t="s">
        <v>5</v>
      </c>
      <c r="E45" s="1" t="s">
        <v>6</v>
      </c>
      <c r="F45" s="1" t="s">
        <v>7</v>
      </c>
      <c r="G45" s="1" t="s">
        <v>8</v>
      </c>
      <c r="H45" s="1" t="s">
        <v>9</v>
      </c>
      <c r="I45" s="1" t="s">
        <v>10</v>
      </c>
      <c r="J45" s="1" t="s">
        <v>11</v>
      </c>
      <c r="K45" s="1" t="s">
        <v>12</v>
      </c>
      <c r="L45" s="1" t="s">
        <v>13</v>
      </c>
      <c r="M45" s="1" t="s">
        <v>14</v>
      </c>
      <c r="N45" s="1" t="s">
        <v>15</v>
      </c>
      <c r="O45" s="1" t="s">
        <v>16</v>
      </c>
      <c r="P45" s="1" t="s">
        <v>17</v>
      </c>
      <c r="Q45" s="5" t="s">
        <v>4</v>
      </c>
      <c r="R45" s="5" t="s">
        <v>5</v>
      </c>
      <c r="S45" s="5" t="s">
        <v>6</v>
      </c>
      <c r="T45" s="5" t="s">
        <v>7</v>
      </c>
      <c r="U45" s="5" t="s">
        <v>8</v>
      </c>
      <c r="V45" s="5" t="s">
        <v>9</v>
      </c>
      <c r="W45" s="5" t="s">
        <v>10</v>
      </c>
      <c r="X45" s="5" t="s">
        <v>11</v>
      </c>
      <c r="Y45" s="5" t="s">
        <v>12</v>
      </c>
      <c r="Z45" s="5" t="s">
        <v>13</v>
      </c>
      <c r="AA45" s="5" t="s">
        <v>14</v>
      </c>
      <c r="AB45" s="1" t="s">
        <v>15</v>
      </c>
      <c r="AC45" s="26" t="s">
        <v>16</v>
      </c>
      <c r="AD45" s="1" t="s">
        <v>17</v>
      </c>
    </row>
    <row r="46" ht="15.75" customHeight="1">
      <c r="A46" s="9" t="s">
        <v>41</v>
      </c>
      <c r="B46" s="10" t="s">
        <v>42</v>
      </c>
      <c r="C46" s="11">
        <v>9814.980799749621</v>
      </c>
      <c r="D46" s="11">
        <v>0.0</v>
      </c>
      <c r="E46" s="11">
        <v>0.0</v>
      </c>
      <c r="F46" s="11">
        <v>0.0</v>
      </c>
      <c r="G46" s="11">
        <v>0.0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1">
        <v>9360265.002445161</v>
      </c>
      <c r="R46" s="11">
        <v>0.0</v>
      </c>
      <c r="S46" s="11">
        <v>0.0</v>
      </c>
      <c r="T46" s="11">
        <v>0.0</v>
      </c>
      <c r="U46" s="11">
        <v>0.0</v>
      </c>
      <c r="V46" s="11">
        <v>0.0</v>
      </c>
      <c r="W46" s="11">
        <v>0.0</v>
      </c>
      <c r="X46" s="11">
        <v>0.0</v>
      </c>
      <c r="Y46" s="11">
        <v>0.0</v>
      </c>
      <c r="Z46" s="11">
        <v>0.0</v>
      </c>
      <c r="AA46" s="11">
        <v>0.0</v>
      </c>
      <c r="AB46" s="11">
        <v>0.0</v>
      </c>
      <c r="AC46" s="11">
        <v>0.0</v>
      </c>
      <c r="AD46" s="12">
        <v>0.0</v>
      </c>
    </row>
    <row r="47" ht="15.75" customHeight="1">
      <c r="A47" s="9"/>
      <c r="B47" s="17" t="s">
        <v>43</v>
      </c>
      <c r="C47" s="9">
        <v>0.0</v>
      </c>
      <c r="D47" s="9">
        <v>0.0</v>
      </c>
      <c r="E47" s="9">
        <v>15943.32515583468</v>
      </c>
      <c r="F47" s="9">
        <v>0.0</v>
      </c>
      <c r="G47" s="9">
        <v>0.0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0.0</v>
      </c>
      <c r="Q47" s="9">
        <v>0.0</v>
      </c>
      <c r="R47" s="9">
        <v>0.0</v>
      </c>
      <c r="S47" s="9">
        <v>1.4027396949916366E7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0.0</v>
      </c>
      <c r="Z47" s="9">
        <v>0.0</v>
      </c>
      <c r="AA47" s="9">
        <v>0.0</v>
      </c>
      <c r="AB47" s="9">
        <v>0.0</v>
      </c>
      <c r="AC47" s="9">
        <v>0.0</v>
      </c>
      <c r="AD47" s="18">
        <v>0.0</v>
      </c>
    </row>
    <row r="48" ht="15.75" customHeight="1">
      <c r="B48" s="17" t="s">
        <v>44</v>
      </c>
      <c r="C48" s="9">
        <v>0.0</v>
      </c>
      <c r="D48" s="9">
        <v>0.0</v>
      </c>
      <c r="E48" s="9">
        <v>0.0</v>
      </c>
      <c r="F48" s="9">
        <v>0.0</v>
      </c>
      <c r="G48" s="9">
        <v>0.0</v>
      </c>
      <c r="H48" s="9">
        <v>0.0</v>
      </c>
      <c r="I48" s="9">
        <v>10298.25084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0.0</v>
      </c>
      <c r="U48" s="9">
        <v>0.0</v>
      </c>
      <c r="V48" s="9">
        <v>0.0</v>
      </c>
      <c r="W48" s="9">
        <v>2474629.42487</v>
      </c>
      <c r="X48" s="9">
        <v>0.0</v>
      </c>
      <c r="Y48" s="9">
        <v>0.0</v>
      </c>
      <c r="Z48" s="9">
        <v>0.0</v>
      </c>
      <c r="AA48" s="9">
        <v>0.0</v>
      </c>
      <c r="AB48" s="9">
        <v>0.0</v>
      </c>
      <c r="AC48" s="9">
        <v>0.0</v>
      </c>
      <c r="AD48" s="18">
        <v>0.0</v>
      </c>
    </row>
    <row r="49" ht="15.75" customHeight="1">
      <c r="B49" s="17" t="s">
        <v>45</v>
      </c>
      <c r="C49" s="9">
        <v>0.0</v>
      </c>
      <c r="D49" s="9">
        <v>0.0</v>
      </c>
      <c r="E49" s="9">
        <v>0.35</v>
      </c>
      <c r="F49" s="9">
        <v>0.0</v>
      </c>
      <c r="G49" s="9">
        <v>0.0</v>
      </c>
      <c r="H49" s="9">
        <v>0.0</v>
      </c>
      <c r="I49" s="9">
        <v>0.0</v>
      </c>
      <c r="J49" s="9">
        <v>0.0</v>
      </c>
      <c r="K49" s="9">
        <v>0.0</v>
      </c>
      <c r="L49" s="9">
        <v>0.0</v>
      </c>
      <c r="M49" s="9">
        <v>0.0</v>
      </c>
      <c r="N49" s="9">
        <v>0.0</v>
      </c>
      <c r="O49" s="9">
        <v>0.0</v>
      </c>
      <c r="P49" s="9">
        <v>0.0</v>
      </c>
      <c r="Q49" s="9">
        <v>0.0</v>
      </c>
      <c r="R49" s="9">
        <v>0.0</v>
      </c>
      <c r="S49" s="9">
        <v>73610.24559680095</v>
      </c>
      <c r="T49" s="9">
        <v>0.0</v>
      </c>
      <c r="U49" s="9">
        <v>0.0</v>
      </c>
      <c r="V49" s="9">
        <v>0.0</v>
      </c>
      <c r="W49" s="9">
        <v>0.0</v>
      </c>
      <c r="X49" s="9">
        <v>0.0</v>
      </c>
      <c r="Y49" s="9">
        <v>0.0</v>
      </c>
      <c r="Z49" s="9">
        <v>0.0</v>
      </c>
      <c r="AA49" s="9">
        <v>0.0</v>
      </c>
      <c r="AB49" s="9">
        <v>0.0</v>
      </c>
      <c r="AC49" s="9">
        <v>0.0</v>
      </c>
      <c r="AD49" s="18">
        <v>0.0</v>
      </c>
    </row>
    <row r="50" ht="15.75" customHeight="1">
      <c r="B50" s="17" t="s">
        <v>46</v>
      </c>
      <c r="C50" s="9">
        <v>0.0</v>
      </c>
      <c r="D50" s="9">
        <v>0.0</v>
      </c>
      <c r="E50" s="9">
        <v>0.0</v>
      </c>
      <c r="F50" s="9">
        <v>0.0</v>
      </c>
      <c r="G50" s="9">
        <v>0.0</v>
      </c>
      <c r="H50" s="9">
        <v>0.0</v>
      </c>
      <c r="I50" s="9">
        <v>1295.1658519999999</v>
      </c>
      <c r="J50" s="9">
        <v>0.0</v>
      </c>
      <c r="K50" s="9">
        <v>0.0</v>
      </c>
      <c r="L50" s="9">
        <v>0.0</v>
      </c>
      <c r="M50" s="9">
        <v>0.0</v>
      </c>
      <c r="N50" s="9">
        <v>0.0</v>
      </c>
      <c r="O50" s="9">
        <v>0.0</v>
      </c>
      <c r="P50" s="9">
        <v>0.0</v>
      </c>
      <c r="Q50" s="9">
        <v>0.0</v>
      </c>
      <c r="R50" s="9">
        <v>0.0</v>
      </c>
      <c r="S50" s="9">
        <v>0.0</v>
      </c>
      <c r="T50" s="9">
        <v>0.0</v>
      </c>
      <c r="U50" s="9">
        <v>0.0</v>
      </c>
      <c r="V50" s="9">
        <v>0.0</v>
      </c>
      <c r="W50" s="9">
        <v>1.5991268710678505E7</v>
      </c>
      <c r="X50" s="9">
        <v>0.0</v>
      </c>
      <c r="Y50" s="9">
        <v>0.0</v>
      </c>
      <c r="Z50" s="9">
        <v>0.0</v>
      </c>
      <c r="AA50" s="9">
        <v>0.0</v>
      </c>
      <c r="AB50" s="9">
        <v>0.0</v>
      </c>
      <c r="AC50" s="9">
        <v>0.0</v>
      </c>
      <c r="AD50" s="18">
        <v>0.0</v>
      </c>
    </row>
    <row r="51" ht="15.75" customHeight="1">
      <c r="B51" s="17" t="s">
        <v>47</v>
      </c>
      <c r="C51" s="9">
        <v>0.0</v>
      </c>
      <c r="D51" s="9">
        <v>0.0</v>
      </c>
      <c r="E51" s="9">
        <v>0.0</v>
      </c>
      <c r="F51" s="9">
        <v>0.0</v>
      </c>
      <c r="G51" s="9">
        <v>0.0</v>
      </c>
      <c r="H51" s="9">
        <v>0.0</v>
      </c>
      <c r="I51" s="9">
        <v>6765.59058621</v>
      </c>
      <c r="J51" s="9">
        <v>0.0</v>
      </c>
      <c r="K51" s="9">
        <v>0.0</v>
      </c>
      <c r="L51" s="9">
        <v>0.0</v>
      </c>
      <c r="M51" s="9">
        <v>0.0</v>
      </c>
      <c r="N51" s="9">
        <v>0.0</v>
      </c>
      <c r="O51" s="9">
        <v>0.0</v>
      </c>
      <c r="P51" s="9">
        <v>0.0</v>
      </c>
      <c r="Q51" s="9">
        <v>0.0</v>
      </c>
      <c r="R51" s="9">
        <v>0.0</v>
      </c>
      <c r="S51" s="9">
        <v>0.0</v>
      </c>
      <c r="T51" s="9">
        <v>0.0</v>
      </c>
      <c r="U51" s="9">
        <v>0.0</v>
      </c>
      <c r="V51" s="9">
        <v>0.0</v>
      </c>
      <c r="W51" s="9">
        <v>9566059.417891886</v>
      </c>
      <c r="X51" s="9">
        <v>0.0</v>
      </c>
      <c r="Y51" s="9">
        <v>0.0</v>
      </c>
      <c r="Z51" s="9">
        <v>0.0</v>
      </c>
      <c r="AA51" s="9">
        <v>0.0</v>
      </c>
      <c r="AB51" s="9">
        <v>0.0</v>
      </c>
      <c r="AC51" s="9">
        <v>0.0</v>
      </c>
      <c r="AD51" s="18">
        <v>0.0</v>
      </c>
    </row>
    <row r="52" ht="15.75" customHeight="1">
      <c r="B52" s="17" t="s">
        <v>48</v>
      </c>
      <c r="C52" s="9">
        <v>0.0</v>
      </c>
      <c r="D52" s="9">
        <v>0.0</v>
      </c>
      <c r="E52" s="9">
        <v>0.0</v>
      </c>
      <c r="F52" s="9">
        <v>0.0</v>
      </c>
      <c r="G52" s="9">
        <v>0.0</v>
      </c>
      <c r="H52" s="9">
        <v>0.0</v>
      </c>
      <c r="I52" s="9">
        <v>78895.676456399</v>
      </c>
      <c r="J52" s="9">
        <v>0.0</v>
      </c>
      <c r="K52" s="9">
        <v>0.0</v>
      </c>
      <c r="L52" s="9">
        <v>0.0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  <c r="T52" s="9">
        <v>0.0</v>
      </c>
      <c r="U52" s="9">
        <v>0.0</v>
      </c>
      <c r="V52" s="9">
        <v>0.0</v>
      </c>
      <c r="W52" s="9">
        <v>4.362162080935264E7</v>
      </c>
      <c r="X52" s="9">
        <v>0.0</v>
      </c>
      <c r="Y52" s="9">
        <v>0.0</v>
      </c>
      <c r="Z52" s="9">
        <v>0.0</v>
      </c>
      <c r="AA52" s="9">
        <v>0.0</v>
      </c>
      <c r="AB52" s="9">
        <v>0.0</v>
      </c>
      <c r="AC52" s="9">
        <v>0.0</v>
      </c>
      <c r="AD52" s="18">
        <v>0.0</v>
      </c>
    </row>
    <row r="53" ht="15.75" customHeight="1">
      <c r="B53" s="22" t="s">
        <v>49</v>
      </c>
      <c r="C53" s="23">
        <v>9814.980799749621</v>
      </c>
      <c r="D53" s="23">
        <v>0.0</v>
      </c>
      <c r="E53" s="23">
        <v>15943.67515583468</v>
      </c>
      <c r="F53" s="23">
        <v>0.0</v>
      </c>
      <c r="G53" s="23">
        <v>0.0</v>
      </c>
      <c r="H53" s="23">
        <v>0.0</v>
      </c>
      <c r="I53" s="23">
        <v>97254.683734609</v>
      </c>
      <c r="J53" s="23">
        <v>0.0</v>
      </c>
      <c r="K53" s="23">
        <v>0.0</v>
      </c>
      <c r="L53" s="23">
        <v>0.0</v>
      </c>
      <c r="M53" s="23">
        <v>0.0</v>
      </c>
      <c r="N53" s="23">
        <v>0.0</v>
      </c>
      <c r="O53" s="23">
        <v>0.0</v>
      </c>
      <c r="P53" s="23">
        <v>0.0</v>
      </c>
      <c r="Q53" s="23">
        <v>9360265.002445161</v>
      </c>
      <c r="R53" s="23">
        <v>0.0</v>
      </c>
      <c r="S53" s="23">
        <v>1.4101007195513168E7</v>
      </c>
      <c r="T53" s="23">
        <v>0.0</v>
      </c>
      <c r="U53" s="23">
        <v>0.0</v>
      </c>
      <c r="V53" s="23">
        <v>0.0</v>
      </c>
      <c r="W53" s="23">
        <v>7.165357836279303E7</v>
      </c>
      <c r="X53" s="23">
        <v>0.0</v>
      </c>
      <c r="Y53" s="23">
        <v>0.0</v>
      </c>
      <c r="Z53" s="23">
        <v>0.0</v>
      </c>
      <c r="AA53" s="23">
        <v>0.0</v>
      </c>
      <c r="AB53" s="23">
        <v>0.0</v>
      </c>
      <c r="AC53" s="23">
        <v>0.0</v>
      </c>
      <c r="AD53" s="24">
        <v>0.0</v>
      </c>
    </row>
    <row r="54" ht="15.75" customHeight="1"/>
    <row r="55" ht="15.75" customHeight="1">
      <c r="B55" s="53" t="s">
        <v>50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ht="15.75" customHeight="1">
      <c r="B56" s="1" t="s">
        <v>0</v>
      </c>
      <c r="C56" s="2" t="s">
        <v>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2" t="s">
        <v>2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</row>
    <row r="57" ht="15.75" customHeight="1">
      <c r="B57" s="5" t="s">
        <v>3</v>
      </c>
      <c r="C57" s="1" t="s">
        <v>4</v>
      </c>
      <c r="D57" s="1" t="s">
        <v>5</v>
      </c>
      <c r="E57" s="1" t="s">
        <v>6</v>
      </c>
      <c r="F57" s="1" t="s">
        <v>7</v>
      </c>
      <c r="G57" s="1" t="s">
        <v>8</v>
      </c>
      <c r="H57" s="1" t="s">
        <v>9</v>
      </c>
      <c r="I57" s="1" t="s">
        <v>10</v>
      </c>
      <c r="J57" s="1" t="s">
        <v>11</v>
      </c>
      <c r="K57" s="1" t="s">
        <v>12</v>
      </c>
      <c r="L57" s="1" t="s">
        <v>13</v>
      </c>
      <c r="M57" s="1" t="s">
        <v>14</v>
      </c>
      <c r="N57" s="1" t="s">
        <v>15</v>
      </c>
      <c r="O57" s="1" t="s">
        <v>16</v>
      </c>
      <c r="P57" s="1" t="s">
        <v>17</v>
      </c>
      <c r="Q57" s="5" t="s">
        <v>4</v>
      </c>
      <c r="R57" s="5" t="s">
        <v>5</v>
      </c>
      <c r="S57" s="5" t="s">
        <v>6</v>
      </c>
      <c r="T57" s="5" t="s">
        <v>7</v>
      </c>
      <c r="U57" s="5" t="s">
        <v>8</v>
      </c>
      <c r="V57" s="5" t="s">
        <v>9</v>
      </c>
      <c r="W57" s="5" t="s">
        <v>10</v>
      </c>
      <c r="X57" s="5" t="s">
        <v>11</v>
      </c>
      <c r="Y57" s="5" t="s">
        <v>12</v>
      </c>
      <c r="Z57" s="5" t="s">
        <v>13</v>
      </c>
      <c r="AA57" s="5" t="s">
        <v>14</v>
      </c>
      <c r="AB57" s="1" t="s">
        <v>15</v>
      </c>
      <c r="AC57" s="26" t="s">
        <v>16</v>
      </c>
      <c r="AD57" s="1" t="s">
        <v>17</v>
      </c>
    </row>
    <row r="58" ht="15.75" customHeight="1">
      <c r="A58" s="9" t="s">
        <v>51</v>
      </c>
      <c r="B58" s="55" t="s">
        <v>35</v>
      </c>
      <c r="C58" s="11">
        <f t="shared" ref="C58:AD58" si="10">C38/C$33</f>
        <v>394558.3431</v>
      </c>
      <c r="D58" s="11">
        <f t="shared" si="10"/>
        <v>63250.82635</v>
      </c>
      <c r="E58" s="11">
        <f t="shared" si="10"/>
        <v>330103.0601</v>
      </c>
      <c r="F58" s="11">
        <f t="shared" si="10"/>
        <v>56972.8144</v>
      </c>
      <c r="G58" s="11">
        <f t="shared" si="10"/>
        <v>27844.16562</v>
      </c>
      <c r="H58" s="11">
        <f t="shared" si="10"/>
        <v>82218.2544</v>
      </c>
      <c r="I58" s="11">
        <f t="shared" si="10"/>
        <v>193610.1664</v>
      </c>
      <c r="J58" s="11">
        <f t="shared" si="10"/>
        <v>113702.1386</v>
      </c>
      <c r="K58" s="11">
        <f t="shared" si="10"/>
        <v>47362.21929</v>
      </c>
      <c r="L58" s="11">
        <f t="shared" si="10"/>
        <v>171044.0988</v>
      </c>
      <c r="M58" s="11">
        <f t="shared" si="10"/>
        <v>20424.23351</v>
      </c>
      <c r="N58" s="11">
        <f t="shared" si="10"/>
        <v>64930.68619</v>
      </c>
      <c r="O58" s="11">
        <f t="shared" si="10"/>
        <v>5561.473043</v>
      </c>
      <c r="P58" s="11">
        <f t="shared" si="10"/>
        <v>41500.40501</v>
      </c>
      <c r="Q58" s="11">
        <f t="shared" si="10"/>
        <v>187609.6483</v>
      </c>
      <c r="R58" s="11">
        <f t="shared" si="10"/>
        <v>188083.9883</v>
      </c>
      <c r="S58" s="11">
        <f t="shared" si="10"/>
        <v>167107.087</v>
      </c>
      <c r="T58" s="11">
        <f t="shared" si="10"/>
        <v>236455.7291</v>
      </c>
      <c r="U58" s="11">
        <f t="shared" si="10"/>
        <v>95291.31703</v>
      </c>
      <c r="V58" s="11">
        <f t="shared" si="10"/>
        <v>329550.9476</v>
      </c>
      <c r="W58" s="11">
        <f t="shared" si="10"/>
        <v>282355.3204</v>
      </c>
      <c r="X58" s="11">
        <f t="shared" si="10"/>
        <v>211729.3103</v>
      </c>
      <c r="Y58" s="11">
        <f t="shared" si="10"/>
        <v>495115.0082</v>
      </c>
      <c r="Z58" s="11">
        <f t="shared" si="10"/>
        <v>600344.2307</v>
      </c>
      <c r="AA58" s="11">
        <f t="shared" si="10"/>
        <v>30663.0403</v>
      </c>
      <c r="AB58" s="11">
        <f t="shared" si="10"/>
        <v>251346.082</v>
      </c>
      <c r="AC58" s="11">
        <f t="shared" si="10"/>
        <v>99332.73948</v>
      </c>
      <c r="AD58" s="12">
        <f t="shared" si="10"/>
        <v>27924.2879</v>
      </c>
    </row>
    <row r="59" ht="15.75" customHeight="1">
      <c r="B59" s="56" t="s">
        <v>36</v>
      </c>
      <c r="C59" s="9">
        <f t="shared" ref="C59:AD59" si="11">C39/C$33</f>
        <v>3592.90067</v>
      </c>
      <c r="D59" s="9">
        <f t="shared" si="11"/>
        <v>271.0133783</v>
      </c>
      <c r="E59" s="9">
        <f t="shared" si="11"/>
        <v>6351.266635</v>
      </c>
      <c r="F59" s="9">
        <f t="shared" si="11"/>
        <v>228.7324932</v>
      </c>
      <c r="G59" s="9">
        <f t="shared" si="11"/>
        <v>87.64695003</v>
      </c>
      <c r="H59" s="9">
        <f t="shared" si="11"/>
        <v>556.9058349</v>
      </c>
      <c r="I59" s="9">
        <f t="shared" si="11"/>
        <v>3643.652517</v>
      </c>
      <c r="J59" s="9">
        <f t="shared" si="11"/>
        <v>322.5196557</v>
      </c>
      <c r="K59" s="9">
        <f t="shared" si="11"/>
        <v>228.9797589</v>
      </c>
      <c r="L59" s="9">
        <f t="shared" si="11"/>
        <v>602.4355739</v>
      </c>
      <c r="M59" s="9">
        <f t="shared" si="11"/>
        <v>69.73906204</v>
      </c>
      <c r="N59" s="9">
        <f t="shared" si="11"/>
        <v>550.8057399</v>
      </c>
      <c r="O59" s="9">
        <f t="shared" si="11"/>
        <v>15.43698154</v>
      </c>
      <c r="P59" s="9">
        <f t="shared" si="11"/>
        <v>425.0564604</v>
      </c>
      <c r="Q59" s="9">
        <f t="shared" si="11"/>
        <v>2284.488884</v>
      </c>
      <c r="R59" s="9">
        <f t="shared" si="11"/>
        <v>846.7020321</v>
      </c>
      <c r="S59" s="9">
        <f t="shared" si="11"/>
        <v>2220.764765</v>
      </c>
      <c r="T59" s="9">
        <f t="shared" si="11"/>
        <v>1405.887466</v>
      </c>
      <c r="U59" s="9">
        <f t="shared" si="11"/>
        <v>456.2868331</v>
      </c>
      <c r="V59" s="9">
        <f t="shared" si="11"/>
        <v>996.5927236</v>
      </c>
      <c r="W59" s="9">
        <f t="shared" si="11"/>
        <v>762.6439572</v>
      </c>
      <c r="X59" s="9">
        <f t="shared" si="11"/>
        <v>529.0193301</v>
      </c>
      <c r="Y59" s="9">
        <f t="shared" si="11"/>
        <v>1307.622637</v>
      </c>
      <c r="Z59" s="9">
        <f t="shared" si="11"/>
        <v>656.4911786</v>
      </c>
      <c r="AA59" s="9">
        <f t="shared" si="11"/>
        <v>259.6293817</v>
      </c>
      <c r="AB59" s="9">
        <f t="shared" si="11"/>
        <v>1530.995943</v>
      </c>
      <c r="AC59" s="9">
        <f t="shared" si="11"/>
        <v>650.3331205</v>
      </c>
      <c r="AD59" s="18">
        <f t="shared" si="11"/>
        <v>507.8566172</v>
      </c>
    </row>
    <row r="60" ht="15.75" customHeight="1">
      <c r="B60" s="57" t="s">
        <v>37</v>
      </c>
      <c r="C60" s="9">
        <f t="shared" ref="C60:AD60" si="12">C40/C$33</f>
        <v>0</v>
      </c>
      <c r="D60" s="9">
        <f t="shared" si="12"/>
        <v>0</v>
      </c>
      <c r="E60" s="9">
        <f t="shared" si="12"/>
        <v>1293606.636</v>
      </c>
      <c r="F60" s="9">
        <f t="shared" si="12"/>
        <v>0</v>
      </c>
      <c r="G60" s="9">
        <f t="shared" si="12"/>
        <v>0</v>
      </c>
      <c r="H60" s="9">
        <f t="shared" si="12"/>
        <v>465505.4041</v>
      </c>
      <c r="I60" s="9">
        <f t="shared" si="12"/>
        <v>0</v>
      </c>
      <c r="J60" s="9">
        <f t="shared" si="12"/>
        <v>0</v>
      </c>
      <c r="K60" s="9">
        <f t="shared" si="12"/>
        <v>0</v>
      </c>
      <c r="L60" s="9">
        <f t="shared" si="12"/>
        <v>0</v>
      </c>
      <c r="M60" s="9">
        <f t="shared" si="12"/>
        <v>0</v>
      </c>
      <c r="N60" s="9">
        <f t="shared" si="12"/>
        <v>350543.8462</v>
      </c>
      <c r="O60" s="9">
        <f t="shared" si="12"/>
        <v>0</v>
      </c>
      <c r="P60" s="9">
        <f t="shared" si="12"/>
        <v>0</v>
      </c>
      <c r="Q60" s="9">
        <f t="shared" si="12"/>
        <v>335866.4472</v>
      </c>
      <c r="R60" s="9">
        <f t="shared" si="12"/>
        <v>0</v>
      </c>
      <c r="S60" s="9">
        <f t="shared" si="12"/>
        <v>1393398.376</v>
      </c>
      <c r="T60" s="9">
        <f t="shared" si="12"/>
        <v>0</v>
      </c>
      <c r="U60" s="9">
        <f t="shared" si="12"/>
        <v>0</v>
      </c>
      <c r="V60" s="9">
        <f t="shared" si="12"/>
        <v>10072510.25</v>
      </c>
      <c r="W60" s="9">
        <f t="shared" si="12"/>
        <v>0</v>
      </c>
      <c r="X60" s="9">
        <f t="shared" si="12"/>
        <v>0</v>
      </c>
      <c r="Y60" s="9">
        <f t="shared" si="12"/>
        <v>0</v>
      </c>
      <c r="Z60" s="9">
        <f t="shared" si="12"/>
        <v>0</v>
      </c>
      <c r="AA60" s="9">
        <f t="shared" si="12"/>
        <v>0</v>
      </c>
      <c r="AB60" s="9">
        <f t="shared" si="12"/>
        <v>2629763.509</v>
      </c>
      <c r="AC60" s="9">
        <f t="shared" si="12"/>
        <v>0</v>
      </c>
      <c r="AD60" s="18">
        <f t="shared" si="12"/>
        <v>0</v>
      </c>
    </row>
    <row r="61" ht="15.75" customHeight="1">
      <c r="B61" s="58" t="s">
        <v>38</v>
      </c>
      <c r="C61" s="9">
        <f t="shared" ref="C61:AD61" si="13">C41/C$33</f>
        <v>4466.124653</v>
      </c>
      <c r="D61" s="9">
        <f t="shared" si="13"/>
        <v>379.2681242</v>
      </c>
      <c r="E61" s="9">
        <f t="shared" si="13"/>
        <v>3904.405604</v>
      </c>
      <c r="F61" s="9">
        <f t="shared" si="13"/>
        <v>302.1398114</v>
      </c>
      <c r="G61" s="9">
        <f t="shared" si="13"/>
        <v>109.3292425</v>
      </c>
      <c r="H61" s="9">
        <f t="shared" si="13"/>
        <v>856.4790955</v>
      </c>
      <c r="I61" s="9">
        <f t="shared" si="13"/>
        <v>1504.105885</v>
      </c>
      <c r="J61" s="9">
        <f t="shared" si="13"/>
        <v>623.7969491</v>
      </c>
      <c r="K61" s="9">
        <f t="shared" si="13"/>
        <v>278.971215</v>
      </c>
      <c r="L61" s="9">
        <f t="shared" si="13"/>
        <v>816.4908865</v>
      </c>
      <c r="M61" s="9">
        <f t="shared" si="13"/>
        <v>154.330084</v>
      </c>
      <c r="N61" s="9">
        <f t="shared" si="13"/>
        <v>694.2823975</v>
      </c>
      <c r="O61" s="9">
        <f t="shared" si="13"/>
        <v>56.99527715</v>
      </c>
      <c r="P61" s="9">
        <f t="shared" si="13"/>
        <v>463.3774766</v>
      </c>
      <c r="Q61" s="9">
        <f t="shared" si="13"/>
        <v>2755.540818</v>
      </c>
      <c r="R61" s="9">
        <f t="shared" si="13"/>
        <v>1181.207714</v>
      </c>
      <c r="S61" s="9">
        <f t="shared" si="13"/>
        <v>2195.529428</v>
      </c>
      <c r="T61" s="9">
        <f t="shared" si="13"/>
        <v>1635.237001</v>
      </c>
      <c r="U61" s="9">
        <f t="shared" si="13"/>
        <v>671.2138335</v>
      </c>
      <c r="V61" s="9">
        <f t="shared" si="13"/>
        <v>1510.514596</v>
      </c>
      <c r="W61" s="9">
        <f t="shared" si="13"/>
        <v>1541.376988</v>
      </c>
      <c r="X61" s="9">
        <f t="shared" si="13"/>
        <v>1044.297689</v>
      </c>
      <c r="Y61" s="9">
        <f t="shared" si="13"/>
        <v>2148.662325</v>
      </c>
      <c r="Z61" s="9">
        <f t="shared" si="13"/>
        <v>3922.425503</v>
      </c>
      <c r="AA61" s="9">
        <f t="shared" si="13"/>
        <v>269.0048971</v>
      </c>
      <c r="AB61" s="9">
        <f t="shared" si="13"/>
        <v>1058.956566</v>
      </c>
      <c r="AC61" s="9">
        <f t="shared" si="13"/>
        <v>440.9153666</v>
      </c>
      <c r="AD61" s="18">
        <f t="shared" si="13"/>
        <v>326.1996627</v>
      </c>
    </row>
    <row r="62" ht="15.75" customHeight="1">
      <c r="B62" s="59" t="s">
        <v>39</v>
      </c>
      <c r="C62" s="9">
        <f t="shared" ref="C62:AD62" si="14">C42/C$33</f>
        <v>9102.530791</v>
      </c>
      <c r="D62" s="9">
        <f t="shared" si="14"/>
        <v>1331.411587</v>
      </c>
      <c r="E62" s="9">
        <f t="shared" si="14"/>
        <v>1411.438693</v>
      </c>
      <c r="F62" s="9">
        <f t="shared" si="14"/>
        <v>419.1985741</v>
      </c>
      <c r="G62" s="9">
        <f t="shared" si="14"/>
        <v>602.7455555</v>
      </c>
      <c r="H62" s="9">
        <f t="shared" si="14"/>
        <v>32032.8337</v>
      </c>
      <c r="I62" s="9">
        <f t="shared" si="14"/>
        <v>17434.14845</v>
      </c>
      <c r="J62" s="9">
        <f t="shared" si="14"/>
        <v>465.0823852</v>
      </c>
      <c r="K62" s="9">
        <f t="shared" si="14"/>
        <v>2277.197288</v>
      </c>
      <c r="L62" s="9">
        <f t="shared" si="14"/>
        <v>0</v>
      </c>
      <c r="M62" s="9">
        <f t="shared" si="14"/>
        <v>0</v>
      </c>
      <c r="N62" s="9">
        <f t="shared" si="14"/>
        <v>18892.61253</v>
      </c>
      <c r="O62" s="9">
        <f t="shared" si="14"/>
        <v>0</v>
      </c>
      <c r="P62" s="9">
        <f t="shared" si="14"/>
        <v>0</v>
      </c>
      <c r="Q62" s="9">
        <f t="shared" si="14"/>
        <v>5885.454732</v>
      </c>
      <c r="R62" s="9">
        <f t="shared" si="14"/>
        <v>1648.553282</v>
      </c>
      <c r="S62" s="9">
        <f t="shared" si="14"/>
        <v>1174.646058</v>
      </c>
      <c r="T62" s="9">
        <f t="shared" si="14"/>
        <v>216.7334954</v>
      </c>
      <c r="U62" s="9">
        <f t="shared" si="14"/>
        <v>368.5531389</v>
      </c>
      <c r="V62" s="9">
        <f t="shared" si="14"/>
        <v>223842.4569</v>
      </c>
      <c r="W62" s="9">
        <f t="shared" si="14"/>
        <v>13251.13508</v>
      </c>
      <c r="X62" s="9">
        <f t="shared" si="14"/>
        <v>1589.562784</v>
      </c>
      <c r="Y62" s="9">
        <f t="shared" si="14"/>
        <v>917.5601985</v>
      </c>
      <c r="Z62" s="9">
        <f t="shared" si="14"/>
        <v>0</v>
      </c>
      <c r="AA62" s="9">
        <f t="shared" si="14"/>
        <v>0</v>
      </c>
      <c r="AB62" s="9">
        <f t="shared" si="14"/>
        <v>40252.43737</v>
      </c>
      <c r="AC62" s="9">
        <f t="shared" si="14"/>
        <v>0</v>
      </c>
      <c r="AD62" s="18">
        <f t="shared" si="14"/>
        <v>0</v>
      </c>
    </row>
    <row r="63" ht="15.75" customHeight="1">
      <c r="B63" s="22" t="s">
        <v>40</v>
      </c>
      <c r="C63" s="23">
        <f t="shared" ref="C63:AD63" si="15">C43/C$33</f>
        <v>411719.8992</v>
      </c>
      <c r="D63" s="23">
        <f t="shared" si="15"/>
        <v>65232.51943</v>
      </c>
      <c r="E63" s="23">
        <f t="shared" si="15"/>
        <v>1635376.807</v>
      </c>
      <c r="F63" s="23">
        <f t="shared" si="15"/>
        <v>57922.88528</v>
      </c>
      <c r="G63" s="23">
        <f t="shared" si="15"/>
        <v>28643.88736</v>
      </c>
      <c r="H63" s="23">
        <f t="shared" si="15"/>
        <v>581169.8771</v>
      </c>
      <c r="I63" s="23">
        <f t="shared" si="15"/>
        <v>216192.0732</v>
      </c>
      <c r="J63" s="23">
        <f t="shared" si="15"/>
        <v>115113.5376</v>
      </c>
      <c r="K63" s="23">
        <f t="shared" si="15"/>
        <v>50147.36755</v>
      </c>
      <c r="L63" s="23">
        <f t="shared" si="15"/>
        <v>172463.0253</v>
      </c>
      <c r="M63" s="23">
        <f t="shared" si="15"/>
        <v>20648.30266</v>
      </c>
      <c r="N63" s="23">
        <f t="shared" si="15"/>
        <v>435612.233</v>
      </c>
      <c r="O63" s="23">
        <f t="shared" si="15"/>
        <v>5633.905301</v>
      </c>
      <c r="P63" s="23">
        <f t="shared" si="15"/>
        <v>42388.83895</v>
      </c>
      <c r="Q63" s="23">
        <f t="shared" si="15"/>
        <v>534401.58</v>
      </c>
      <c r="R63" s="23">
        <f t="shared" si="15"/>
        <v>191760.4514</v>
      </c>
      <c r="S63" s="23">
        <f t="shared" si="15"/>
        <v>1566096.403</v>
      </c>
      <c r="T63" s="23">
        <f t="shared" si="15"/>
        <v>239713.5871</v>
      </c>
      <c r="U63" s="23">
        <f t="shared" si="15"/>
        <v>96787.37084</v>
      </c>
      <c r="V63" s="23">
        <f t="shared" si="15"/>
        <v>10628410.76</v>
      </c>
      <c r="W63" s="23">
        <f t="shared" si="15"/>
        <v>297910.4765</v>
      </c>
      <c r="X63" s="23">
        <f t="shared" si="15"/>
        <v>214892.1901</v>
      </c>
      <c r="Y63" s="23">
        <f t="shared" si="15"/>
        <v>499488.8533</v>
      </c>
      <c r="Z63" s="23">
        <f t="shared" si="15"/>
        <v>604923.1474</v>
      </c>
      <c r="AA63" s="23">
        <f t="shared" si="15"/>
        <v>31191.67458</v>
      </c>
      <c r="AB63" s="23">
        <f t="shared" si="15"/>
        <v>2923951.981</v>
      </c>
      <c r="AC63" s="23">
        <f t="shared" si="15"/>
        <v>100423.988</v>
      </c>
      <c r="AD63" s="24">
        <f t="shared" si="15"/>
        <v>28758.34418</v>
      </c>
    </row>
    <row r="64" ht="15.75" customHeight="1">
      <c r="B64" s="52" t="s">
        <v>0</v>
      </c>
      <c r="C64" s="2" t="s">
        <v>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  <c r="Q64" s="2" t="s">
        <v>2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</row>
    <row r="65" ht="15.75" customHeight="1">
      <c r="B65" s="5" t="s">
        <v>3</v>
      </c>
      <c r="C65" s="1" t="s">
        <v>4</v>
      </c>
      <c r="D65" s="1" t="s">
        <v>5</v>
      </c>
      <c r="E65" s="1" t="s">
        <v>6</v>
      </c>
      <c r="F65" s="1" t="s">
        <v>7</v>
      </c>
      <c r="G65" s="1" t="s">
        <v>8</v>
      </c>
      <c r="H65" s="1" t="s">
        <v>9</v>
      </c>
      <c r="I65" s="1" t="s">
        <v>10</v>
      </c>
      <c r="J65" s="1" t="s">
        <v>11</v>
      </c>
      <c r="K65" s="1" t="s">
        <v>12</v>
      </c>
      <c r="L65" s="1" t="s">
        <v>13</v>
      </c>
      <c r="M65" s="1" t="s">
        <v>14</v>
      </c>
      <c r="N65" s="1" t="s">
        <v>15</v>
      </c>
      <c r="O65" s="1" t="s">
        <v>16</v>
      </c>
      <c r="P65" s="1" t="s">
        <v>17</v>
      </c>
      <c r="Q65" s="5" t="s">
        <v>4</v>
      </c>
      <c r="R65" s="5" t="s">
        <v>5</v>
      </c>
      <c r="S65" s="5" t="s">
        <v>6</v>
      </c>
      <c r="T65" s="5" t="s">
        <v>7</v>
      </c>
      <c r="U65" s="5" t="s">
        <v>8</v>
      </c>
      <c r="V65" s="5" t="s">
        <v>9</v>
      </c>
      <c r="W65" s="5" t="s">
        <v>10</v>
      </c>
      <c r="X65" s="5" t="s">
        <v>11</v>
      </c>
      <c r="Y65" s="5" t="s">
        <v>12</v>
      </c>
      <c r="Z65" s="5" t="s">
        <v>13</v>
      </c>
      <c r="AA65" s="5" t="s">
        <v>14</v>
      </c>
      <c r="AB65" s="1" t="s">
        <v>15</v>
      </c>
      <c r="AC65" s="26" t="s">
        <v>16</v>
      </c>
      <c r="AD65" s="1" t="s">
        <v>17</v>
      </c>
    </row>
    <row r="66" ht="15.75" customHeight="1">
      <c r="A66" s="9" t="s">
        <v>51</v>
      </c>
      <c r="B66" s="10" t="s">
        <v>42</v>
      </c>
      <c r="C66" s="11">
        <f t="shared" ref="C66:AD66" si="16">C46/C$33</f>
        <v>2.421279035</v>
      </c>
      <c r="D66" s="11">
        <f t="shared" si="16"/>
        <v>0</v>
      </c>
      <c r="E66" s="11">
        <f t="shared" si="16"/>
        <v>0</v>
      </c>
      <c r="F66" s="11">
        <f t="shared" si="16"/>
        <v>0</v>
      </c>
      <c r="G66" s="11">
        <f t="shared" si="16"/>
        <v>0</v>
      </c>
      <c r="H66" s="11">
        <f t="shared" si="16"/>
        <v>0</v>
      </c>
      <c r="I66" s="11">
        <f t="shared" si="16"/>
        <v>0</v>
      </c>
      <c r="J66" s="11">
        <f t="shared" si="16"/>
        <v>0</v>
      </c>
      <c r="K66" s="11">
        <f t="shared" si="16"/>
        <v>0</v>
      </c>
      <c r="L66" s="11">
        <f t="shared" si="16"/>
        <v>0</v>
      </c>
      <c r="M66" s="11">
        <f t="shared" si="16"/>
        <v>0</v>
      </c>
      <c r="N66" s="11">
        <f t="shared" si="16"/>
        <v>0</v>
      </c>
      <c r="O66" s="11">
        <f t="shared" si="16"/>
        <v>0</v>
      </c>
      <c r="P66" s="11">
        <f t="shared" si="16"/>
        <v>0</v>
      </c>
      <c r="Q66" s="11">
        <f t="shared" si="16"/>
        <v>2.61865566</v>
      </c>
      <c r="R66" s="11">
        <f t="shared" si="16"/>
        <v>0</v>
      </c>
      <c r="S66" s="11">
        <f t="shared" si="16"/>
        <v>0</v>
      </c>
      <c r="T66" s="11">
        <f t="shared" si="16"/>
        <v>0</v>
      </c>
      <c r="U66" s="11">
        <f t="shared" si="16"/>
        <v>0</v>
      </c>
      <c r="V66" s="11">
        <f t="shared" si="16"/>
        <v>0</v>
      </c>
      <c r="W66" s="11">
        <f t="shared" si="16"/>
        <v>0</v>
      </c>
      <c r="X66" s="11">
        <f t="shared" si="16"/>
        <v>0</v>
      </c>
      <c r="Y66" s="11">
        <f t="shared" si="16"/>
        <v>0</v>
      </c>
      <c r="Z66" s="11">
        <f t="shared" si="16"/>
        <v>0</v>
      </c>
      <c r="AA66" s="11">
        <f t="shared" si="16"/>
        <v>0</v>
      </c>
      <c r="AB66" s="11">
        <f t="shared" si="16"/>
        <v>0</v>
      </c>
      <c r="AC66" s="11">
        <f t="shared" si="16"/>
        <v>0</v>
      </c>
      <c r="AD66" s="11">
        <f t="shared" si="16"/>
        <v>0</v>
      </c>
    </row>
    <row r="67" ht="15.75" customHeight="1">
      <c r="A67" s="9"/>
      <c r="B67" s="17" t="s">
        <v>43</v>
      </c>
      <c r="C67" s="9">
        <f t="shared" ref="C67:AD67" si="17">C47/C$33</f>
        <v>0</v>
      </c>
      <c r="D67" s="9">
        <f t="shared" si="17"/>
        <v>0</v>
      </c>
      <c r="E67" s="9">
        <f t="shared" si="17"/>
        <v>3.701035907</v>
      </c>
      <c r="F67" s="9">
        <f t="shared" si="17"/>
        <v>0</v>
      </c>
      <c r="G67" s="9">
        <f t="shared" si="17"/>
        <v>0</v>
      </c>
      <c r="H67" s="9">
        <f t="shared" si="17"/>
        <v>0</v>
      </c>
      <c r="I67" s="9">
        <f t="shared" si="17"/>
        <v>0</v>
      </c>
      <c r="J67" s="9">
        <f t="shared" si="17"/>
        <v>0</v>
      </c>
      <c r="K67" s="9">
        <f t="shared" si="17"/>
        <v>0</v>
      </c>
      <c r="L67" s="9">
        <f t="shared" si="17"/>
        <v>0</v>
      </c>
      <c r="M67" s="9">
        <f t="shared" si="17"/>
        <v>0</v>
      </c>
      <c r="N67" s="9">
        <f t="shared" si="17"/>
        <v>0</v>
      </c>
      <c r="O67" s="9">
        <f t="shared" si="17"/>
        <v>0</v>
      </c>
      <c r="P67" s="9">
        <f t="shared" si="17"/>
        <v>0</v>
      </c>
      <c r="Q67" s="9">
        <f t="shared" si="17"/>
        <v>0</v>
      </c>
      <c r="R67" s="9">
        <f t="shared" si="17"/>
        <v>0</v>
      </c>
      <c r="S67" s="9">
        <f t="shared" si="17"/>
        <v>6.597752347</v>
      </c>
      <c r="T67" s="9">
        <f t="shared" si="17"/>
        <v>0</v>
      </c>
      <c r="U67" s="9">
        <f t="shared" si="17"/>
        <v>0</v>
      </c>
      <c r="V67" s="9">
        <f t="shared" si="17"/>
        <v>0</v>
      </c>
      <c r="W67" s="9">
        <f t="shared" si="17"/>
        <v>0</v>
      </c>
      <c r="X67" s="9">
        <f t="shared" si="17"/>
        <v>0</v>
      </c>
      <c r="Y67" s="9">
        <f t="shared" si="17"/>
        <v>0</v>
      </c>
      <c r="Z67" s="9">
        <f t="shared" si="17"/>
        <v>0</v>
      </c>
      <c r="AA67" s="9">
        <f t="shared" si="17"/>
        <v>0</v>
      </c>
      <c r="AB67" s="9">
        <f t="shared" si="17"/>
        <v>0</v>
      </c>
      <c r="AC67" s="9">
        <f t="shared" si="17"/>
        <v>0</v>
      </c>
      <c r="AD67" s="9">
        <f t="shared" si="17"/>
        <v>0</v>
      </c>
    </row>
    <row r="68" ht="15.75" customHeight="1">
      <c r="B68" s="17" t="s">
        <v>44</v>
      </c>
      <c r="C68" s="9">
        <f t="shared" ref="C68:AD68" si="18">C48/C$33</f>
        <v>0</v>
      </c>
      <c r="D68" s="9">
        <f t="shared" si="18"/>
        <v>0</v>
      </c>
      <c r="E68" s="9">
        <f t="shared" si="18"/>
        <v>0</v>
      </c>
      <c r="F68" s="9">
        <f t="shared" si="18"/>
        <v>0</v>
      </c>
      <c r="G68" s="9">
        <f t="shared" si="18"/>
        <v>0</v>
      </c>
      <c r="H68" s="9">
        <f t="shared" si="18"/>
        <v>0</v>
      </c>
      <c r="I68" s="9">
        <f t="shared" si="18"/>
        <v>1.478224374</v>
      </c>
      <c r="J68" s="9">
        <f t="shared" si="18"/>
        <v>0</v>
      </c>
      <c r="K68" s="9">
        <f t="shared" si="18"/>
        <v>0</v>
      </c>
      <c r="L68" s="9">
        <f t="shared" si="18"/>
        <v>0</v>
      </c>
      <c r="M68" s="9">
        <f t="shared" si="18"/>
        <v>0</v>
      </c>
      <c r="N68" s="9">
        <f t="shared" si="18"/>
        <v>0</v>
      </c>
      <c r="O68" s="9">
        <f t="shared" si="18"/>
        <v>0</v>
      </c>
      <c r="P68" s="9">
        <f t="shared" si="18"/>
        <v>0</v>
      </c>
      <c r="Q68" s="9">
        <f t="shared" si="18"/>
        <v>0</v>
      </c>
      <c r="R68" s="9">
        <f t="shared" si="18"/>
        <v>0</v>
      </c>
      <c r="S68" s="9">
        <f t="shared" si="18"/>
        <v>0</v>
      </c>
      <c r="T68" s="9">
        <f t="shared" si="18"/>
        <v>0</v>
      </c>
      <c r="U68" s="9">
        <f t="shared" si="18"/>
        <v>0</v>
      </c>
      <c r="V68" s="9">
        <f t="shared" si="18"/>
        <v>0</v>
      </c>
      <c r="W68" s="9">
        <f t="shared" si="18"/>
        <v>0.5509743587</v>
      </c>
      <c r="X68" s="9">
        <f t="shared" si="18"/>
        <v>0</v>
      </c>
      <c r="Y68" s="9">
        <f t="shared" si="18"/>
        <v>0</v>
      </c>
      <c r="Z68" s="9">
        <f t="shared" si="18"/>
        <v>0</v>
      </c>
      <c r="AA68" s="9">
        <f t="shared" si="18"/>
        <v>0</v>
      </c>
      <c r="AB68" s="9">
        <f t="shared" si="18"/>
        <v>0</v>
      </c>
      <c r="AC68" s="9">
        <f t="shared" si="18"/>
        <v>0</v>
      </c>
      <c r="AD68" s="9">
        <f t="shared" si="18"/>
        <v>0</v>
      </c>
    </row>
    <row r="69" ht="15.75" customHeight="1">
      <c r="B69" s="17" t="s">
        <v>45</v>
      </c>
      <c r="C69" s="9">
        <f t="shared" ref="C69:AD69" si="19">C49/C$33</f>
        <v>0</v>
      </c>
      <c r="D69" s="9">
        <f t="shared" si="19"/>
        <v>0</v>
      </c>
      <c r="E69" s="9">
        <f t="shared" si="19"/>
        <v>0.00008124795517</v>
      </c>
      <c r="F69" s="9">
        <f t="shared" si="19"/>
        <v>0</v>
      </c>
      <c r="G69" s="9">
        <f t="shared" si="19"/>
        <v>0</v>
      </c>
      <c r="H69" s="9">
        <f t="shared" si="19"/>
        <v>0</v>
      </c>
      <c r="I69" s="9">
        <f t="shared" si="19"/>
        <v>0</v>
      </c>
      <c r="J69" s="9">
        <f t="shared" si="19"/>
        <v>0</v>
      </c>
      <c r="K69" s="9">
        <f t="shared" si="19"/>
        <v>0</v>
      </c>
      <c r="L69" s="9">
        <f t="shared" si="19"/>
        <v>0</v>
      </c>
      <c r="M69" s="9">
        <f t="shared" si="19"/>
        <v>0</v>
      </c>
      <c r="N69" s="9">
        <f t="shared" si="19"/>
        <v>0</v>
      </c>
      <c r="O69" s="9">
        <f t="shared" si="19"/>
        <v>0</v>
      </c>
      <c r="P69" s="9">
        <f t="shared" si="19"/>
        <v>0</v>
      </c>
      <c r="Q69" s="9">
        <f t="shared" si="19"/>
        <v>0</v>
      </c>
      <c r="R69" s="9">
        <f t="shared" si="19"/>
        <v>0</v>
      </c>
      <c r="S69" s="9">
        <f t="shared" si="19"/>
        <v>0.0346224016</v>
      </c>
      <c r="T69" s="9">
        <f t="shared" si="19"/>
        <v>0</v>
      </c>
      <c r="U69" s="9">
        <f t="shared" si="19"/>
        <v>0</v>
      </c>
      <c r="V69" s="9">
        <f t="shared" si="19"/>
        <v>0</v>
      </c>
      <c r="W69" s="9">
        <f t="shared" si="19"/>
        <v>0</v>
      </c>
      <c r="X69" s="9">
        <f t="shared" si="19"/>
        <v>0</v>
      </c>
      <c r="Y69" s="9">
        <f t="shared" si="19"/>
        <v>0</v>
      </c>
      <c r="Z69" s="9">
        <f t="shared" si="19"/>
        <v>0</v>
      </c>
      <c r="AA69" s="9">
        <f t="shared" si="19"/>
        <v>0</v>
      </c>
      <c r="AB69" s="9">
        <f t="shared" si="19"/>
        <v>0</v>
      </c>
      <c r="AC69" s="9">
        <f t="shared" si="19"/>
        <v>0</v>
      </c>
      <c r="AD69" s="9">
        <f t="shared" si="19"/>
        <v>0</v>
      </c>
    </row>
    <row r="70" ht="15.75" customHeight="1">
      <c r="B70" s="17" t="s">
        <v>46</v>
      </c>
      <c r="C70" s="9">
        <f t="shared" ref="C70:AD70" si="20">C50/C$33</f>
        <v>0</v>
      </c>
      <c r="D70" s="9">
        <f t="shared" si="20"/>
        <v>0</v>
      </c>
      <c r="E70" s="9">
        <f t="shared" si="20"/>
        <v>0</v>
      </c>
      <c r="F70" s="9">
        <f t="shared" si="20"/>
        <v>0</v>
      </c>
      <c r="G70" s="9">
        <f t="shared" si="20"/>
        <v>0</v>
      </c>
      <c r="H70" s="9">
        <f t="shared" si="20"/>
        <v>0</v>
      </c>
      <c r="I70" s="9">
        <f t="shared" si="20"/>
        <v>0.1859097977</v>
      </c>
      <c r="J70" s="9">
        <f t="shared" si="20"/>
        <v>0</v>
      </c>
      <c r="K70" s="9">
        <f t="shared" si="20"/>
        <v>0</v>
      </c>
      <c r="L70" s="9">
        <f t="shared" si="20"/>
        <v>0</v>
      </c>
      <c r="M70" s="9">
        <f t="shared" si="20"/>
        <v>0</v>
      </c>
      <c r="N70" s="9">
        <f t="shared" si="20"/>
        <v>0</v>
      </c>
      <c r="O70" s="9">
        <f t="shared" si="20"/>
        <v>0</v>
      </c>
      <c r="P70" s="9">
        <f t="shared" si="20"/>
        <v>0</v>
      </c>
      <c r="Q70" s="9">
        <f t="shared" si="20"/>
        <v>0</v>
      </c>
      <c r="R70" s="9">
        <f t="shared" si="20"/>
        <v>0</v>
      </c>
      <c r="S70" s="9">
        <f t="shared" si="20"/>
        <v>0</v>
      </c>
      <c r="T70" s="9">
        <f t="shared" si="20"/>
        <v>0</v>
      </c>
      <c r="U70" s="9">
        <f t="shared" si="20"/>
        <v>0</v>
      </c>
      <c r="V70" s="9">
        <f t="shared" si="20"/>
        <v>0</v>
      </c>
      <c r="W70" s="9">
        <f t="shared" si="20"/>
        <v>3.560443812</v>
      </c>
      <c r="X70" s="9">
        <f t="shared" si="20"/>
        <v>0</v>
      </c>
      <c r="Y70" s="9">
        <f t="shared" si="20"/>
        <v>0</v>
      </c>
      <c r="Z70" s="9">
        <f t="shared" si="20"/>
        <v>0</v>
      </c>
      <c r="AA70" s="9">
        <f t="shared" si="20"/>
        <v>0</v>
      </c>
      <c r="AB70" s="9">
        <f t="shared" si="20"/>
        <v>0</v>
      </c>
      <c r="AC70" s="9">
        <f t="shared" si="20"/>
        <v>0</v>
      </c>
      <c r="AD70" s="9">
        <f t="shared" si="20"/>
        <v>0</v>
      </c>
    </row>
    <row r="71" ht="15.75" customHeight="1">
      <c r="B71" s="17" t="s">
        <v>47</v>
      </c>
      <c r="C71" s="9">
        <f t="shared" ref="C71:AD71" si="21">C51/C$33</f>
        <v>0</v>
      </c>
      <c r="D71" s="9">
        <f t="shared" si="21"/>
        <v>0</v>
      </c>
      <c r="E71" s="9">
        <f t="shared" si="21"/>
        <v>0</v>
      </c>
      <c r="F71" s="9">
        <f t="shared" si="21"/>
        <v>0</v>
      </c>
      <c r="G71" s="9">
        <f t="shared" si="21"/>
        <v>0</v>
      </c>
      <c r="H71" s="9">
        <f t="shared" si="21"/>
        <v>0</v>
      </c>
      <c r="I71" s="9">
        <f t="shared" si="21"/>
        <v>0.9711417078</v>
      </c>
      <c r="J71" s="9">
        <f t="shared" si="21"/>
        <v>0</v>
      </c>
      <c r="K71" s="9">
        <f t="shared" si="21"/>
        <v>0</v>
      </c>
      <c r="L71" s="9">
        <f t="shared" si="21"/>
        <v>0</v>
      </c>
      <c r="M71" s="9">
        <f t="shared" si="21"/>
        <v>0</v>
      </c>
      <c r="N71" s="9">
        <f t="shared" si="21"/>
        <v>0</v>
      </c>
      <c r="O71" s="9">
        <f t="shared" si="21"/>
        <v>0</v>
      </c>
      <c r="P71" s="9">
        <f t="shared" si="21"/>
        <v>0</v>
      </c>
      <c r="Q71" s="9">
        <f t="shared" si="21"/>
        <v>0</v>
      </c>
      <c r="R71" s="9">
        <f t="shared" si="21"/>
        <v>0</v>
      </c>
      <c r="S71" s="9">
        <f t="shared" si="21"/>
        <v>0</v>
      </c>
      <c r="T71" s="9">
        <f t="shared" si="21"/>
        <v>0</v>
      </c>
      <c r="U71" s="9">
        <f t="shared" si="21"/>
        <v>0</v>
      </c>
      <c r="V71" s="9">
        <f t="shared" si="21"/>
        <v>0</v>
      </c>
      <c r="W71" s="9">
        <f t="shared" si="21"/>
        <v>2.129875851</v>
      </c>
      <c r="X71" s="9">
        <f t="shared" si="21"/>
        <v>0</v>
      </c>
      <c r="Y71" s="9">
        <f t="shared" si="21"/>
        <v>0</v>
      </c>
      <c r="Z71" s="9">
        <f t="shared" si="21"/>
        <v>0</v>
      </c>
      <c r="AA71" s="9">
        <f t="shared" si="21"/>
        <v>0</v>
      </c>
      <c r="AB71" s="9">
        <f t="shared" si="21"/>
        <v>0</v>
      </c>
      <c r="AC71" s="9">
        <f t="shared" si="21"/>
        <v>0</v>
      </c>
      <c r="AD71" s="9">
        <f t="shared" si="21"/>
        <v>0</v>
      </c>
    </row>
    <row r="72" ht="15.75" customHeight="1">
      <c r="B72" s="17" t="s">
        <v>48</v>
      </c>
      <c r="C72" s="9">
        <f t="shared" ref="C72:AD72" si="22">C52/C$33</f>
        <v>0</v>
      </c>
      <c r="D72" s="9">
        <f t="shared" si="22"/>
        <v>0</v>
      </c>
      <c r="E72" s="9">
        <f t="shared" si="22"/>
        <v>0</v>
      </c>
      <c r="F72" s="9">
        <f t="shared" si="22"/>
        <v>0</v>
      </c>
      <c r="G72" s="9">
        <f t="shared" si="22"/>
        <v>0</v>
      </c>
      <c r="H72" s="9">
        <f t="shared" si="22"/>
        <v>0</v>
      </c>
      <c r="I72" s="9">
        <f t="shared" si="22"/>
        <v>11.32478843</v>
      </c>
      <c r="J72" s="9">
        <f t="shared" si="22"/>
        <v>0</v>
      </c>
      <c r="K72" s="9">
        <f t="shared" si="22"/>
        <v>0</v>
      </c>
      <c r="L72" s="9">
        <f t="shared" si="22"/>
        <v>0</v>
      </c>
      <c r="M72" s="9">
        <f t="shared" si="22"/>
        <v>0</v>
      </c>
      <c r="N72" s="9">
        <f t="shared" si="22"/>
        <v>0</v>
      </c>
      <c r="O72" s="9">
        <f t="shared" si="22"/>
        <v>0</v>
      </c>
      <c r="P72" s="9">
        <f t="shared" si="22"/>
        <v>0</v>
      </c>
      <c r="Q72" s="9">
        <f t="shared" si="22"/>
        <v>0</v>
      </c>
      <c r="R72" s="9">
        <f t="shared" si="22"/>
        <v>0</v>
      </c>
      <c r="S72" s="9">
        <f t="shared" si="22"/>
        <v>0</v>
      </c>
      <c r="T72" s="9">
        <f t="shared" si="22"/>
        <v>0</v>
      </c>
      <c r="U72" s="9">
        <f t="shared" si="22"/>
        <v>0</v>
      </c>
      <c r="V72" s="9">
        <f t="shared" si="22"/>
        <v>0</v>
      </c>
      <c r="W72" s="9">
        <f t="shared" si="22"/>
        <v>9.712320684</v>
      </c>
      <c r="X72" s="9">
        <f t="shared" si="22"/>
        <v>0</v>
      </c>
      <c r="Y72" s="9">
        <f t="shared" si="22"/>
        <v>0</v>
      </c>
      <c r="Z72" s="9">
        <f t="shared" si="22"/>
        <v>0</v>
      </c>
      <c r="AA72" s="9">
        <f t="shared" si="22"/>
        <v>0</v>
      </c>
      <c r="AB72" s="9">
        <f t="shared" si="22"/>
        <v>0</v>
      </c>
      <c r="AC72" s="9">
        <f t="shared" si="22"/>
        <v>0</v>
      </c>
      <c r="AD72" s="9">
        <f t="shared" si="22"/>
        <v>0</v>
      </c>
    </row>
    <row r="73" ht="15.75" customHeight="1">
      <c r="B73" s="22" t="s">
        <v>49</v>
      </c>
      <c r="C73" s="23">
        <f t="shared" ref="C73:AD73" si="23">C53/C$33</f>
        <v>2.421279035</v>
      </c>
      <c r="D73" s="23">
        <f t="shared" si="23"/>
        <v>0</v>
      </c>
      <c r="E73" s="23">
        <f t="shared" si="23"/>
        <v>3.701117155</v>
      </c>
      <c r="F73" s="23">
        <f t="shared" si="23"/>
        <v>0</v>
      </c>
      <c r="G73" s="23">
        <f t="shared" si="23"/>
        <v>0</v>
      </c>
      <c r="H73" s="23">
        <f t="shared" si="23"/>
        <v>0</v>
      </c>
      <c r="I73" s="23">
        <f t="shared" si="23"/>
        <v>13.96006431</v>
      </c>
      <c r="J73" s="23">
        <f t="shared" si="23"/>
        <v>0</v>
      </c>
      <c r="K73" s="23">
        <f t="shared" si="23"/>
        <v>0</v>
      </c>
      <c r="L73" s="23">
        <f t="shared" si="23"/>
        <v>0</v>
      </c>
      <c r="M73" s="23">
        <f t="shared" si="23"/>
        <v>0</v>
      </c>
      <c r="N73" s="23">
        <f t="shared" si="23"/>
        <v>0</v>
      </c>
      <c r="O73" s="23">
        <f t="shared" si="23"/>
        <v>0</v>
      </c>
      <c r="P73" s="23">
        <f t="shared" si="23"/>
        <v>0</v>
      </c>
      <c r="Q73" s="23">
        <f t="shared" si="23"/>
        <v>2.61865566</v>
      </c>
      <c r="R73" s="23">
        <f t="shared" si="23"/>
        <v>0</v>
      </c>
      <c r="S73" s="23">
        <f t="shared" si="23"/>
        <v>6.632374748</v>
      </c>
      <c r="T73" s="23">
        <f t="shared" si="23"/>
        <v>0</v>
      </c>
      <c r="U73" s="23">
        <f t="shared" si="23"/>
        <v>0</v>
      </c>
      <c r="V73" s="23">
        <f t="shared" si="23"/>
        <v>0</v>
      </c>
      <c r="W73" s="23">
        <f t="shared" si="23"/>
        <v>15.95361471</v>
      </c>
      <c r="X73" s="23">
        <f t="shared" si="23"/>
        <v>0</v>
      </c>
      <c r="Y73" s="23">
        <f t="shared" si="23"/>
        <v>0</v>
      </c>
      <c r="Z73" s="23">
        <f t="shared" si="23"/>
        <v>0</v>
      </c>
      <c r="AA73" s="23">
        <f t="shared" si="23"/>
        <v>0</v>
      </c>
      <c r="AB73" s="23">
        <f t="shared" si="23"/>
        <v>0</v>
      </c>
      <c r="AC73" s="23">
        <f t="shared" si="23"/>
        <v>0</v>
      </c>
      <c r="AD73" s="23">
        <f t="shared" si="23"/>
        <v>0</v>
      </c>
    </row>
    <row r="74" ht="15.75" customHeight="1"/>
    <row r="75" ht="15.75" customHeight="1">
      <c r="B75" s="60" t="s">
        <v>52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F75" s="62" t="s">
        <v>53</v>
      </c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</row>
    <row r="76" ht="15.75" customHeight="1">
      <c r="B76" s="64"/>
      <c r="C76" s="65">
        <v>1.0</v>
      </c>
      <c r="D76" s="65">
        <v>2.0</v>
      </c>
      <c r="E76" s="65">
        <v>3.0</v>
      </c>
      <c r="F76" s="65">
        <v>4.0</v>
      </c>
      <c r="G76" s="65">
        <v>5.0</v>
      </c>
      <c r="H76" s="65">
        <v>6.0</v>
      </c>
      <c r="I76" s="65">
        <v>7.0</v>
      </c>
      <c r="J76" s="65">
        <v>8.0</v>
      </c>
      <c r="K76" s="65">
        <v>9.0</v>
      </c>
      <c r="L76" s="65">
        <v>10.0</v>
      </c>
      <c r="M76" s="65">
        <v>11.0</v>
      </c>
      <c r="N76" s="65">
        <v>12.0</v>
      </c>
      <c r="O76" s="65">
        <v>13.0</v>
      </c>
      <c r="P76" s="65">
        <v>14.0</v>
      </c>
      <c r="Q76" s="65">
        <v>15.0</v>
      </c>
      <c r="R76" s="65">
        <v>16.0</v>
      </c>
      <c r="S76" s="65">
        <v>17.0</v>
      </c>
      <c r="T76" s="65">
        <v>18.0</v>
      </c>
      <c r="U76" s="65">
        <v>19.0</v>
      </c>
      <c r="V76" s="65">
        <v>20.0</v>
      </c>
      <c r="W76" s="65">
        <v>21.0</v>
      </c>
      <c r="X76" s="65">
        <v>22.0</v>
      </c>
      <c r="Y76" s="65">
        <v>23.0</v>
      </c>
      <c r="Z76" s="65">
        <v>24.0</v>
      </c>
      <c r="AA76" s="65">
        <v>25.0</v>
      </c>
      <c r="AB76" s="65">
        <v>26.0</v>
      </c>
      <c r="AC76" s="65">
        <v>27.0</v>
      </c>
      <c r="AD76" s="65">
        <v>28.0</v>
      </c>
      <c r="AF76" s="64"/>
      <c r="AG76" s="65">
        <v>1.0</v>
      </c>
      <c r="AH76" s="65">
        <v>2.0</v>
      </c>
      <c r="AI76" s="65">
        <v>3.0</v>
      </c>
      <c r="AJ76" s="65">
        <v>4.0</v>
      </c>
      <c r="AK76" s="65">
        <v>5.0</v>
      </c>
      <c r="AL76" s="65">
        <v>6.0</v>
      </c>
      <c r="AM76" s="65">
        <v>7.0</v>
      </c>
      <c r="AN76" s="65">
        <v>8.0</v>
      </c>
      <c r="AO76" s="65">
        <v>9.0</v>
      </c>
      <c r="AP76" s="65">
        <v>10.0</v>
      </c>
      <c r="AQ76" s="65">
        <v>11.0</v>
      </c>
      <c r="AR76" s="65">
        <v>12.0</v>
      </c>
      <c r="AS76" s="65">
        <v>13.0</v>
      </c>
      <c r="AT76" s="65">
        <v>14.0</v>
      </c>
      <c r="AU76" s="65">
        <v>15.0</v>
      </c>
      <c r="AV76" s="65">
        <v>16.0</v>
      </c>
      <c r="AW76" s="65">
        <v>17.0</v>
      </c>
      <c r="AX76" s="65">
        <v>18.0</v>
      </c>
      <c r="AY76" s="65">
        <v>19.0</v>
      </c>
      <c r="AZ76" s="65">
        <v>20.0</v>
      </c>
      <c r="BA76" s="65">
        <v>21.0</v>
      </c>
      <c r="BB76" s="65">
        <v>22.0</v>
      </c>
      <c r="BC76" s="65">
        <v>23.0</v>
      </c>
      <c r="BD76" s="65">
        <v>24.0</v>
      </c>
      <c r="BE76" s="65">
        <v>25.0</v>
      </c>
      <c r="BF76" s="65">
        <v>26.0</v>
      </c>
      <c r="BG76" s="65">
        <v>27.0</v>
      </c>
      <c r="BH76" s="65">
        <v>28.0</v>
      </c>
    </row>
    <row r="77" ht="15.75" customHeight="1">
      <c r="B77" s="65">
        <v>1.0</v>
      </c>
      <c r="C77" s="66">
        <f>1/$AV3</f>
        <v>0.0002466921825</v>
      </c>
      <c r="D77" s="66">
        <v>0.0</v>
      </c>
      <c r="E77" s="66">
        <v>0.0</v>
      </c>
      <c r="F77" s="66">
        <v>0.0</v>
      </c>
      <c r="G77" s="66">
        <v>0.0</v>
      </c>
      <c r="H77" s="66">
        <v>0.0</v>
      </c>
      <c r="I77" s="66">
        <v>0.0</v>
      </c>
      <c r="J77" s="66">
        <v>0.0</v>
      </c>
      <c r="K77" s="66">
        <v>0.0</v>
      </c>
      <c r="L77" s="66">
        <v>0.0</v>
      </c>
      <c r="M77" s="66">
        <v>0.0</v>
      </c>
      <c r="N77" s="66">
        <v>0.0</v>
      </c>
      <c r="O77" s="66">
        <v>0.0</v>
      </c>
      <c r="P77" s="66">
        <v>0.0</v>
      </c>
      <c r="Q77" s="66">
        <v>0.0</v>
      </c>
      <c r="R77" s="66">
        <v>0.0</v>
      </c>
      <c r="S77" s="66">
        <v>0.0</v>
      </c>
      <c r="T77" s="66">
        <v>0.0</v>
      </c>
      <c r="U77" s="66">
        <v>0.0</v>
      </c>
      <c r="V77" s="66">
        <v>0.0</v>
      </c>
      <c r="W77" s="66">
        <v>0.0</v>
      </c>
      <c r="X77" s="66">
        <v>0.0</v>
      </c>
      <c r="Y77" s="66">
        <v>0.0</v>
      </c>
      <c r="Z77" s="66">
        <v>0.0</v>
      </c>
      <c r="AA77" s="66">
        <v>0.0</v>
      </c>
      <c r="AB77" s="66">
        <v>0.0</v>
      </c>
      <c r="AC77" s="66">
        <v>0.0</v>
      </c>
      <c r="AD77" s="66">
        <v>0.0</v>
      </c>
      <c r="AF77" s="65">
        <v>1.0</v>
      </c>
      <c r="AG77" s="67">
        <f>C$63</f>
        <v>411719.8992</v>
      </c>
      <c r="AH77" s="67">
        <v>0.0</v>
      </c>
      <c r="AI77" s="67">
        <v>0.0</v>
      </c>
      <c r="AJ77" s="67">
        <v>0.0</v>
      </c>
      <c r="AK77" s="67">
        <v>0.0</v>
      </c>
      <c r="AL77" s="67">
        <v>0.0</v>
      </c>
      <c r="AM77" s="67">
        <v>0.0</v>
      </c>
      <c r="AN77" s="67">
        <v>0.0</v>
      </c>
      <c r="AO77" s="67">
        <v>0.0</v>
      </c>
      <c r="AP77" s="67">
        <v>0.0</v>
      </c>
      <c r="AQ77" s="67">
        <v>0.0</v>
      </c>
      <c r="AR77" s="67">
        <v>0.0</v>
      </c>
      <c r="AS77" s="67">
        <v>0.0</v>
      </c>
      <c r="AT77" s="67">
        <v>0.0</v>
      </c>
      <c r="AU77" s="67">
        <v>0.0</v>
      </c>
      <c r="AV77" s="67">
        <v>0.0</v>
      </c>
      <c r="AW77" s="67">
        <v>0.0</v>
      </c>
      <c r="AX77" s="67">
        <v>0.0</v>
      </c>
      <c r="AY77" s="67">
        <v>0.0</v>
      </c>
      <c r="AZ77" s="67">
        <v>0.0</v>
      </c>
      <c r="BA77" s="67">
        <v>0.0</v>
      </c>
      <c r="BB77" s="67">
        <v>0.0</v>
      </c>
      <c r="BC77" s="67">
        <v>0.0</v>
      </c>
      <c r="BD77" s="67">
        <v>0.0</v>
      </c>
      <c r="BE77" s="67">
        <v>0.0</v>
      </c>
      <c r="BF77" s="67">
        <v>0.0</v>
      </c>
      <c r="BG77" s="67">
        <v>0.0</v>
      </c>
      <c r="BH77" s="67">
        <v>0.0</v>
      </c>
    </row>
    <row r="78" ht="15.75" customHeight="1">
      <c r="B78" s="65">
        <v>2.0</v>
      </c>
      <c r="C78" s="66">
        <v>0.0</v>
      </c>
      <c r="D78" s="66">
        <f>1/$AV4</f>
        <v>0.0001763039651</v>
      </c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66">
        <v>0.0</v>
      </c>
      <c r="T78" s="66">
        <v>0.0</v>
      </c>
      <c r="U78" s="66">
        <v>0.0</v>
      </c>
      <c r="V78" s="66">
        <v>0.0</v>
      </c>
      <c r="W78" s="66">
        <v>0.0</v>
      </c>
      <c r="X78" s="66">
        <v>0.0</v>
      </c>
      <c r="Y78" s="66">
        <v>0.0</v>
      </c>
      <c r="Z78" s="66">
        <v>0.0</v>
      </c>
      <c r="AA78" s="66">
        <v>0.0</v>
      </c>
      <c r="AB78" s="66">
        <v>0.0</v>
      </c>
      <c r="AC78" s="66">
        <v>0.0</v>
      </c>
      <c r="AD78" s="66">
        <v>0.0</v>
      </c>
      <c r="AF78" s="65">
        <v>2.0</v>
      </c>
      <c r="AG78" s="67">
        <v>0.0</v>
      </c>
      <c r="AH78" s="67">
        <f>D$63</f>
        <v>65232.51943</v>
      </c>
      <c r="AI78" s="67">
        <v>0.0</v>
      </c>
      <c r="AJ78" s="67">
        <v>0.0</v>
      </c>
      <c r="AK78" s="67">
        <v>0.0</v>
      </c>
      <c r="AL78" s="67">
        <v>0.0</v>
      </c>
      <c r="AM78" s="67">
        <v>0.0</v>
      </c>
      <c r="AN78" s="67">
        <v>0.0</v>
      </c>
      <c r="AO78" s="67">
        <v>0.0</v>
      </c>
      <c r="AP78" s="67">
        <v>0.0</v>
      </c>
      <c r="AQ78" s="67">
        <v>0.0</v>
      </c>
      <c r="AR78" s="67">
        <v>0.0</v>
      </c>
      <c r="AS78" s="67">
        <v>0.0</v>
      </c>
      <c r="AT78" s="67">
        <v>0.0</v>
      </c>
      <c r="AU78" s="67">
        <v>0.0</v>
      </c>
      <c r="AV78" s="67">
        <v>0.0</v>
      </c>
      <c r="AW78" s="67">
        <v>0.0</v>
      </c>
      <c r="AX78" s="67">
        <v>0.0</v>
      </c>
      <c r="AY78" s="67">
        <v>0.0</v>
      </c>
      <c r="AZ78" s="67">
        <v>0.0</v>
      </c>
      <c r="BA78" s="67">
        <v>0.0</v>
      </c>
      <c r="BB78" s="67">
        <v>0.0</v>
      </c>
      <c r="BC78" s="67">
        <v>0.0</v>
      </c>
      <c r="BD78" s="67">
        <v>0.0</v>
      </c>
      <c r="BE78" s="67">
        <v>0.0</v>
      </c>
      <c r="BF78" s="67">
        <v>0.0</v>
      </c>
      <c r="BG78" s="67">
        <v>0.0</v>
      </c>
      <c r="BH78" s="67">
        <v>0.0</v>
      </c>
    </row>
    <row r="79" ht="15.75" customHeight="1">
      <c r="B79" s="65">
        <v>3.0</v>
      </c>
      <c r="C79" s="66">
        <v>0.0</v>
      </c>
      <c r="D79" s="66">
        <v>0.0</v>
      </c>
      <c r="E79" s="66">
        <f>1/$AV5</f>
        <v>0.0002321370148</v>
      </c>
      <c r="F79" s="66">
        <v>0.0</v>
      </c>
      <c r="G79" s="66">
        <v>0.0</v>
      </c>
      <c r="H79" s="66">
        <v>0.0</v>
      </c>
      <c r="I79" s="66">
        <v>0.0</v>
      </c>
      <c r="J79" s="66">
        <v>0.0</v>
      </c>
      <c r="K79" s="66">
        <v>0.0</v>
      </c>
      <c r="L79" s="66">
        <v>0.0</v>
      </c>
      <c r="M79" s="66">
        <v>0.0</v>
      </c>
      <c r="N79" s="66">
        <v>0.0</v>
      </c>
      <c r="O79" s="66">
        <v>0.0</v>
      </c>
      <c r="P79" s="66">
        <v>0.0</v>
      </c>
      <c r="Q79" s="66">
        <v>0.0</v>
      </c>
      <c r="R79" s="66">
        <v>0.0</v>
      </c>
      <c r="S79" s="66">
        <v>0.0</v>
      </c>
      <c r="T79" s="66">
        <v>0.0</v>
      </c>
      <c r="U79" s="66">
        <v>0.0</v>
      </c>
      <c r="V79" s="66">
        <v>0.0</v>
      </c>
      <c r="W79" s="66">
        <v>0.0</v>
      </c>
      <c r="X79" s="66">
        <v>0.0</v>
      </c>
      <c r="Y79" s="66">
        <v>0.0</v>
      </c>
      <c r="Z79" s="66">
        <v>0.0</v>
      </c>
      <c r="AA79" s="66">
        <v>0.0</v>
      </c>
      <c r="AB79" s="66">
        <v>0.0</v>
      </c>
      <c r="AC79" s="66">
        <v>0.0</v>
      </c>
      <c r="AD79" s="66">
        <v>0.0</v>
      </c>
      <c r="AF79" s="65">
        <v>3.0</v>
      </c>
      <c r="AG79" s="67">
        <v>0.0</v>
      </c>
      <c r="AH79" s="67">
        <v>0.0</v>
      </c>
      <c r="AI79" s="67">
        <f>E$63</f>
        <v>1635376.807</v>
      </c>
      <c r="AJ79" s="67">
        <v>0.0</v>
      </c>
      <c r="AK79" s="67">
        <v>0.0</v>
      </c>
      <c r="AL79" s="67">
        <v>0.0</v>
      </c>
      <c r="AM79" s="67">
        <v>0.0</v>
      </c>
      <c r="AN79" s="67">
        <v>0.0</v>
      </c>
      <c r="AO79" s="67">
        <v>0.0</v>
      </c>
      <c r="AP79" s="67">
        <v>0.0</v>
      </c>
      <c r="AQ79" s="67">
        <v>0.0</v>
      </c>
      <c r="AR79" s="67">
        <v>0.0</v>
      </c>
      <c r="AS79" s="67">
        <v>0.0</v>
      </c>
      <c r="AT79" s="67">
        <v>0.0</v>
      </c>
      <c r="AU79" s="67">
        <v>0.0</v>
      </c>
      <c r="AV79" s="67">
        <v>0.0</v>
      </c>
      <c r="AW79" s="67">
        <v>0.0</v>
      </c>
      <c r="AX79" s="67">
        <v>0.0</v>
      </c>
      <c r="AY79" s="67">
        <v>0.0</v>
      </c>
      <c r="AZ79" s="67">
        <v>0.0</v>
      </c>
      <c r="BA79" s="67">
        <v>0.0</v>
      </c>
      <c r="BB79" s="67">
        <v>0.0</v>
      </c>
      <c r="BC79" s="67">
        <v>0.0</v>
      </c>
      <c r="BD79" s="67">
        <v>0.0</v>
      </c>
      <c r="BE79" s="67">
        <v>0.0</v>
      </c>
      <c r="BF79" s="67">
        <v>0.0</v>
      </c>
      <c r="BG79" s="67">
        <v>0.0</v>
      </c>
      <c r="BH79" s="67">
        <v>0.0</v>
      </c>
    </row>
    <row r="80" ht="15.75" customHeight="1">
      <c r="B80" s="65">
        <v>4.0</v>
      </c>
      <c r="C80" s="66">
        <v>0.0</v>
      </c>
      <c r="D80" s="66">
        <v>0.0</v>
      </c>
      <c r="E80" s="66">
        <v>0.0</v>
      </c>
      <c r="F80" s="66">
        <f>1/$AV6</f>
        <v>0.0001265747452</v>
      </c>
      <c r="G80" s="66">
        <v>0.0</v>
      </c>
      <c r="H80" s="66">
        <v>0.0</v>
      </c>
      <c r="I80" s="66">
        <v>0.0</v>
      </c>
      <c r="J80" s="66">
        <v>0.0</v>
      </c>
      <c r="K80" s="66">
        <v>0.0</v>
      </c>
      <c r="L80" s="66">
        <v>0.0</v>
      </c>
      <c r="M80" s="66">
        <v>0.0</v>
      </c>
      <c r="N80" s="66">
        <v>0.0</v>
      </c>
      <c r="O80" s="66">
        <v>0.0</v>
      </c>
      <c r="P80" s="66">
        <v>0.0</v>
      </c>
      <c r="Q80" s="66">
        <v>0.0</v>
      </c>
      <c r="R80" s="66">
        <v>0.0</v>
      </c>
      <c r="S80" s="66">
        <v>0.0</v>
      </c>
      <c r="T80" s="66">
        <v>0.0</v>
      </c>
      <c r="U80" s="66">
        <v>0.0</v>
      </c>
      <c r="V80" s="66">
        <v>0.0</v>
      </c>
      <c r="W80" s="66">
        <v>0.0</v>
      </c>
      <c r="X80" s="66">
        <v>0.0</v>
      </c>
      <c r="Y80" s="66">
        <v>0.0</v>
      </c>
      <c r="Z80" s="66">
        <v>0.0</v>
      </c>
      <c r="AA80" s="66">
        <v>0.0</v>
      </c>
      <c r="AB80" s="66">
        <v>0.0</v>
      </c>
      <c r="AC80" s="66">
        <v>0.0</v>
      </c>
      <c r="AD80" s="66">
        <v>0.0</v>
      </c>
      <c r="AF80" s="65">
        <v>4.0</v>
      </c>
      <c r="AG80" s="67">
        <v>0.0</v>
      </c>
      <c r="AH80" s="67">
        <v>0.0</v>
      </c>
      <c r="AI80" s="67">
        <v>0.0</v>
      </c>
      <c r="AJ80" s="67">
        <f>F$63</f>
        <v>57922.88528</v>
      </c>
      <c r="AK80" s="67">
        <v>0.0</v>
      </c>
      <c r="AL80" s="67">
        <v>0.0</v>
      </c>
      <c r="AM80" s="67">
        <v>0.0</v>
      </c>
      <c r="AN80" s="67">
        <v>0.0</v>
      </c>
      <c r="AO80" s="67">
        <v>0.0</v>
      </c>
      <c r="AP80" s="67">
        <v>0.0</v>
      </c>
      <c r="AQ80" s="67">
        <v>0.0</v>
      </c>
      <c r="AR80" s="67">
        <v>0.0</v>
      </c>
      <c r="AS80" s="67">
        <v>0.0</v>
      </c>
      <c r="AT80" s="67">
        <v>0.0</v>
      </c>
      <c r="AU80" s="67">
        <v>0.0</v>
      </c>
      <c r="AV80" s="67">
        <v>0.0</v>
      </c>
      <c r="AW80" s="67">
        <v>0.0</v>
      </c>
      <c r="AX80" s="67">
        <v>0.0</v>
      </c>
      <c r="AY80" s="67">
        <v>0.0</v>
      </c>
      <c r="AZ80" s="67">
        <v>0.0</v>
      </c>
      <c r="BA80" s="67">
        <v>0.0</v>
      </c>
      <c r="BB80" s="67">
        <v>0.0</v>
      </c>
      <c r="BC80" s="67">
        <v>0.0</v>
      </c>
      <c r="BD80" s="67">
        <v>0.0</v>
      </c>
      <c r="BE80" s="67">
        <v>0.0</v>
      </c>
      <c r="BF80" s="67">
        <v>0.0</v>
      </c>
      <c r="BG80" s="67">
        <v>0.0</v>
      </c>
      <c r="BH80" s="67">
        <v>0.0</v>
      </c>
    </row>
    <row r="81" ht="15.75" customHeight="1">
      <c r="B81" s="65">
        <v>5.0</v>
      </c>
      <c r="C81" s="66">
        <v>0.0</v>
      </c>
      <c r="D81" s="66">
        <v>0.0</v>
      </c>
      <c r="E81" s="66">
        <v>0.0</v>
      </c>
      <c r="F81" s="66">
        <v>0.0</v>
      </c>
      <c r="G81" s="66">
        <f>1/$AV7</f>
        <v>0.0000507601305</v>
      </c>
      <c r="H81" s="66">
        <v>0.0</v>
      </c>
      <c r="I81" s="66">
        <v>0.0</v>
      </c>
      <c r="J81" s="66">
        <v>0.0</v>
      </c>
      <c r="K81" s="66">
        <v>0.0</v>
      </c>
      <c r="L81" s="66">
        <v>0.0</v>
      </c>
      <c r="M81" s="66">
        <v>0.0</v>
      </c>
      <c r="N81" s="66">
        <v>0.0</v>
      </c>
      <c r="O81" s="66">
        <v>0.0</v>
      </c>
      <c r="P81" s="66">
        <v>0.0</v>
      </c>
      <c r="Q81" s="66">
        <v>0.0</v>
      </c>
      <c r="R81" s="66">
        <v>0.0</v>
      </c>
      <c r="S81" s="66">
        <v>0.0</v>
      </c>
      <c r="T81" s="66">
        <v>0.0</v>
      </c>
      <c r="U81" s="66">
        <v>0.0</v>
      </c>
      <c r="V81" s="66">
        <v>0.0</v>
      </c>
      <c r="W81" s="66">
        <v>0.0</v>
      </c>
      <c r="X81" s="66">
        <v>0.0</v>
      </c>
      <c r="Y81" s="66">
        <v>0.0</v>
      </c>
      <c r="Z81" s="66">
        <v>0.0</v>
      </c>
      <c r="AA81" s="66">
        <v>0.0</v>
      </c>
      <c r="AB81" s="66">
        <v>0.0</v>
      </c>
      <c r="AC81" s="66">
        <v>0.0</v>
      </c>
      <c r="AD81" s="66">
        <v>0.0</v>
      </c>
      <c r="AF81" s="65">
        <v>5.0</v>
      </c>
      <c r="AG81" s="67">
        <v>0.0</v>
      </c>
      <c r="AH81" s="67">
        <v>0.0</v>
      </c>
      <c r="AI81" s="67">
        <v>0.0</v>
      </c>
      <c r="AJ81" s="67">
        <v>0.0</v>
      </c>
      <c r="AK81" s="67">
        <f>G$63</f>
        <v>28643.88736</v>
      </c>
      <c r="AL81" s="67">
        <v>0.0</v>
      </c>
      <c r="AM81" s="67">
        <v>0.0</v>
      </c>
      <c r="AN81" s="67">
        <v>0.0</v>
      </c>
      <c r="AO81" s="67">
        <v>0.0</v>
      </c>
      <c r="AP81" s="67">
        <v>0.0</v>
      </c>
      <c r="AQ81" s="67">
        <v>0.0</v>
      </c>
      <c r="AR81" s="67">
        <v>0.0</v>
      </c>
      <c r="AS81" s="67">
        <v>0.0</v>
      </c>
      <c r="AT81" s="67">
        <v>0.0</v>
      </c>
      <c r="AU81" s="67">
        <v>0.0</v>
      </c>
      <c r="AV81" s="67">
        <v>0.0</v>
      </c>
      <c r="AW81" s="67">
        <v>0.0</v>
      </c>
      <c r="AX81" s="67">
        <v>0.0</v>
      </c>
      <c r="AY81" s="67">
        <v>0.0</v>
      </c>
      <c r="AZ81" s="67">
        <v>0.0</v>
      </c>
      <c r="BA81" s="67">
        <v>0.0</v>
      </c>
      <c r="BB81" s="67">
        <v>0.0</v>
      </c>
      <c r="BC81" s="67">
        <v>0.0</v>
      </c>
      <c r="BD81" s="67">
        <v>0.0</v>
      </c>
      <c r="BE81" s="67">
        <v>0.0</v>
      </c>
      <c r="BF81" s="67">
        <v>0.0</v>
      </c>
      <c r="BG81" s="67">
        <v>0.0</v>
      </c>
      <c r="BH81" s="67">
        <v>0.0</v>
      </c>
    </row>
    <row r="82" ht="15.75" customHeight="1">
      <c r="B82" s="65">
        <v>6.0</v>
      </c>
      <c r="C82" s="66">
        <v>0.0</v>
      </c>
      <c r="D82" s="66">
        <v>0.0</v>
      </c>
      <c r="E82" s="66">
        <v>0.0</v>
      </c>
      <c r="F82" s="66">
        <v>0.0</v>
      </c>
      <c r="G82" s="66">
        <v>0.0</v>
      </c>
      <c r="H82" s="66">
        <f>1/$AV8</f>
        <v>0.0004161917386</v>
      </c>
      <c r="I82" s="66">
        <v>0.0</v>
      </c>
      <c r="J82" s="66">
        <v>0.0</v>
      </c>
      <c r="K82" s="66">
        <v>0.0</v>
      </c>
      <c r="L82" s="66">
        <v>0.0</v>
      </c>
      <c r="M82" s="66">
        <v>0.0</v>
      </c>
      <c r="N82" s="66">
        <v>0.0</v>
      </c>
      <c r="O82" s="66">
        <v>0.0</v>
      </c>
      <c r="P82" s="66">
        <v>0.0</v>
      </c>
      <c r="Q82" s="66">
        <v>0.0</v>
      </c>
      <c r="R82" s="66">
        <v>0.0</v>
      </c>
      <c r="S82" s="66">
        <v>0.0</v>
      </c>
      <c r="T82" s="66">
        <v>0.0</v>
      </c>
      <c r="U82" s="66">
        <v>0.0</v>
      </c>
      <c r="V82" s="66">
        <v>0.0</v>
      </c>
      <c r="W82" s="66">
        <v>0.0</v>
      </c>
      <c r="X82" s="66">
        <v>0.0</v>
      </c>
      <c r="Y82" s="66">
        <v>0.0</v>
      </c>
      <c r="Z82" s="66">
        <v>0.0</v>
      </c>
      <c r="AA82" s="66">
        <v>0.0</v>
      </c>
      <c r="AB82" s="66">
        <v>0.0</v>
      </c>
      <c r="AC82" s="66">
        <v>0.0</v>
      </c>
      <c r="AD82" s="66">
        <v>0.0</v>
      </c>
      <c r="AF82" s="65">
        <v>6.0</v>
      </c>
      <c r="AG82" s="67">
        <v>0.0</v>
      </c>
      <c r="AH82" s="67">
        <v>0.0</v>
      </c>
      <c r="AI82" s="67">
        <v>0.0</v>
      </c>
      <c r="AJ82" s="67">
        <v>0.0</v>
      </c>
      <c r="AK82" s="67">
        <v>0.0</v>
      </c>
      <c r="AL82" s="67">
        <f>H$63</f>
        <v>581169.8771</v>
      </c>
      <c r="AM82" s="67">
        <v>0.0</v>
      </c>
      <c r="AN82" s="67">
        <v>0.0</v>
      </c>
      <c r="AO82" s="67">
        <v>0.0</v>
      </c>
      <c r="AP82" s="67">
        <v>0.0</v>
      </c>
      <c r="AQ82" s="67">
        <v>0.0</v>
      </c>
      <c r="AR82" s="67">
        <v>0.0</v>
      </c>
      <c r="AS82" s="67">
        <v>0.0</v>
      </c>
      <c r="AT82" s="67">
        <v>0.0</v>
      </c>
      <c r="AU82" s="67">
        <v>0.0</v>
      </c>
      <c r="AV82" s="67">
        <v>0.0</v>
      </c>
      <c r="AW82" s="67">
        <v>0.0</v>
      </c>
      <c r="AX82" s="67">
        <v>0.0</v>
      </c>
      <c r="AY82" s="67">
        <v>0.0</v>
      </c>
      <c r="AZ82" s="67">
        <v>0.0</v>
      </c>
      <c r="BA82" s="67">
        <v>0.0</v>
      </c>
      <c r="BB82" s="67">
        <v>0.0</v>
      </c>
      <c r="BC82" s="67">
        <v>0.0</v>
      </c>
      <c r="BD82" s="67">
        <v>0.0</v>
      </c>
      <c r="BE82" s="67">
        <v>0.0</v>
      </c>
      <c r="BF82" s="67">
        <v>0.0</v>
      </c>
      <c r="BG82" s="67">
        <v>0.0</v>
      </c>
      <c r="BH82" s="67">
        <v>0.0</v>
      </c>
    </row>
    <row r="83" ht="15.75" customHeight="1">
      <c r="B83" s="65">
        <v>7.0</v>
      </c>
      <c r="C83" s="66">
        <v>0.0</v>
      </c>
      <c r="D83" s="66">
        <v>0.0</v>
      </c>
      <c r="E83" s="66">
        <v>0.0</v>
      </c>
      <c r="F83" s="66">
        <v>0.0</v>
      </c>
      <c r="G83" s="66">
        <v>0.0</v>
      </c>
      <c r="H83" s="66">
        <v>0.0</v>
      </c>
      <c r="I83" s="66">
        <f>1/$AV9</f>
        <v>0.0001435413059</v>
      </c>
      <c r="J83" s="66">
        <v>0.0</v>
      </c>
      <c r="K83" s="66">
        <v>0.0</v>
      </c>
      <c r="L83" s="66">
        <v>0.0</v>
      </c>
      <c r="M83" s="66">
        <v>0.0</v>
      </c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6">
        <v>0.0</v>
      </c>
      <c r="T83" s="66">
        <v>0.0</v>
      </c>
      <c r="U83" s="66">
        <v>0.0</v>
      </c>
      <c r="V83" s="66">
        <v>0.0</v>
      </c>
      <c r="W83" s="66">
        <v>0.0</v>
      </c>
      <c r="X83" s="66">
        <v>0.0</v>
      </c>
      <c r="Y83" s="66">
        <v>0.0</v>
      </c>
      <c r="Z83" s="66">
        <v>0.0</v>
      </c>
      <c r="AA83" s="66">
        <v>0.0</v>
      </c>
      <c r="AB83" s="66">
        <v>0.0</v>
      </c>
      <c r="AC83" s="66">
        <v>0.0</v>
      </c>
      <c r="AD83" s="66">
        <v>0.0</v>
      </c>
      <c r="AF83" s="65">
        <v>7.0</v>
      </c>
      <c r="AG83" s="67">
        <v>0.0</v>
      </c>
      <c r="AH83" s="67">
        <v>0.0</v>
      </c>
      <c r="AI83" s="67">
        <v>0.0</v>
      </c>
      <c r="AJ83" s="67">
        <v>0.0</v>
      </c>
      <c r="AK83" s="67">
        <v>0.0</v>
      </c>
      <c r="AL83" s="67">
        <v>0.0</v>
      </c>
      <c r="AM83" s="67">
        <f>I$63</f>
        <v>216192.0732</v>
      </c>
      <c r="AN83" s="67">
        <v>0.0</v>
      </c>
      <c r="AO83" s="67">
        <v>0.0</v>
      </c>
      <c r="AP83" s="67">
        <v>0.0</v>
      </c>
      <c r="AQ83" s="67">
        <v>0.0</v>
      </c>
      <c r="AR83" s="67">
        <v>0.0</v>
      </c>
      <c r="AS83" s="67">
        <v>0.0</v>
      </c>
      <c r="AT83" s="67">
        <v>0.0</v>
      </c>
      <c r="AU83" s="67">
        <v>0.0</v>
      </c>
      <c r="AV83" s="67">
        <v>0.0</v>
      </c>
      <c r="AW83" s="67">
        <v>0.0</v>
      </c>
      <c r="AX83" s="67">
        <v>0.0</v>
      </c>
      <c r="AY83" s="67">
        <v>0.0</v>
      </c>
      <c r="AZ83" s="67">
        <v>0.0</v>
      </c>
      <c r="BA83" s="67">
        <v>0.0</v>
      </c>
      <c r="BB83" s="67">
        <v>0.0</v>
      </c>
      <c r="BC83" s="67">
        <v>0.0</v>
      </c>
      <c r="BD83" s="67">
        <v>0.0</v>
      </c>
      <c r="BE83" s="67">
        <v>0.0</v>
      </c>
      <c r="BF83" s="67">
        <v>0.0</v>
      </c>
      <c r="BG83" s="67">
        <v>0.0</v>
      </c>
      <c r="BH83" s="67">
        <v>0.0</v>
      </c>
    </row>
    <row r="84" ht="15.75" customHeight="1">
      <c r="B84" s="65">
        <v>8.0</v>
      </c>
      <c r="C84" s="66">
        <v>0.0</v>
      </c>
      <c r="D84" s="66">
        <v>0.0</v>
      </c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f>1/$AV10</f>
        <v>0.000004221669181</v>
      </c>
      <c r="K84" s="66">
        <v>0.0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0.0</v>
      </c>
      <c r="R84" s="66">
        <v>0.0</v>
      </c>
      <c r="S84" s="66">
        <v>0.0</v>
      </c>
      <c r="T84" s="66">
        <v>0.0</v>
      </c>
      <c r="U84" s="66">
        <v>0.0</v>
      </c>
      <c r="V84" s="66">
        <v>0.0</v>
      </c>
      <c r="W84" s="66">
        <v>0.0</v>
      </c>
      <c r="X84" s="66">
        <v>0.0</v>
      </c>
      <c r="Y84" s="66">
        <v>0.0</v>
      </c>
      <c r="Z84" s="66">
        <v>0.0</v>
      </c>
      <c r="AA84" s="66">
        <v>0.0</v>
      </c>
      <c r="AB84" s="66">
        <v>0.0</v>
      </c>
      <c r="AC84" s="66">
        <v>0.0</v>
      </c>
      <c r="AD84" s="66">
        <v>0.0</v>
      </c>
      <c r="AF84" s="65">
        <v>8.0</v>
      </c>
      <c r="AG84" s="67">
        <v>0.0</v>
      </c>
      <c r="AH84" s="67">
        <v>0.0</v>
      </c>
      <c r="AI84" s="67">
        <v>0.0</v>
      </c>
      <c r="AJ84" s="67">
        <v>0.0</v>
      </c>
      <c r="AK84" s="67">
        <v>0.0</v>
      </c>
      <c r="AL84" s="67">
        <v>0.0</v>
      </c>
      <c r="AM84" s="67">
        <v>0.0</v>
      </c>
      <c r="AN84" s="67">
        <f>J$63</f>
        <v>115113.5376</v>
      </c>
      <c r="AO84" s="67">
        <v>0.0</v>
      </c>
      <c r="AP84" s="67">
        <v>0.0</v>
      </c>
      <c r="AQ84" s="67">
        <v>0.0</v>
      </c>
      <c r="AR84" s="67">
        <v>0.0</v>
      </c>
      <c r="AS84" s="67">
        <v>0.0</v>
      </c>
      <c r="AT84" s="67">
        <v>0.0</v>
      </c>
      <c r="AU84" s="67">
        <v>0.0</v>
      </c>
      <c r="AV84" s="67">
        <v>0.0</v>
      </c>
      <c r="AW84" s="67">
        <v>0.0</v>
      </c>
      <c r="AX84" s="67">
        <v>0.0</v>
      </c>
      <c r="AY84" s="67">
        <v>0.0</v>
      </c>
      <c r="AZ84" s="67">
        <v>0.0</v>
      </c>
      <c r="BA84" s="67">
        <v>0.0</v>
      </c>
      <c r="BB84" s="67">
        <v>0.0</v>
      </c>
      <c r="BC84" s="67">
        <v>0.0</v>
      </c>
      <c r="BD84" s="67">
        <v>0.0</v>
      </c>
      <c r="BE84" s="67">
        <v>0.0</v>
      </c>
      <c r="BF84" s="67">
        <v>0.0</v>
      </c>
      <c r="BG84" s="67">
        <v>0.0</v>
      </c>
      <c r="BH84" s="67">
        <v>0.0</v>
      </c>
    </row>
    <row r="85" ht="15.75" customHeight="1">
      <c r="B85" s="65">
        <v>9.0</v>
      </c>
      <c r="C85" s="66">
        <v>0.0</v>
      </c>
      <c r="D85" s="66">
        <v>0.0</v>
      </c>
      <c r="E85" s="66">
        <v>0.0</v>
      </c>
      <c r="F85" s="66">
        <v>0.0</v>
      </c>
      <c r="G85" s="66">
        <v>0.0</v>
      </c>
      <c r="H85" s="66">
        <v>0.0</v>
      </c>
      <c r="I85" s="66">
        <v>0.0</v>
      </c>
      <c r="J85" s="66">
        <v>0.0</v>
      </c>
      <c r="K85" s="66">
        <f>1/$AV11</f>
        <v>0.001863825124</v>
      </c>
      <c r="L85" s="66">
        <v>0.0</v>
      </c>
      <c r="M85" s="66">
        <v>0.0</v>
      </c>
      <c r="N85" s="66">
        <v>0.0</v>
      </c>
      <c r="O85" s="66">
        <v>0.0</v>
      </c>
      <c r="P85" s="66">
        <v>0.0</v>
      </c>
      <c r="Q85" s="66">
        <v>0.0</v>
      </c>
      <c r="R85" s="66">
        <v>0.0</v>
      </c>
      <c r="S85" s="66">
        <v>0.0</v>
      </c>
      <c r="T85" s="66">
        <v>0.0</v>
      </c>
      <c r="U85" s="66">
        <v>0.0</v>
      </c>
      <c r="V85" s="66">
        <v>0.0</v>
      </c>
      <c r="W85" s="66">
        <v>0.0</v>
      </c>
      <c r="X85" s="66">
        <v>0.0</v>
      </c>
      <c r="Y85" s="66">
        <v>0.0</v>
      </c>
      <c r="Z85" s="66">
        <v>0.0</v>
      </c>
      <c r="AA85" s="66">
        <v>0.0</v>
      </c>
      <c r="AB85" s="66">
        <v>0.0</v>
      </c>
      <c r="AC85" s="66">
        <v>0.0</v>
      </c>
      <c r="AD85" s="66">
        <v>0.0</v>
      </c>
      <c r="AF85" s="65">
        <v>9.0</v>
      </c>
      <c r="AG85" s="67">
        <v>0.0</v>
      </c>
      <c r="AH85" s="67">
        <v>0.0</v>
      </c>
      <c r="AI85" s="67">
        <v>0.0</v>
      </c>
      <c r="AJ85" s="67">
        <v>0.0</v>
      </c>
      <c r="AK85" s="67">
        <v>0.0</v>
      </c>
      <c r="AL85" s="67">
        <v>0.0</v>
      </c>
      <c r="AM85" s="67">
        <v>0.0</v>
      </c>
      <c r="AN85" s="67">
        <v>0.0</v>
      </c>
      <c r="AO85" s="67">
        <f>K$63</f>
        <v>50147.36755</v>
      </c>
      <c r="AP85" s="67">
        <v>0.0</v>
      </c>
      <c r="AQ85" s="67">
        <v>0.0</v>
      </c>
      <c r="AR85" s="67">
        <v>0.0</v>
      </c>
      <c r="AS85" s="67">
        <v>0.0</v>
      </c>
      <c r="AT85" s="67">
        <v>0.0</v>
      </c>
      <c r="AU85" s="67">
        <v>0.0</v>
      </c>
      <c r="AV85" s="67">
        <v>0.0</v>
      </c>
      <c r="AW85" s="67">
        <v>0.0</v>
      </c>
      <c r="AX85" s="67">
        <v>0.0</v>
      </c>
      <c r="AY85" s="67">
        <v>0.0</v>
      </c>
      <c r="AZ85" s="67">
        <v>0.0</v>
      </c>
      <c r="BA85" s="67">
        <v>0.0</v>
      </c>
      <c r="BB85" s="67">
        <v>0.0</v>
      </c>
      <c r="BC85" s="67">
        <v>0.0</v>
      </c>
      <c r="BD85" s="67">
        <v>0.0</v>
      </c>
      <c r="BE85" s="67">
        <v>0.0</v>
      </c>
      <c r="BF85" s="67">
        <v>0.0</v>
      </c>
      <c r="BG85" s="67">
        <v>0.0</v>
      </c>
      <c r="BH85" s="67">
        <v>0.0</v>
      </c>
    </row>
    <row r="86" ht="15.75" customHeight="1">
      <c r="B86" s="65">
        <v>10.0</v>
      </c>
      <c r="C86" s="66">
        <v>0.0</v>
      </c>
      <c r="D86" s="66">
        <v>0.0</v>
      </c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0.0</v>
      </c>
      <c r="K86" s="66">
        <v>0.0</v>
      </c>
      <c r="L86" s="66">
        <f>1/$AV12</f>
        <v>0.000006842835747</v>
      </c>
      <c r="M86" s="66">
        <v>0.0</v>
      </c>
      <c r="N86" s="66">
        <v>0.0</v>
      </c>
      <c r="O86" s="66">
        <v>0.0</v>
      </c>
      <c r="P86" s="66">
        <v>0.0</v>
      </c>
      <c r="Q86" s="66">
        <v>0.0</v>
      </c>
      <c r="R86" s="66">
        <v>0.0</v>
      </c>
      <c r="S86" s="66">
        <v>0.0</v>
      </c>
      <c r="T86" s="66">
        <v>0.0</v>
      </c>
      <c r="U86" s="66">
        <v>0.0</v>
      </c>
      <c r="V86" s="66">
        <v>0.0</v>
      </c>
      <c r="W86" s="66">
        <v>0.0</v>
      </c>
      <c r="X86" s="66">
        <v>0.0</v>
      </c>
      <c r="Y86" s="66">
        <v>0.0</v>
      </c>
      <c r="Z86" s="66">
        <v>0.0</v>
      </c>
      <c r="AA86" s="66">
        <v>0.0</v>
      </c>
      <c r="AB86" s="66">
        <v>0.0</v>
      </c>
      <c r="AC86" s="66">
        <v>0.0</v>
      </c>
      <c r="AD86" s="66">
        <v>0.0</v>
      </c>
      <c r="AF86" s="65">
        <v>10.0</v>
      </c>
      <c r="AG86" s="67">
        <v>0.0</v>
      </c>
      <c r="AH86" s="67">
        <v>0.0</v>
      </c>
      <c r="AI86" s="67">
        <v>0.0</v>
      </c>
      <c r="AJ86" s="67">
        <v>0.0</v>
      </c>
      <c r="AK86" s="67">
        <v>0.0</v>
      </c>
      <c r="AL86" s="67">
        <v>0.0</v>
      </c>
      <c r="AM86" s="67">
        <v>0.0</v>
      </c>
      <c r="AN86" s="67">
        <v>0.0</v>
      </c>
      <c r="AO86" s="67">
        <v>0.0</v>
      </c>
      <c r="AP86" s="67">
        <f>L$63</f>
        <v>172463.0253</v>
      </c>
      <c r="AQ86" s="67">
        <v>0.0</v>
      </c>
      <c r="AR86" s="67">
        <v>0.0</v>
      </c>
      <c r="AS86" s="67">
        <v>0.0</v>
      </c>
      <c r="AT86" s="67">
        <v>0.0</v>
      </c>
      <c r="AU86" s="67">
        <v>0.0</v>
      </c>
      <c r="AV86" s="67">
        <v>0.0</v>
      </c>
      <c r="AW86" s="67">
        <v>0.0</v>
      </c>
      <c r="AX86" s="67">
        <v>0.0</v>
      </c>
      <c r="AY86" s="67">
        <v>0.0</v>
      </c>
      <c r="AZ86" s="67">
        <v>0.0</v>
      </c>
      <c r="BA86" s="67">
        <v>0.0</v>
      </c>
      <c r="BB86" s="67">
        <v>0.0</v>
      </c>
      <c r="BC86" s="67">
        <v>0.0</v>
      </c>
      <c r="BD86" s="67">
        <v>0.0</v>
      </c>
      <c r="BE86" s="67">
        <v>0.0</v>
      </c>
      <c r="BF86" s="67">
        <v>0.0</v>
      </c>
      <c r="BG86" s="67">
        <v>0.0</v>
      </c>
      <c r="BH86" s="67">
        <v>0.0</v>
      </c>
    </row>
    <row r="87" ht="15.75" customHeight="1">
      <c r="B87" s="65">
        <v>11.0</v>
      </c>
      <c r="C87" s="66">
        <v>0.0</v>
      </c>
      <c r="D87" s="66">
        <v>0.0</v>
      </c>
      <c r="E87" s="66">
        <v>0.0</v>
      </c>
      <c r="F87" s="66">
        <v>0.0</v>
      </c>
      <c r="G87" s="66">
        <v>0.0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66">
        <f>1/$AV13</f>
        <v>0.00000351391668</v>
      </c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6">
        <v>0.0</v>
      </c>
      <c r="T87" s="66">
        <v>0.0</v>
      </c>
      <c r="U87" s="66">
        <v>0.0</v>
      </c>
      <c r="V87" s="66">
        <v>0.0</v>
      </c>
      <c r="W87" s="66">
        <v>0.0</v>
      </c>
      <c r="X87" s="66">
        <v>0.0</v>
      </c>
      <c r="Y87" s="66">
        <v>0.0</v>
      </c>
      <c r="Z87" s="66">
        <v>0.0</v>
      </c>
      <c r="AA87" s="66">
        <v>0.0</v>
      </c>
      <c r="AB87" s="66">
        <v>0.0</v>
      </c>
      <c r="AC87" s="66">
        <v>0.0</v>
      </c>
      <c r="AD87" s="66">
        <v>0.0</v>
      </c>
      <c r="AF87" s="65">
        <v>11.0</v>
      </c>
      <c r="AG87" s="67">
        <v>0.0</v>
      </c>
      <c r="AH87" s="67">
        <v>0.0</v>
      </c>
      <c r="AI87" s="67">
        <v>0.0</v>
      </c>
      <c r="AJ87" s="67">
        <v>0.0</v>
      </c>
      <c r="AK87" s="67">
        <v>0.0</v>
      </c>
      <c r="AL87" s="67">
        <v>0.0</v>
      </c>
      <c r="AM87" s="67">
        <v>0.0</v>
      </c>
      <c r="AN87" s="67">
        <v>0.0</v>
      </c>
      <c r="AO87" s="67">
        <v>0.0</v>
      </c>
      <c r="AP87" s="67">
        <v>0.0</v>
      </c>
      <c r="AQ87" s="67">
        <f>M$63</f>
        <v>20648.30266</v>
      </c>
      <c r="AR87" s="67">
        <v>0.0</v>
      </c>
      <c r="AS87" s="67">
        <v>0.0</v>
      </c>
      <c r="AT87" s="67">
        <v>0.0</v>
      </c>
      <c r="AU87" s="67">
        <v>0.0</v>
      </c>
      <c r="AV87" s="67">
        <v>0.0</v>
      </c>
      <c r="AW87" s="67">
        <v>0.0</v>
      </c>
      <c r="AX87" s="67">
        <v>0.0</v>
      </c>
      <c r="AY87" s="67">
        <v>0.0</v>
      </c>
      <c r="AZ87" s="67">
        <v>0.0</v>
      </c>
      <c r="BA87" s="67">
        <v>0.0</v>
      </c>
      <c r="BB87" s="67">
        <v>0.0</v>
      </c>
      <c r="BC87" s="67">
        <v>0.0</v>
      </c>
      <c r="BD87" s="67">
        <v>0.0</v>
      </c>
      <c r="BE87" s="67">
        <v>0.0</v>
      </c>
      <c r="BF87" s="67">
        <v>0.0</v>
      </c>
      <c r="BG87" s="67">
        <v>0.0</v>
      </c>
      <c r="BH87" s="67">
        <v>0.0</v>
      </c>
    </row>
    <row r="88" ht="15.75" customHeight="1">
      <c r="B88" s="65">
        <v>12.0</v>
      </c>
      <c r="C88" s="66">
        <v>0.0</v>
      </c>
      <c r="D88" s="66">
        <v>0.0</v>
      </c>
      <c r="E88" s="66">
        <v>0.0</v>
      </c>
      <c r="F88" s="66">
        <v>0.0</v>
      </c>
      <c r="G88" s="66">
        <v>0.0</v>
      </c>
      <c r="H88" s="66">
        <v>0.0</v>
      </c>
      <c r="I88" s="66">
        <v>0.0</v>
      </c>
      <c r="J88" s="66">
        <v>0.0</v>
      </c>
      <c r="K88" s="66">
        <v>0.0</v>
      </c>
      <c r="L88" s="66">
        <v>0.0</v>
      </c>
      <c r="M88" s="66">
        <v>0.0</v>
      </c>
      <c r="N88" s="66">
        <f>1/$AV14</f>
        <v>0.0002132296632</v>
      </c>
      <c r="O88" s="66">
        <v>0.0</v>
      </c>
      <c r="P88" s="66">
        <v>0.0</v>
      </c>
      <c r="Q88" s="66">
        <v>0.0</v>
      </c>
      <c r="R88" s="66">
        <v>0.0</v>
      </c>
      <c r="S88" s="66">
        <v>0.0</v>
      </c>
      <c r="T88" s="66">
        <v>0.0</v>
      </c>
      <c r="U88" s="66">
        <v>0.0</v>
      </c>
      <c r="V88" s="66">
        <v>0.0</v>
      </c>
      <c r="W88" s="66">
        <v>0.0</v>
      </c>
      <c r="X88" s="66">
        <v>0.0</v>
      </c>
      <c r="Y88" s="66">
        <v>0.0</v>
      </c>
      <c r="Z88" s="66">
        <v>0.0</v>
      </c>
      <c r="AA88" s="66">
        <v>0.0</v>
      </c>
      <c r="AB88" s="66">
        <v>0.0</v>
      </c>
      <c r="AC88" s="66">
        <v>0.0</v>
      </c>
      <c r="AD88" s="66">
        <v>0.0</v>
      </c>
      <c r="AF88" s="65">
        <v>12.0</v>
      </c>
      <c r="AG88" s="67">
        <v>0.0</v>
      </c>
      <c r="AH88" s="67">
        <v>0.0</v>
      </c>
      <c r="AI88" s="67">
        <v>0.0</v>
      </c>
      <c r="AJ88" s="67">
        <v>0.0</v>
      </c>
      <c r="AK88" s="67">
        <v>0.0</v>
      </c>
      <c r="AL88" s="67">
        <v>0.0</v>
      </c>
      <c r="AM88" s="67">
        <v>0.0</v>
      </c>
      <c r="AN88" s="67">
        <v>0.0</v>
      </c>
      <c r="AO88" s="67">
        <v>0.0</v>
      </c>
      <c r="AP88" s="67">
        <v>0.0</v>
      </c>
      <c r="AQ88" s="67">
        <v>0.0</v>
      </c>
      <c r="AR88" s="67">
        <f>N$63</f>
        <v>435612.233</v>
      </c>
      <c r="AS88" s="67">
        <v>0.0</v>
      </c>
      <c r="AT88" s="67">
        <v>0.0</v>
      </c>
      <c r="AU88" s="67">
        <v>0.0</v>
      </c>
      <c r="AV88" s="67">
        <v>0.0</v>
      </c>
      <c r="AW88" s="67">
        <v>0.0</v>
      </c>
      <c r="AX88" s="67">
        <v>0.0</v>
      </c>
      <c r="AY88" s="67">
        <v>0.0</v>
      </c>
      <c r="AZ88" s="67">
        <v>0.0</v>
      </c>
      <c r="BA88" s="67">
        <v>0.0</v>
      </c>
      <c r="BB88" s="67">
        <v>0.0</v>
      </c>
      <c r="BC88" s="67">
        <v>0.0</v>
      </c>
      <c r="BD88" s="67">
        <v>0.0</v>
      </c>
      <c r="BE88" s="67">
        <v>0.0</v>
      </c>
      <c r="BF88" s="67">
        <v>0.0</v>
      </c>
      <c r="BG88" s="67">
        <v>0.0</v>
      </c>
      <c r="BH88" s="67">
        <v>0.0</v>
      </c>
    </row>
    <row r="89" ht="15.75" customHeight="1">
      <c r="B89" s="65">
        <v>13.0</v>
      </c>
      <c r="C89" s="66">
        <v>0.0</v>
      </c>
      <c r="D89" s="66">
        <v>0.0</v>
      </c>
      <c r="E89" s="66">
        <v>0.0</v>
      </c>
      <c r="F89" s="66">
        <v>0.0</v>
      </c>
      <c r="G89" s="66">
        <v>0.0</v>
      </c>
      <c r="H89" s="66">
        <v>0.0</v>
      </c>
      <c r="I89" s="66">
        <v>0.0</v>
      </c>
      <c r="J89" s="66">
        <v>0.0</v>
      </c>
      <c r="K89" s="66">
        <v>0.0</v>
      </c>
      <c r="L89" s="66">
        <v>0.0</v>
      </c>
      <c r="M89" s="66">
        <v>0.0</v>
      </c>
      <c r="N89" s="66">
        <v>0.0</v>
      </c>
      <c r="O89" s="66">
        <f>1/$AV15</f>
        <v>0.0008959208723</v>
      </c>
      <c r="P89" s="66">
        <v>0.0</v>
      </c>
      <c r="Q89" s="66">
        <v>0.0</v>
      </c>
      <c r="R89" s="66">
        <v>0.0</v>
      </c>
      <c r="S89" s="66">
        <v>0.0</v>
      </c>
      <c r="T89" s="66">
        <v>0.0</v>
      </c>
      <c r="U89" s="66">
        <v>0.0</v>
      </c>
      <c r="V89" s="66">
        <v>0.0</v>
      </c>
      <c r="W89" s="66">
        <v>0.0</v>
      </c>
      <c r="X89" s="66">
        <v>0.0</v>
      </c>
      <c r="Y89" s="66">
        <v>0.0</v>
      </c>
      <c r="Z89" s="66">
        <v>0.0</v>
      </c>
      <c r="AA89" s="66">
        <v>0.0</v>
      </c>
      <c r="AB89" s="66">
        <v>0.0</v>
      </c>
      <c r="AC89" s="66">
        <v>0.0</v>
      </c>
      <c r="AD89" s="66">
        <v>0.0</v>
      </c>
      <c r="AF89" s="65">
        <v>13.0</v>
      </c>
      <c r="AG89" s="67">
        <v>0.0</v>
      </c>
      <c r="AH89" s="67">
        <v>0.0</v>
      </c>
      <c r="AI89" s="67">
        <v>0.0</v>
      </c>
      <c r="AJ89" s="67">
        <v>0.0</v>
      </c>
      <c r="AK89" s="67">
        <v>0.0</v>
      </c>
      <c r="AL89" s="67">
        <v>0.0</v>
      </c>
      <c r="AM89" s="67">
        <v>0.0</v>
      </c>
      <c r="AN89" s="67">
        <v>0.0</v>
      </c>
      <c r="AO89" s="67">
        <v>0.0</v>
      </c>
      <c r="AP89" s="67">
        <v>0.0</v>
      </c>
      <c r="AQ89" s="67">
        <v>0.0</v>
      </c>
      <c r="AR89" s="67">
        <v>0.0</v>
      </c>
      <c r="AS89" s="67">
        <f>O$63</f>
        <v>5633.905301</v>
      </c>
      <c r="AT89" s="67">
        <v>0.0</v>
      </c>
      <c r="AU89" s="67">
        <v>0.0</v>
      </c>
      <c r="AV89" s="67">
        <v>0.0</v>
      </c>
      <c r="AW89" s="67">
        <v>0.0</v>
      </c>
      <c r="AX89" s="67">
        <v>0.0</v>
      </c>
      <c r="AY89" s="67">
        <v>0.0</v>
      </c>
      <c r="AZ89" s="67">
        <v>0.0</v>
      </c>
      <c r="BA89" s="67">
        <v>0.0</v>
      </c>
      <c r="BB89" s="67">
        <v>0.0</v>
      </c>
      <c r="BC89" s="67">
        <v>0.0</v>
      </c>
      <c r="BD89" s="67">
        <v>0.0</v>
      </c>
      <c r="BE89" s="67">
        <v>0.0</v>
      </c>
      <c r="BF89" s="67">
        <v>0.0</v>
      </c>
      <c r="BG89" s="67">
        <v>0.0</v>
      </c>
      <c r="BH89" s="67">
        <v>0.0</v>
      </c>
    </row>
    <row r="90" ht="15.75" customHeight="1">
      <c r="B90" s="65">
        <v>14.0</v>
      </c>
      <c r="C90" s="66">
        <v>0.0</v>
      </c>
      <c r="D90" s="66">
        <v>0.0</v>
      </c>
      <c r="E90" s="66">
        <v>0.0</v>
      </c>
      <c r="F90" s="66">
        <v>0.0</v>
      </c>
      <c r="G90" s="66">
        <v>0.0</v>
      </c>
      <c r="H90" s="66">
        <v>0.0</v>
      </c>
      <c r="I90" s="66">
        <v>0.0</v>
      </c>
      <c r="J90" s="66">
        <v>0.0</v>
      </c>
      <c r="K90" s="66">
        <v>0.0</v>
      </c>
      <c r="L90" s="66">
        <v>0.0</v>
      </c>
      <c r="M90" s="66">
        <v>0.0</v>
      </c>
      <c r="N90" s="66">
        <v>0.0</v>
      </c>
      <c r="O90" s="66">
        <v>0.0</v>
      </c>
      <c r="P90" s="66">
        <f>1/$AV16</f>
        <v>0.00003268911402</v>
      </c>
      <c r="Q90" s="66">
        <v>0.0</v>
      </c>
      <c r="R90" s="66">
        <v>0.0</v>
      </c>
      <c r="S90" s="66">
        <v>0.0</v>
      </c>
      <c r="T90" s="66">
        <v>0.0</v>
      </c>
      <c r="U90" s="66">
        <v>0.0</v>
      </c>
      <c r="V90" s="66">
        <v>0.0</v>
      </c>
      <c r="W90" s="66">
        <v>0.0</v>
      </c>
      <c r="X90" s="66">
        <v>0.0</v>
      </c>
      <c r="Y90" s="66">
        <v>0.0</v>
      </c>
      <c r="Z90" s="66">
        <v>0.0</v>
      </c>
      <c r="AA90" s="66">
        <v>0.0</v>
      </c>
      <c r="AB90" s="66">
        <v>0.0</v>
      </c>
      <c r="AC90" s="66">
        <v>0.0</v>
      </c>
      <c r="AD90" s="66">
        <v>0.0</v>
      </c>
      <c r="AF90" s="65">
        <v>14.0</v>
      </c>
      <c r="AG90" s="67">
        <v>0.0</v>
      </c>
      <c r="AH90" s="67">
        <v>0.0</v>
      </c>
      <c r="AI90" s="67">
        <v>0.0</v>
      </c>
      <c r="AJ90" s="67">
        <v>0.0</v>
      </c>
      <c r="AK90" s="67">
        <v>0.0</v>
      </c>
      <c r="AL90" s="67">
        <v>0.0</v>
      </c>
      <c r="AM90" s="67">
        <v>0.0</v>
      </c>
      <c r="AN90" s="67">
        <v>0.0</v>
      </c>
      <c r="AO90" s="67">
        <v>0.0</v>
      </c>
      <c r="AP90" s="67">
        <v>0.0</v>
      </c>
      <c r="AQ90" s="67">
        <v>0.0</v>
      </c>
      <c r="AR90" s="67">
        <v>0.0</v>
      </c>
      <c r="AS90" s="67">
        <v>0.0</v>
      </c>
      <c r="AT90" s="67">
        <f>P$63</f>
        <v>42388.83895</v>
      </c>
      <c r="AU90" s="67">
        <v>0.0</v>
      </c>
      <c r="AV90" s="67">
        <v>0.0</v>
      </c>
      <c r="AW90" s="67">
        <v>0.0</v>
      </c>
      <c r="AX90" s="67">
        <v>0.0</v>
      </c>
      <c r="AY90" s="67">
        <v>0.0</v>
      </c>
      <c r="AZ90" s="67">
        <v>0.0</v>
      </c>
      <c r="BA90" s="67">
        <v>0.0</v>
      </c>
      <c r="BB90" s="67">
        <v>0.0</v>
      </c>
      <c r="BC90" s="67">
        <v>0.0</v>
      </c>
      <c r="BD90" s="67">
        <v>0.0</v>
      </c>
      <c r="BE90" s="67">
        <v>0.0</v>
      </c>
      <c r="BF90" s="67">
        <v>0.0</v>
      </c>
      <c r="BG90" s="67">
        <v>0.0</v>
      </c>
      <c r="BH90" s="67">
        <v>0.0</v>
      </c>
    </row>
    <row r="91" ht="15.75" customHeight="1">
      <c r="B91" s="65">
        <v>15.0</v>
      </c>
      <c r="C91" s="66">
        <v>0.0</v>
      </c>
      <c r="D91" s="66">
        <v>0.0</v>
      </c>
      <c r="E91" s="66">
        <v>0.0</v>
      </c>
      <c r="F91" s="66">
        <v>0.0</v>
      </c>
      <c r="G91" s="66">
        <v>0.0</v>
      </c>
      <c r="H91" s="66">
        <v>0.0</v>
      </c>
      <c r="I91" s="66">
        <v>0.0</v>
      </c>
      <c r="J91" s="66">
        <v>0.0</v>
      </c>
      <c r="K91" s="66">
        <v>0.0</v>
      </c>
      <c r="L91" s="66">
        <v>0.0</v>
      </c>
      <c r="M91" s="66">
        <v>0.0</v>
      </c>
      <c r="N91" s="66">
        <v>0.0</v>
      </c>
      <c r="O91" s="66">
        <v>0.0</v>
      </c>
      <c r="P91" s="66">
        <v>0.0</v>
      </c>
      <c r="Q91" s="66">
        <f>1/$AV17</f>
        <v>0.0000002797629831</v>
      </c>
      <c r="R91" s="66">
        <v>0.0</v>
      </c>
      <c r="S91" s="66">
        <v>0.0</v>
      </c>
      <c r="T91" s="66">
        <v>0.0</v>
      </c>
      <c r="U91" s="66">
        <v>0.0</v>
      </c>
      <c r="V91" s="66">
        <v>0.0</v>
      </c>
      <c r="W91" s="66">
        <v>0.0</v>
      </c>
      <c r="X91" s="66">
        <v>0.0</v>
      </c>
      <c r="Y91" s="66">
        <v>0.0</v>
      </c>
      <c r="Z91" s="66">
        <v>0.0</v>
      </c>
      <c r="AA91" s="66">
        <v>0.0</v>
      </c>
      <c r="AB91" s="66">
        <v>0.0</v>
      </c>
      <c r="AC91" s="66">
        <v>0.0</v>
      </c>
      <c r="AD91" s="66">
        <v>0.0</v>
      </c>
      <c r="AF91" s="65">
        <v>15.0</v>
      </c>
      <c r="AG91" s="67">
        <v>0.0</v>
      </c>
      <c r="AH91" s="67">
        <v>0.0</v>
      </c>
      <c r="AI91" s="67">
        <v>0.0</v>
      </c>
      <c r="AJ91" s="67">
        <v>0.0</v>
      </c>
      <c r="AK91" s="67">
        <v>0.0</v>
      </c>
      <c r="AL91" s="67">
        <v>0.0</v>
      </c>
      <c r="AM91" s="67">
        <v>0.0</v>
      </c>
      <c r="AN91" s="67">
        <v>0.0</v>
      </c>
      <c r="AO91" s="67">
        <v>0.0</v>
      </c>
      <c r="AP91" s="67">
        <v>0.0</v>
      </c>
      <c r="AQ91" s="67">
        <v>0.0</v>
      </c>
      <c r="AR91" s="67">
        <v>0.0</v>
      </c>
      <c r="AS91" s="67">
        <v>0.0</v>
      </c>
      <c r="AT91" s="67">
        <v>0.0</v>
      </c>
      <c r="AU91" s="67">
        <f>Q$63</f>
        <v>534401.58</v>
      </c>
      <c r="AV91" s="67">
        <v>0.0</v>
      </c>
      <c r="AW91" s="67">
        <v>0.0</v>
      </c>
      <c r="AX91" s="67">
        <v>0.0</v>
      </c>
      <c r="AY91" s="67">
        <v>0.0</v>
      </c>
      <c r="AZ91" s="67">
        <v>0.0</v>
      </c>
      <c r="BA91" s="67">
        <v>0.0</v>
      </c>
      <c r="BB91" s="67">
        <v>0.0</v>
      </c>
      <c r="BC91" s="67">
        <v>0.0</v>
      </c>
      <c r="BD91" s="67">
        <v>0.0</v>
      </c>
      <c r="BE91" s="67">
        <v>0.0</v>
      </c>
      <c r="BF91" s="67">
        <v>0.0</v>
      </c>
      <c r="BG91" s="67">
        <v>0.0</v>
      </c>
      <c r="BH91" s="67">
        <v>0.0</v>
      </c>
    </row>
    <row r="92" ht="15.75" customHeight="1">
      <c r="B92" s="65">
        <v>16.0</v>
      </c>
      <c r="C92" s="66">
        <v>0.0</v>
      </c>
      <c r="D92" s="66">
        <v>0.0</v>
      </c>
      <c r="E92" s="66">
        <v>0.0</v>
      </c>
      <c r="F92" s="66">
        <v>0.0</v>
      </c>
      <c r="G92" s="66">
        <v>0.0</v>
      </c>
      <c r="H92" s="66">
        <v>0.0</v>
      </c>
      <c r="I92" s="66">
        <v>0.0</v>
      </c>
      <c r="J92" s="66">
        <v>0.0</v>
      </c>
      <c r="K92" s="66">
        <v>0.0</v>
      </c>
      <c r="L92" s="66">
        <v>0.0</v>
      </c>
      <c r="M92" s="66">
        <v>0.0</v>
      </c>
      <c r="N92" s="66">
        <v>0.0</v>
      </c>
      <c r="O92" s="66">
        <v>0.0</v>
      </c>
      <c r="P92" s="66">
        <v>0.0</v>
      </c>
      <c r="Q92" s="66">
        <v>0.0</v>
      </c>
      <c r="R92" s="66">
        <f>1/$AV18</f>
        <v>0.0000009285609488</v>
      </c>
      <c r="S92" s="66">
        <v>0.0</v>
      </c>
      <c r="T92" s="66">
        <v>0.0</v>
      </c>
      <c r="U92" s="66">
        <v>0.0</v>
      </c>
      <c r="V92" s="66">
        <v>0.0</v>
      </c>
      <c r="W92" s="66">
        <v>0.0</v>
      </c>
      <c r="X92" s="66">
        <v>0.0</v>
      </c>
      <c r="Y92" s="66">
        <v>0.0</v>
      </c>
      <c r="Z92" s="66">
        <v>0.0</v>
      </c>
      <c r="AA92" s="66">
        <v>0.0</v>
      </c>
      <c r="AB92" s="66">
        <v>0.0</v>
      </c>
      <c r="AC92" s="66">
        <v>0.0</v>
      </c>
      <c r="AD92" s="66">
        <v>0.0</v>
      </c>
      <c r="AF92" s="65">
        <v>16.0</v>
      </c>
      <c r="AG92" s="67">
        <v>0.0</v>
      </c>
      <c r="AH92" s="67">
        <v>0.0</v>
      </c>
      <c r="AI92" s="67">
        <v>0.0</v>
      </c>
      <c r="AJ92" s="67">
        <v>0.0</v>
      </c>
      <c r="AK92" s="67">
        <v>0.0</v>
      </c>
      <c r="AL92" s="67">
        <v>0.0</v>
      </c>
      <c r="AM92" s="67">
        <v>0.0</v>
      </c>
      <c r="AN92" s="67">
        <v>0.0</v>
      </c>
      <c r="AO92" s="67">
        <v>0.0</v>
      </c>
      <c r="AP92" s="67">
        <v>0.0</v>
      </c>
      <c r="AQ92" s="67">
        <v>0.0</v>
      </c>
      <c r="AR92" s="67">
        <v>0.0</v>
      </c>
      <c r="AS92" s="67">
        <v>0.0</v>
      </c>
      <c r="AT92" s="67">
        <v>0.0</v>
      </c>
      <c r="AU92" s="67">
        <v>0.0</v>
      </c>
      <c r="AV92" s="67">
        <f>R$63</f>
        <v>191760.4514</v>
      </c>
      <c r="AW92" s="67">
        <v>0.0</v>
      </c>
      <c r="AX92" s="67">
        <v>0.0</v>
      </c>
      <c r="AY92" s="67">
        <v>0.0</v>
      </c>
      <c r="AZ92" s="67">
        <v>0.0</v>
      </c>
      <c r="BA92" s="67">
        <v>0.0</v>
      </c>
      <c r="BB92" s="67">
        <v>0.0</v>
      </c>
      <c r="BC92" s="67">
        <v>0.0</v>
      </c>
      <c r="BD92" s="67">
        <v>0.0</v>
      </c>
      <c r="BE92" s="67">
        <v>0.0</v>
      </c>
      <c r="BF92" s="67">
        <v>0.0</v>
      </c>
      <c r="BG92" s="67">
        <v>0.0</v>
      </c>
      <c r="BH92" s="67">
        <v>0.0</v>
      </c>
    </row>
    <row r="93" ht="15.75" customHeight="1">
      <c r="B93" s="65">
        <v>17.0</v>
      </c>
      <c r="C93" s="66">
        <v>0.0</v>
      </c>
      <c r="D93" s="66">
        <v>0.0</v>
      </c>
      <c r="E93" s="66">
        <v>0.0</v>
      </c>
      <c r="F93" s="66">
        <v>0.0</v>
      </c>
      <c r="G93" s="66">
        <v>0.0</v>
      </c>
      <c r="H93" s="66">
        <v>0.0</v>
      </c>
      <c r="I93" s="66">
        <v>0.0</v>
      </c>
      <c r="J93" s="66">
        <v>0.0</v>
      </c>
      <c r="K93" s="66">
        <v>0.0</v>
      </c>
      <c r="L93" s="66">
        <v>0.0</v>
      </c>
      <c r="M93" s="66">
        <v>0.0</v>
      </c>
      <c r="N93" s="66">
        <v>0.0</v>
      </c>
      <c r="O93" s="66">
        <v>0.0</v>
      </c>
      <c r="P93" s="66">
        <v>0.0</v>
      </c>
      <c r="Q93" s="66">
        <v>0.0</v>
      </c>
      <c r="R93" s="66">
        <v>0.0</v>
      </c>
      <c r="S93" s="66">
        <f>1/$AV19</f>
        <v>0.0000004703475898</v>
      </c>
      <c r="T93" s="66">
        <v>0.0</v>
      </c>
      <c r="U93" s="66">
        <v>0.0</v>
      </c>
      <c r="V93" s="66">
        <v>0.0</v>
      </c>
      <c r="W93" s="66">
        <v>0.0</v>
      </c>
      <c r="X93" s="66">
        <v>0.0</v>
      </c>
      <c r="Y93" s="66">
        <v>0.0</v>
      </c>
      <c r="Z93" s="66">
        <v>0.0</v>
      </c>
      <c r="AA93" s="66">
        <v>0.0</v>
      </c>
      <c r="AB93" s="66">
        <v>0.0</v>
      </c>
      <c r="AC93" s="66">
        <v>0.0</v>
      </c>
      <c r="AD93" s="66">
        <v>0.0</v>
      </c>
      <c r="AF93" s="65">
        <v>17.0</v>
      </c>
      <c r="AG93" s="67">
        <v>0.0</v>
      </c>
      <c r="AH93" s="67">
        <v>0.0</v>
      </c>
      <c r="AI93" s="67">
        <v>0.0</v>
      </c>
      <c r="AJ93" s="67">
        <v>0.0</v>
      </c>
      <c r="AK93" s="67">
        <v>0.0</v>
      </c>
      <c r="AL93" s="67">
        <v>0.0</v>
      </c>
      <c r="AM93" s="67">
        <v>0.0</v>
      </c>
      <c r="AN93" s="67">
        <v>0.0</v>
      </c>
      <c r="AO93" s="67">
        <v>0.0</v>
      </c>
      <c r="AP93" s="67">
        <v>0.0</v>
      </c>
      <c r="AQ93" s="67">
        <v>0.0</v>
      </c>
      <c r="AR93" s="67">
        <v>0.0</v>
      </c>
      <c r="AS93" s="67">
        <v>0.0</v>
      </c>
      <c r="AT93" s="67">
        <v>0.0</v>
      </c>
      <c r="AU93" s="67">
        <v>0.0</v>
      </c>
      <c r="AV93" s="67">
        <v>0.0</v>
      </c>
      <c r="AW93" s="67">
        <f>S$63</f>
        <v>1566096.403</v>
      </c>
      <c r="AX93" s="67">
        <v>0.0</v>
      </c>
      <c r="AY93" s="67">
        <v>0.0</v>
      </c>
      <c r="AZ93" s="67">
        <v>0.0</v>
      </c>
      <c r="BA93" s="67">
        <v>0.0</v>
      </c>
      <c r="BB93" s="67">
        <v>0.0</v>
      </c>
      <c r="BC93" s="67">
        <v>0.0</v>
      </c>
      <c r="BD93" s="67">
        <v>0.0</v>
      </c>
      <c r="BE93" s="67">
        <v>0.0</v>
      </c>
      <c r="BF93" s="67">
        <v>0.0</v>
      </c>
      <c r="BG93" s="67">
        <v>0.0</v>
      </c>
      <c r="BH93" s="67">
        <v>0.0</v>
      </c>
    </row>
    <row r="94" ht="15.75" customHeight="1">
      <c r="B94" s="65">
        <v>18.0</v>
      </c>
      <c r="C94" s="66">
        <v>0.0</v>
      </c>
      <c r="D94" s="66">
        <v>0.0</v>
      </c>
      <c r="E94" s="66">
        <v>0.0</v>
      </c>
      <c r="F94" s="66">
        <v>0.0</v>
      </c>
      <c r="G94" s="66">
        <v>0.0</v>
      </c>
      <c r="H94" s="66">
        <v>0.0</v>
      </c>
      <c r="I94" s="66">
        <v>0.0</v>
      </c>
      <c r="J94" s="66">
        <v>0.0</v>
      </c>
      <c r="K94" s="66">
        <v>0.0</v>
      </c>
      <c r="L94" s="66">
        <v>0.0</v>
      </c>
      <c r="M94" s="66">
        <v>0.0</v>
      </c>
      <c r="N94" s="66">
        <v>0.0</v>
      </c>
      <c r="O94" s="66">
        <v>0.0</v>
      </c>
      <c r="P94" s="66">
        <v>0.0</v>
      </c>
      <c r="Q94" s="66">
        <v>0.0</v>
      </c>
      <c r="R94" s="66">
        <v>0.0</v>
      </c>
      <c r="S94" s="66">
        <v>0.0</v>
      </c>
      <c r="T94" s="66">
        <f>1/$AV20</f>
        <v>0.0000004371865627</v>
      </c>
      <c r="U94" s="66">
        <v>0.0</v>
      </c>
      <c r="V94" s="66">
        <v>0.0</v>
      </c>
      <c r="W94" s="66">
        <v>0.0</v>
      </c>
      <c r="X94" s="66">
        <v>0.0</v>
      </c>
      <c r="Y94" s="66">
        <v>0.0</v>
      </c>
      <c r="Z94" s="66">
        <v>0.0</v>
      </c>
      <c r="AA94" s="66">
        <v>0.0</v>
      </c>
      <c r="AB94" s="66">
        <v>0.0</v>
      </c>
      <c r="AC94" s="66">
        <v>0.0</v>
      </c>
      <c r="AD94" s="66">
        <v>0.0</v>
      </c>
      <c r="AF94" s="65">
        <v>18.0</v>
      </c>
      <c r="AG94" s="67">
        <v>0.0</v>
      </c>
      <c r="AH94" s="67">
        <v>0.0</v>
      </c>
      <c r="AI94" s="67">
        <v>0.0</v>
      </c>
      <c r="AJ94" s="67">
        <v>0.0</v>
      </c>
      <c r="AK94" s="67">
        <v>0.0</v>
      </c>
      <c r="AL94" s="67">
        <v>0.0</v>
      </c>
      <c r="AM94" s="67">
        <v>0.0</v>
      </c>
      <c r="AN94" s="67">
        <v>0.0</v>
      </c>
      <c r="AO94" s="67">
        <v>0.0</v>
      </c>
      <c r="AP94" s="67">
        <v>0.0</v>
      </c>
      <c r="AQ94" s="67">
        <v>0.0</v>
      </c>
      <c r="AR94" s="67">
        <v>0.0</v>
      </c>
      <c r="AS94" s="67">
        <v>0.0</v>
      </c>
      <c r="AT94" s="67">
        <v>0.0</v>
      </c>
      <c r="AU94" s="67">
        <v>0.0</v>
      </c>
      <c r="AV94" s="67">
        <v>0.0</v>
      </c>
      <c r="AW94" s="67">
        <v>0.0</v>
      </c>
      <c r="AX94" s="67">
        <f>T$63</f>
        <v>239713.5871</v>
      </c>
      <c r="AY94" s="67">
        <v>0.0</v>
      </c>
      <c r="AZ94" s="67">
        <v>0.0</v>
      </c>
      <c r="BA94" s="67">
        <v>0.0</v>
      </c>
      <c r="BB94" s="67">
        <v>0.0</v>
      </c>
      <c r="BC94" s="67">
        <v>0.0</v>
      </c>
      <c r="BD94" s="67">
        <v>0.0</v>
      </c>
      <c r="BE94" s="67">
        <v>0.0</v>
      </c>
      <c r="BF94" s="67">
        <v>0.0</v>
      </c>
      <c r="BG94" s="67">
        <v>0.0</v>
      </c>
      <c r="BH94" s="67">
        <v>0.0</v>
      </c>
    </row>
    <row r="95" ht="15.75" customHeight="1">
      <c r="B95" s="65">
        <v>19.0</v>
      </c>
      <c r="C95" s="66">
        <v>0.0</v>
      </c>
      <c r="D95" s="66">
        <v>0.0</v>
      </c>
      <c r="E95" s="66">
        <v>0.0</v>
      </c>
      <c r="F95" s="66">
        <v>0.0</v>
      </c>
      <c r="G95" s="66">
        <v>0.0</v>
      </c>
      <c r="H95" s="66">
        <v>0.0</v>
      </c>
      <c r="I95" s="66">
        <v>0.0</v>
      </c>
      <c r="J95" s="66">
        <v>0.0</v>
      </c>
      <c r="K95" s="66">
        <v>0.0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6">
        <v>0.0</v>
      </c>
      <c r="T95" s="66">
        <v>0.0</v>
      </c>
      <c r="U95" s="66">
        <f>1/$AV21</f>
        <v>0.0000003683972111</v>
      </c>
      <c r="V95" s="66">
        <v>0.0</v>
      </c>
      <c r="W95" s="66">
        <v>0.0</v>
      </c>
      <c r="X95" s="66">
        <v>0.0</v>
      </c>
      <c r="Y95" s="66">
        <v>0.0</v>
      </c>
      <c r="Z95" s="66">
        <v>0.0</v>
      </c>
      <c r="AA95" s="66">
        <v>0.0</v>
      </c>
      <c r="AB95" s="66">
        <v>0.0</v>
      </c>
      <c r="AC95" s="66">
        <v>0.0</v>
      </c>
      <c r="AD95" s="66">
        <v>0.0</v>
      </c>
      <c r="AF95" s="65">
        <v>19.0</v>
      </c>
      <c r="AG95" s="67">
        <v>0.0</v>
      </c>
      <c r="AH95" s="67">
        <v>0.0</v>
      </c>
      <c r="AI95" s="67">
        <v>0.0</v>
      </c>
      <c r="AJ95" s="67">
        <v>0.0</v>
      </c>
      <c r="AK95" s="67">
        <v>0.0</v>
      </c>
      <c r="AL95" s="67">
        <v>0.0</v>
      </c>
      <c r="AM95" s="67">
        <v>0.0</v>
      </c>
      <c r="AN95" s="67">
        <v>0.0</v>
      </c>
      <c r="AO95" s="67">
        <v>0.0</v>
      </c>
      <c r="AP95" s="67">
        <v>0.0</v>
      </c>
      <c r="AQ95" s="67">
        <v>0.0</v>
      </c>
      <c r="AR95" s="67">
        <v>0.0</v>
      </c>
      <c r="AS95" s="67">
        <v>0.0</v>
      </c>
      <c r="AT95" s="67">
        <v>0.0</v>
      </c>
      <c r="AU95" s="67">
        <v>0.0</v>
      </c>
      <c r="AV95" s="67">
        <v>0.0</v>
      </c>
      <c r="AW95" s="67">
        <v>0.0</v>
      </c>
      <c r="AX95" s="67">
        <v>0.0</v>
      </c>
      <c r="AY95" s="67">
        <f>U$63</f>
        <v>96787.37084</v>
      </c>
      <c r="AZ95" s="67">
        <v>0.0</v>
      </c>
      <c r="BA95" s="67">
        <v>0.0</v>
      </c>
      <c r="BB95" s="67">
        <v>0.0</v>
      </c>
      <c r="BC95" s="67">
        <v>0.0</v>
      </c>
      <c r="BD95" s="67">
        <v>0.0</v>
      </c>
      <c r="BE95" s="67">
        <v>0.0</v>
      </c>
      <c r="BF95" s="67">
        <v>0.0</v>
      </c>
      <c r="BG95" s="67">
        <v>0.0</v>
      </c>
      <c r="BH95" s="67">
        <v>0.0</v>
      </c>
    </row>
    <row r="96" ht="15.75" customHeight="1">
      <c r="B96" s="65">
        <v>20.0</v>
      </c>
      <c r="C96" s="66">
        <v>0.0</v>
      </c>
      <c r="D96" s="66">
        <v>0.0</v>
      </c>
      <c r="E96" s="66">
        <v>0.0</v>
      </c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0.0</v>
      </c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66">
        <v>0.0</v>
      </c>
      <c r="R96" s="66">
        <v>0.0</v>
      </c>
      <c r="S96" s="66">
        <v>0.0</v>
      </c>
      <c r="T96" s="66">
        <v>0.0</v>
      </c>
      <c r="U96" s="66">
        <v>0.0</v>
      </c>
      <c r="V96" s="66">
        <f>1/$AV22</f>
        <v>0.000006733671723</v>
      </c>
      <c r="W96" s="66">
        <v>0.0</v>
      </c>
      <c r="X96" s="66">
        <v>0.0</v>
      </c>
      <c r="Y96" s="66">
        <v>0.0</v>
      </c>
      <c r="Z96" s="66">
        <v>0.0</v>
      </c>
      <c r="AA96" s="66">
        <v>0.0</v>
      </c>
      <c r="AB96" s="66">
        <v>0.0</v>
      </c>
      <c r="AC96" s="66">
        <v>0.0</v>
      </c>
      <c r="AD96" s="66">
        <v>0.0</v>
      </c>
      <c r="AF96" s="65">
        <v>20.0</v>
      </c>
      <c r="AG96" s="67">
        <v>0.0</v>
      </c>
      <c r="AH96" s="67">
        <v>0.0</v>
      </c>
      <c r="AI96" s="67">
        <v>0.0</v>
      </c>
      <c r="AJ96" s="67">
        <v>0.0</v>
      </c>
      <c r="AK96" s="67">
        <v>0.0</v>
      </c>
      <c r="AL96" s="67">
        <v>0.0</v>
      </c>
      <c r="AM96" s="67">
        <v>0.0</v>
      </c>
      <c r="AN96" s="67">
        <v>0.0</v>
      </c>
      <c r="AO96" s="67">
        <v>0.0</v>
      </c>
      <c r="AP96" s="67">
        <v>0.0</v>
      </c>
      <c r="AQ96" s="67">
        <v>0.0</v>
      </c>
      <c r="AR96" s="67">
        <v>0.0</v>
      </c>
      <c r="AS96" s="67">
        <v>0.0</v>
      </c>
      <c r="AT96" s="67">
        <v>0.0</v>
      </c>
      <c r="AU96" s="67">
        <v>0.0</v>
      </c>
      <c r="AV96" s="67">
        <v>0.0</v>
      </c>
      <c r="AW96" s="67">
        <v>0.0</v>
      </c>
      <c r="AX96" s="67">
        <v>0.0</v>
      </c>
      <c r="AY96" s="67">
        <v>0.0</v>
      </c>
      <c r="AZ96" s="67">
        <f>V$63</f>
        <v>10628410.76</v>
      </c>
      <c r="BA96" s="67">
        <v>0.0</v>
      </c>
      <c r="BB96" s="67">
        <v>0.0</v>
      </c>
      <c r="BC96" s="67">
        <v>0.0</v>
      </c>
      <c r="BD96" s="67">
        <v>0.0</v>
      </c>
      <c r="BE96" s="67">
        <v>0.0</v>
      </c>
      <c r="BF96" s="67">
        <v>0.0</v>
      </c>
      <c r="BG96" s="67">
        <v>0.0</v>
      </c>
      <c r="BH96" s="67">
        <v>0.0</v>
      </c>
    </row>
    <row r="97" ht="15.75" customHeight="1">
      <c r="B97" s="65">
        <v>21.0</v>
      </c>
      <c r="C97" s="66">
        <v>0.0</v>
      </c>
      <c r="D97" s="66">
        <v>0.0</v>
      </c>
      <c r="E97" s="66">
        <v>0.0</v>
      </c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6">
        <v>0.0</v>
      </c>
      <c r="T97" s="66">
        <v>0.0</v>
      </c>
      <c r="U97" s="66">
        <v>0.0</v>
      </c>
      <c r="V97" s="66">
        <v>0.0</v>
      </c>
      <c r="W97" s="66">
        <f>1/$AV23</f>
        <v>0.0000002226492392</v>
      </c>
      <c r="X97" s="66">
        <v>0.0</v>
      </c>
      <c r="Y97" s="66">
        <v>0.0</v>
      </c>
      <c r="Z97" s="66">
        <v>0.0</v>
      </c>
      <c r="AA97" s="66">
        <v>0.0</v>
      </c>
      <c r="AB97" s="66">
        <v>0.0</v>
      </c>
      <c r="AC97" s="66">
        <v>0.0</v>
      </c>
      <c r="AD97" s="66">
        <v>0.0</v>
      </c>
      <c r="AF97" s="65">
        <v>21.0</v>
      </c>
      <c r="AG97" s="67">
        <v>0.0</v>
      </c>
      <c r="AH97" s="67">
        <v>0.0</v>
      </c>
      <c r="AI97" s="67">
        <v>0.0</v>
      </c>
      <c r="AJ97" s="67">
        <v>0.0</v>
      </c>
      <c r="AK97" s="67">
        <v>0.0</v>
      </c>
      <c r="AL97" s="67">
        <v>0.0</v>
      </c>
      <c r="AM97" s="67">
        <v>0.0</v>
      </c>
      <c r="AN97" s="67">
        <v>0.0</v>
      </c>
      <c r="AO97" s="67">
        <v>0.0</v>
      </c>
      <c r="AP97" s="67">
        <v>0.0</v>
      </c>
      <c r="AQ97" s="67">
        <v>0.0</v>
      </c>
      <c r="AR97" s="67">
        <v>0.0</v>
      </c>
      <c r="AS97" s="67">
        <v>0.0</v>
      </c>
      <c r="AT97" s="67">
        <v>0.0</v>
      </c>
      <c r="AU97" s="67">
        <v>0.0</v>
      </c>
      <c r="AV97" s="67">
        <v>0.0</v>
      </c>
      <c r="AW97" s="67">
        <v>0.0</v>
      </c>
      <c r="AX97" s="67">
        <v>0.0</v>
      </c>
      <c r="AY97" s="67">
        <v>0.0</v>
      </c>
      <c r="AZ97" s="67">
        <v>0.0</v>
      </c>
      <c r="BA97" s="67">
        <f>W$63</f>
        <v>297910.4765</v>
      </c>
      <c r="BB97" s="67">
        <v>0.0</v>
      </c>
      <c r="BC97" s="67">
        <v>0.0</v>
      </c>
      <c r="BD97" s="67">
        <v>0.0</v>
      </c>
      <c r="BE97" s="67">
        <v>0.0</v>
      </c>
      <c r="BF97" s="67">
        <v>0.0</v>
      </c>
      <c r="BG97" s="67">
        <v>0.0</v>
      </c>
      <c r="BH97" s="67">
        <v>0.0</v>
      </c>
    </row>
    <row r="98" ht="15.75" customHeight="1">
      <c r="B98" s="65">
        <v>22.0</v>
      </c>
      <c r="C98" s="66">
        <v>0.0</v>
      </c>
      <c r="D98" s="66">
        <v>0.0</v>
      </c>
      <c r="E98" s="66">
        <v>0.0</v>
      </c>
      <c r="F98" s="66">
        <v>0.0</v>
      </c>
      <c r="G98" s="66">
        <v>0.0</v>
      </c>
      <c r="H98" s="66">
        <v>0.0</v>
      </c>
      <c r="I98" s="66">
        <v>0.0</v>
      </c>
      <c r="J98" s="66">
        <v>0.0</v>
      </c>
      <c r="K98" s="66">
        <v>0.0</v>
      </c>
      <c r="L98" s="66">
        <v>0.0</v>
      </c>
      <c r="M98" s="66">
        <v>0.0</v>
      </c>
      <c r="N98" s="66">
        <v>0.0</v>
      </c>
      <c r="O98" s="66">
        <v>0.0</v>
      </c>
      <c r="P98" s="66">
        <v>0.0</v>
      </c>
      <c r="Q98" s="66">
        <v>0.0</v>
      </c>
      <c r="R98" s="66">
        <v>0.0</v>
      </c>
      <c r="S98" s="66">
        <v>0.0</v>
      </c>
      <c r="T98" s="66">
        <v>0.0</v>
      </c>
      <c r="U98" s="66">
        <v>0.0</v>
      </c>
      <c r="V98" s="66">
        <v>0.0</v>
      </c>
      <c r="W98" s="66">
        <v>0.0</v>
      </c>
      <c r="X98" s="66">
        <f>1/$AV24</f>
        <v>0.00000001975599159</v>
      </c>
      <c r="Y98" s="66">
        <v>0.0</v>
      </c>
      <c r="Z98" s="66">
        <v>0.0</v>
      </c>
      <c r="AA98" s="66">
        <v>0.0</v>
      </c>
      <c r="AB98" s="66">
        <v>0.0</v>
      </c>
      <c r="AC98" s="66">
        <v>0.0</v>
      </c>
      <c r="AD98" s="66">
        <v>0.0</v>
      </c>
      <c r="AF98" s="65">
        <v>22.0</v>
      </c>
      <c r="AG98" s="67">
        <v>0.0</v>
      </c>
      <c r="AH98" s="67">
        <v>0.0</v>
      </c>
      <c r="AI98" s="67">
        <v>0.0</v>
      </c>
      <c r="AJ98" s="67">
        <v>0.0</v>
      </c>
      <c r="AK98" s="67">
        <v>0.0</v>
      </c>
      <c r="AL98" s="67">
        <v>0.0</v>
      </c>
      <c r="AM98" s="67">
        <v>0.0</v>
      </c>
      <c r="AN98" s="67">
        <v>0.0</v>
      </c>
      <c r="AO98" s="67">
        <v>0.0</v>
      </c>
      <c r="AP98" s="67">
        <v>0.0</v>
      </c>
      <c r="AQ98" s="67">
        <v>0.0</v>
      </c>
      <c r="AR98" s="67">
        <v>0.0</v>
      </c>
      <c r="AS98" s="67">
        <v>0.0</v>
      </c>
      <c r="AT98" s="67">
        <v>0.0</v>
      </c>
      <c r="AU98" s="67">
        <v>0.0</v>
      </c>
      <c r="AV98" s="67">
        <v>0.0</v>
      </c>
      <c r="AW98" s="67">
        <v>0.0</v>
      </c>
      <c r="AX98" s="67">
        <v>0.0</v>
      </c>
      <c r="AY98" s="67">
        <v>0.0</v>
      </c>
      <c r="AZ98" s="67">
        <v>0.0</v>
      </c>
      <c r="BA98" s="67">
        <v>0.0</v>
      </c>
      <c r="BB98" s="67">
        <f>X$63</f>
        <v>214892.1901</v>
      </c>
      <c r="BC98" s="67">
        <v>0.0</v>
      </c>
      <c r="BD98" s="67">
        <v>0.0</v>
      </c>
      <c r="BE98" s="67">
        <v>0.0</v>
      </c>
      <c r="BF98" s="67">
        <v>0.0</v>
      </c>
      <c r="BG98" s="67">
        <v>0.0</v>
      </c>
      <c r="BH98" s="67">
        <v>0.0</v>
      </c>
    </row>
    <row r="99" ht="15.75" customHeight="1">
      <c r="B99" s="65">
        <v>23.0</v>
      </c>
      <c r="C99" s="66">
        <v>0.0</v>
      </c>
      <c r="D99" s="66">
        <v>0.0</v>
      </c>
      <c r="E99" s="66">
        <v>0.0</v>
      </c>
      <c r="F99" s="66">
        <v>0.0</v>
      </c>
      <c r="G99" s="66">
        <v>0.0</v>
      </c>
      <c r="H99" s="66">
        <v>0.0</v>
      </c>
      <c r="I99" s="66">
        <v>0.0</v>
      </c>
      <c r="J99" s="66">
        <v>0.0</v>
      </c>
      <c r="K99" s="66">
        <v>0.0</v>
      </c>
      <c r="L99" s="66">
        <v>0.0</v>
      </c>
      <c r="M99" s="66">
        <v>0.0</v>
      </c>
      <c r="N99" s="66">
        <v>0.0</v>
      </c>
      <c r="O99" s="66">
        <v>0.0</v>
      </c>
      <c r="P99" s="66">
        <v>0.0</v>
      </c>
      <c r="Q99" s="66">
        <v>0.0</v>
      </c>
      <c r="R99" s="66">
        <v>0.0</v>
      </c>
      <c r="S99" s="66">
        <v>0.0</v>
      </c>
      <c r="T99" s="66">
        <v>0.0</v>
      </c>
      <c r="U99" s="66">
        <v>0.0</v>
      </c>
      <c r="V99" s="66">
        <v>0.0</v>
      </c>
      <c r="W99" s="66">
        <v>0.0</v>
      </c>
      <c r="X99" s="66">
        <v>0.0</v>
      </c>
      <c r="Y99" s="66">
        <f>1/$AV25</f>
        <v>0.000001329416408</v>
      </c>
      <c r="Z99" s="66">
        <v>0.0</v>
      </c>
      <c r="AA99" s="66">
        <v>0.0</v>
      </c>
      <c r="AB99" s="66">
        <v>0.0</v>
      </c>
      <c r="AC99" s="66">
        <v>0.0</v>
      </c>
      <c r="AD99" s="66">
        <v>0.0</v>
      </c>
      <c r="AF99" s="65">
        <v>23.0</v>
      </c>
      <c r="AG99" s="67">
        <v>0.0</v>
      </c>
      <c r="AH99" s="67">
        <v>0.0</v>
      </c>
      <c r="AI99" s="67">
        <v>0.0</v>
      </c>
      <c r="AJ99" s="67">
        <v>0.0</v>
      </c>
      <c r="AK99" s="67">
        <v>0.0</v>
      </c>
      <c r="AL99" s="67">
        <v>0.0</v>
      </c>
      <c r="AM99" s="67">
        <v>0.0</v>
      </c>
      <c r="AN99" s="67">
        <v>0.0</v>
      </c>
      <c r="AO99" s="67">
        <v>0.0</v>
      </c>
      <c r="AP99" s="67">
        <v>0.0</v>
      </c>
      <c r="AQ99" s="67">
        <v>0.0</v>
      </c>
      <c r="AR99" s="67">
        <v>0.0</v>
      </c>
      <c r="AS99" s="67">
        <v>0.0</v>
      </c>
      <c r="AT99" s="67">
        <v>0.0</v>
      </c>
      <c r="AU99" s="67">
        <v>0.0</v>
      </c>
      <c r="AV99" s="67">
        <v>0.0</v>
      </c>
      <c r="AW99" s="67">
        <v>0.0</v>
      </c>
      <c r="AX99" s="67">
        <v>0.0</v>
      </c>
      <c r="AY99" s="67">
        <v>0.0</v>
      </c>
      <c r="AZ99" s="67">
        <v>0.0</v>
      </c>
      <c r="BA99" s="67">
        <v>0.0</v>
      </c>
      <c r="BB99" s="67">
        <v>0.0</v>
      </c>
      <c r="BC99" s="67">
        <f>Y$63</f>
        <v>499488.8533</v>
      </c>
      <c r="BD99" s="67">
        <v>0.0</v>
      </c>
      <c r="BE99" s="67">
        <v>0.0</v>
      </c>
      <c r="BF99" s="67">
        <v>0.0</v>
      </c>
      <c r="BG99" s="67">
        <v>0.0</v>
      </c>
      <c r="BH99" s="67">
        <v>0.0</v>
      </c>
    </row>
    <row r="100" ht="15.75" customHeight="1">
      <c r="B100" s="65">
        <v>24.0</v>
      </c>
      <c r="C100" s="66">
        <v>0.0</v>
      </c>
      <c r="D100" s="66">
        <v>0.0</v>
      </c>
      <c r="E100" s="66">
        <v>0.0</v>
      </c>
      <c r="F100" s="66">
        <v>0.0</v>
      </c>
      <c r="G100" s="66">
        <v>0.0</v>
      </c>
      <c r="H100" s="66">
        <v>0.0</v>
      </c>
      <c r="I100" s="66">
        <v>0.0</v>
      </c>
      <c r="J100" s="66">
        <v>0.0</v>
      </c>
      <c r="K100" s="66">
        <v>0.0</v>
      </c>
      <c r="L100" s="66">
        <v>0.0</v>
      </c>
      <c r="M100" s="66">
        <v>0.0</v>
      </c>
      <c r="N100" s="66">
        <v>0.0</v>
      </c>
      <c r="O100" s="66">
        <v>0.0</v>
      </c>
      <c r="P100" s="66">
        <v>0.0</v>
      </c>
      <c r="Q100" s="66">
        <v>0.0</v>
      </c>
      <c r="R100" s="66">
        <v>0.0</v>
      </c>
      <c r="S100" s="66">
        <v>0.0</v>
      </c>
      <c r="T100" s="66">
        <v>0.0</v>
      </c>
      <c r="U100" s="66">
        <v>0.0</v>
      </c>
      <c r="V100" s="66">
        <v>0.0</v>
      </c>
      <c r="W100" s="66">
        <v>0.0</v>
      </c>
      <c r="X100" s="66">
        <v>0.0</v>
      </c>
      <c r="Y100" s="66">
        <v>0.0</v>
      </c>
      <c r="Z100" s="66">
        <f>1/$AV26</f>
        <v>0.00000003678799163</v>
      </c>
      <c r="AA100" s="66">
        <v>0.0</v>
      </c>
      <c r="AB100" s="66">
        <v>0.0</v>
      </c>
      <c r="AC100" s="66">
        <v>0.0</v>
      </c>
      <c r="AD100" s="66">
        <v>0.0</v>
      </c>
      <c r="AF100" s="65">
        <v>24.0</v>
      </c>
      <c r="AG100" s="67">
        <v>0.0</v>
      </c>
      <c r="AH100" s="67">
        <v>0.0</v>
      </c>
      <c r="AI100" s="67">
        <v>0.0</v>
      </c>
      <c r="AJ100" s="67">
        <v>0.0</v>
      </c>
      <c r="AK100" s="67">
        <v>0.0</v>
      </c>
      <c r="AL100" s="67">
        <v>0.0</v>
      </c>
      <c r="AM100" s="67">
        <v>0.0</v>
      </c>
      <c r="AN100" s="67">
        <v>0.0</v>
      </c>
      <c r="AO100" s="67">
        <v>0.0</v>
      </c>
      <c r="AP100" s="67">
        <v>0.0</v>
      </c>
      <c r="AQ100" s="67">
        <v>0.0</v>
      </c>
      <c r="AR100" s="67">
        <v>0.0</v>
      </c>
      <c r="AS100" s="67">
        <v>0.0</v>
      </c>
      <c r="AT100" s="67">
        <v>0.0</v>
      </c>
      <c r="AU100" s="67">
        <v>0.0</v>
      </c>
      <c r="AV100" s="67">
        <v>0.0</v>
      </c>
      <c r="AW100" s="67">
        <v>0.0</v>
      </c>
      <c r="AX100" s="67">
        <v>0.0</v>
      </c>
      <c r="AY100" s="67">
        <v>0.0</v>
      </c>
      <c r="AZ100" s="67">
        <v>0.0</v>
      </c>
      <c r="BA100" s="67">
        <v>0.0</v>
      </c>
      <c r="BB100" s="67">
        <v>0.0</v>
      </c>
      <c r="BC100" s="67">
        <v>0.0</v>
      </c>
      <c r="BD100" s="67">
        <f>Z$63</f>
        <v>604923.1474</v>
      </c>
      <c r="BE100" s="67">
        <v>0.0</v>
      </c>
      <c r="BF100" s="67">
        <v>0.0</v>
      </c>
      <c r="BG100" s="67">
        <v>0.0</v>
      </c>
      <c r="BH100" s="67">
        <v>0.0</v>
      </c>
    </row>
    <row r="101" ht="15.75" customHeight="1">
      <c r="B101" s="65">
        <v>25.0</v>
      </c>
      <c r="C101" s="66">
        <v>0.0</v>
      </c>
      <c r="D101" s="66">
        <v>0.0</v>
      </c>
      <c r="E101" s="66">
        <v>0.0</v>
      </c>
      <c r="F101" s="66">
        <v>0.0</v>
      </c>
      <c r="G101" s="66">
        <v>0.0</v>
      </c>
      <c r="H101" s="66">
        <v>0.0</v>
      </c>
      <c r="I101" s="66">
        <v>0.0</v>
      </c>
      <c r="J101" s="66">
        <v>0.0</v>
      </c>
      <c r="K101" s="66">
        <v>0.0</v>
      </c>
      <c r="L101" s="66">
        <v>0.0</v>
      </c>
      <c r="M101" s="66">
        <v>0.0</v>
      </c>
      <c r="N101" s="66">
        <v>0.0</v>
      </c>
      <c r="O101" s="66">
        <v>0.0</v>
      </c>
      <c r="P101" s="66">
        <v>0.0</v>
      </c>
      <c r="Q101" s="66">
        <v>0.0</v>
      </c>
      <c r="R101" s="66">
        <v>0.0</v>
      </c>
      <c r="S101" s="66">
        <v>0.0</v>
      </c>
      <c r="T101" s="66">
        <v>0.0</v>
      </c>
      <c r="U101" s="66">
        <v>0.0</v>
      </c>
      <c r="V101" s="66">
        <v>0.0</v>
      </c>
      <c r="W101" s="66">
        <v>0.0</v>
      </c>
      <c r="X101" s="66">
        <v>0.0</v>
      </c>
      <c r="Y101" s="66">
        <v>0.0</v>
      </c>
      <c r="Z101" s="66">
        <v>0.0</v>
      </c>
      <c r="AA101" s="66">
        <f>1/$AV27</f>
        <v>0.0000000180338072</v>
      </c>
      <c r="AB101" s="66">
        <v>0.0</v>
      </c>
      <c r="AC101" s="66">
        <v>0.0</v>
      </c>
      <c r="AD101" s="66">
        <v>0.0</v>
      </c>
      <c r="AF101" s="65">
        <v>25.0</v>
      </c>
      <c r="AG101" s="67">
        <v>0.0</v>
      </c>
      <c r="AH101" s="67">
        <v>0.0</v>
      </c>
      <c r="AI101" s="67">
        <v>0.0</v>
      </c>
      <c r="AJ101" s="67">
        <v>0.0</v>
      </c>
      <c r="AK101" s="67">
        <v>0.0</v>
      </c>
      <c r="AL101" s="67">
        <v>0.0</v>
      </c>
      <c r="AM101" s="67">
        <v>0.0</v>
      </c>
      <c r="AN101" s="67">
        <v>0.0</v>
      </c>
      <c r="AO101" s="67">
        <v>0.0</v>
      </c>
      <c r="AP101" s="67">
        <v>0.0</v>
      </c>
      <c r="AQ101" s="67">
        <v>0.0</v>
      </c>
      <c r="AR101" s="67">
        <v>0.0</v>
      </c>
      <c r="AS101" s="67">
        <v>0.0</v>
      </c>
      <c r="AT101" s="67">
        <v>0.0</v>
      </c>
      <c r="AU101" s="67">
        <v>0.0</v>
      </c>
      <c r="AV101" s="67">
        <v>0.0</v>
      </c>
      <c r="AW101" s="67">
        <v>0.0</v>
      </c>
      <c r="AX101" s="67">
        <v>0.0</v>
      </c>
      <c r="AY101" s="67">
        <v>0.0</v>
      </c>
      <c r="AZ101" s="67">
        <v>0.0</v>
      </c>
      <c r="BA101" s="67">
        <v>0.0</v>
      </c>
      <c r="BB101" s="67">
        <v>0.0</v>
      </c>
      <c r="BC101" s="67">
        <v>0.0</v>
      </c>
      <c r="BD101" s="67">
        <v>0.0</v>
      </c>
      <c r="BE101" s="67">
        <f>AA$63</f>
        <v>31191.67458</v>
      </c>
      <c r="BF101" s="67">
        <v>0.0</v>
      </c>
      <c r="BG101" s="67">
        <v>0.0</v>
      </c>
      <c r="BH101" s="67">
        <v>0.0</v>
      </c>
    </row>
    <row r="102" ht="15.75" customHeight="1">
      <c r="B102" s="65">
        <v>26.0</v>
      </c>
      <c r="C102" s="66">
        <v>0.0</v>
      </c>
      <c r="D102" s="66">
        <v>0.0</v>
      </c>
      <c r="E102" s="66">
        <v>0.0</v>
      </c>
      <c r="F102" s="66">
        <v>0.0</v>
      </c>
      <c r="G102" s="66">
        <v>0.0</v>
      </c>
      <c r="H102" s="66">
        <v>0.0</v>
      </c>
      <c r="I102" s="66">
        <v>0.0</v>
      </c>
      <c r="J102" s="66">
        <v>0.0</v>
      </c>
      <c r="K102" s="66">
        <v>0.0</v>
      </c>
      <c r="L102" s="66">
        <v>0.0</v>
      </c>
      <c r="M102" s="66">
        <v>0.0</v>
      </c>
      <c r="N102" s="66">
        <v>0.0</v>
      </c>
      <c r="O102" s="66">
        <v>0.0</v>
      </c>
      <c r="P102" s="66">
        <v>0.0</v>
      </c>
      <c r="Q102" s="66">
        <v>0.0</v>
      </c>
      <c r="R102" s="66">
        <v>0.0</v>
      </c>
      <c r="S102" s="66">
        <v>0.0</v>
      </c>
      <c r="T102" s="66">
        <v>0.0</v>
      </c>
      <c r="U102" s="66">
        <v>0.0</v>
      </c>
      <c r="V102" s="66">
        <v>0.0</v>
      </c>
      <c r="W102" s="66">
        <v>0.0</v>
      </c>
      <c r="X102" s="66">
        <v>0.0</v>
      </c>
      <c r="Y102" s="66">
        <v>0.0</v>
      </c>
      <c r="Z102" s="66">
        <v>0.0</v>
      </c>
      <c r="AA102" s="66">
        <v>0.0</v>
      </c>
      <c r="AB102" s="66">
        <f>1/$AV28</f>
        <v>0.000003006863532</v>
      </c>
      <c r="AC102" s="66">
        <v>0.0</v>
      </c>
      <c r="AD102" s="66">
        <v>0.0</v>
      </c>
      <c r="AF102" s="65">
        <v>26.0</v>
      </c>
      <c r="AG102" s="67">
        <v>0.0</v>
      </c>
      <c r="AH102" s="67">
        <v>0.0</v>
      </c>
      <c r="AI102" s="67">
        <v>0.0</v>
      </c>
      <c r="AJ102" s="67">
        <v>0.0</v>
      </c>
      <c r="AK102" s="67">
        <v>0.0</v>
      </c>
      <c r="AL102" s="67">
        <v>0.0</v>
      </c>
      <c r="AM102" s="67">
        <v>0.0</v>
      </c>
      <c r="AN102" s="67">
        <v>0.0</v>
      </c>
      <c r="AO102" s="67">
        <v>0.0</v>
      </c>
      <c r="AP102" s="67">
        <v>0.0</v>
      </c>
      <c r="AQ102" s="67">
        <v>0.0</v>
      </c>
      <c r="AR102" s="67">
        <v>0.0</v>
      </c>
      <c r="AS102" s="67">
        <v>0.0</v>
      </c>
      <c r="AT102" s="67">
        <v>0.0</v>
      </c>
      <c r="AU102" s="67">
        <v>0.0</v>
      </c>
      <c r="AV102" s="67">
        <v>0.0</v>
      </c>
      <c r="AW102" s="67">
        <v>0.0</v>
      </c>
      <c r="AX102" s="67">
        <v>0.0</v>
      </c>
      <c r="AY102" s="67">
        <v>0.0</v>
      </c>
      <c r="AZ102" s="67">
        <v>0.0</v>
      </c>
      <c r="BA102" s="67">
        <v>0.0</v>
      </c>
      <c r="BB102" s="67">
        <v>0.0</v>
      </c>
      <c r="BC102" s="67">
        <v>0.0</v>
      </c>
      <c r="BD102" s="67">
        <v>0.0</v>
      </c>
      <c r="BE102" s="67">
        <v>0.0</v>
      </c>
      <c r="BF102" s="67">
        <f>AB$63</f>
        <v>2923951.981</v>
      </c>
      <c r="BG102" s="67">
        <v>0.0</v>
      </c>
      <c r="BH102" s="67">
        <v>0.0</v>
      </c>
    </row>
    <row r="103" ht="15.75" customHeight="1">
      <c r="B103" s="65">
        <v>27.0</v>
      </c>
      <c r="C103" s="66">
        <v>0.0</v>
      </c>
      <c r="D103" s="66">
        <v>0.0</v>
      </c>
      <c r="E103" s="66">
        <v>0.0</v>
      </c>
      <c r="F103" s="66">
        <v>0.0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6">
        <v>0.0</v>
      </c>
      <c r="P103" s="66">
        <v>0.0</v>
      </c>
      <c r="Q103" s="66">
        <v>0.0</v>
      </c>
      <c r="R103" s="66">
        <v>0.0</v>
      </c>
      <c r="S103" s="66">
        <v>0.0</v>
      </c>
      <c r="T103" s="66">
        <v>0.0</v>
      </c>
      <c r="U103" s="66">
        <v>0.0</v>
      </c>
      <c r="V103" s="66">
        <v>0.0</v>
      </c>
      <c r="W103" s="66">
        <v>0.0</v>
      </c>
      <c r="X103" s="66">
        <v>0.0</v>
      </c>
      <c r="Y103" s="66">
        <v>0.0</v>
      </c>
      <c r="Z103" s="66">
        <v>0.0</v>
      </c>
      <c r="AA103" s="66">
        <v>0.0</v>
      </c>
      <c r="AB103" s="66">
        <v>0.0</v>
      </c>
      <c r="AC103" s="66">
        <f>1/$AV29</f>
        <v>0.000004178415515</v>
      </c>
      <c r="AD103" s="66">
        <v>0.0</v>
      </c>
      <c r="AF103" s="65">
        <v>27.0</v>
      </c>
      <c r="AG103" s="67">
        <v>0.0</v>
      </c>
      <c r="AH103" s="67">
        <v>0.0</v>
      </c>
      <c r="AI103" s="67">
        <v>0.0</v>
      </c>
      <c r="AJ103" s="67">
        <v>0.0</v>
      </c>
      <c r="AK103" s="67">
        <v>0.0</v>
      </c>
      <c r="AL103" s="67">
        <v>0.0</v>
      </c>
      <c r="AM103" s="67">
        <v>0.0</v>
      </c>
      <c r="AN103" s="67">
        <v>0.0</v>
      </c>
      <c r="AO103" s="67">
        <v>0.0</v>
      </c>
      <c r="AP103" s="67">
        <v>0.0</v>
      </c>
      <c r="AQ103" s="67">
        <v>0.0</v>
      </c>
      <c r="AR103" s="67">
        <v>0.0</v>
      </c>
      <c r="AS103" s="67">
        <v>0.0</v>
      </c>
      <c r="AT103" s="67">
        <v>0.0</v>
      </c>
      <c r="AU103" s="67">
        <v>0.0</v>
      </c>
      <c r="AV103" s="67">
        <v>0.0</v>
      </c>
      <c r="AW103" s="67">
        <v>0.0</v>
      </c>
      <c r="AX103" s="67">
        <v>0.0</v>
      </c>
      <c r="AY103" s="67">
        <v>0.0</v>
      </c>
      <c r="AZ103" s="67">
        <v>0.0</v>
      </c>
      <c r="BA103" s="67">
        <v>0.0</v>
      </c>
      <c r="BB103" s="67">
        <v>0.0</v>
      </c>
      <c r="BC103" s="67">
        <v>0.0</v>
      </c>
      <c r="BD103" s="67">
        <v>0.0</v>
      </c>
      <c r="BE103" s="67">
        <v>0.0</v>
      </c>
      <c r="BF103" s="67">
        <v>0.0</v>
      </c>
      <c r="BG103" s="67">
        <f>AC$63</f>
        <v>100423.988</v>
      </c>
      <c r="BH103" s="67">
        <v>0.0</v>
      </c>
    </row>
    <row r="104" ht="15.75" customHeight="1">
      <c r="B104" s="65">
        <v>28.0</v>
      </c>
      <c r="C104" s="66">
        <v>0.0</v>
      </c>
      <c r="D104" s="66">
        <v>0.0</v>
      </c>
      <c r="E104" s="66">
        <v>0.0</v>
      </c>
      <c r="F104" s="66">
        <v>0.0</v>
      </c>
      <c r="G104" s="66">
        <v>0.0</v>
      </c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6">
        <v>0.0</v>
      </c>
      <c r="P104" s="66">
        <v>0.0</v>
      </c>
      <c r="Q104" s="66">
        <v>0.0</v>
      </c>
      <c r="R104" s="66">
        <v>0.0</v>
      </c>
      <c r="S104" s="66">
        <v>0.0</v>
      </c>
      <c r="T104" s="66">
        <v>0.0</v>
      </c>
      <c r="U104" s="66">
        <v>0.0</v>
      </c>
      <c r="V104" s="66">
        <v>0.0</v>
      </c>
      <c r="W104" s="66">
        <v>0.0</v>
      </c>
      <c r="X104" s="66">
        <v>0.0</v>
      </c>
      <c r="Y104" s="66">
        <v>0.0</v>
      </c>
      <c r="Z104" s="66">
        <v>0.0</v>
      </c>
      <c r="AA104" s="66">
        <v>0.0</v>
      </c>
      <c r="AB104" s="66">
        <v>0.0</v>
      </c>
      <c r="AC104" s="66">
        <v>0.0</v>
      </c>
      <c r="AD104" s="66">
        <f>1/$AV30</f>
        <v>0.0000002327055513</v>
      </c>
      <c r="AF104" s="65">
        <v>28.0</v>
      </c>
      <c r="AG104" s="67">
        <v>0.0</v>
      </c>
      <c r="AH104" s="67">
        <v>0.0</v>
      </c>
      <c r="AI104" s="67">
        <v>0.0</v>
      </c>
      <c r="AJ104" s="67">
        <v>0.0</v>
      </c>
      <c r="AK104" s="67">
        <v>0.0</v>
      </c>
      <c r="AL104" s="67">
        <v>0.0</v>
      </c>
      <c r="AM104" s="67">
        <v>0.0</v>
      </c>
      <c r="AN104" s="67">
        <v>0.0</v>
      </c>
      <c r="AO104" s="67">
        <v>0.0</v>
      </c>
      <c r="AP104" s="67">
        <v>0.0</v>
      </c>
      <c r="AQ104" s="67">
        <v>0.0</v>
      </c>
      <c r="AR104" s="67">
        <v>0.0</v>
      </c>
      <c r="AS104" s="67">
        <v>0.0</v>
      </c>
      <c r="AT104" s="67">
        <v>0.0</v>
      </c>
      <c r="AU104" s="67">
        <v>0.0</v>
      </c>
      <c r="AV104" s="67">
        <v>0.0</v>
      </c>
      <c r="AW104" s="67">
        <v>0.0</v>
      </c>
      <c r="AX104" s="67">
        <v>0.0</v>
      </c>
      <c r="AY104" s="67">
        <v>0.0</v>
      </c>
      <c r="AZ104" s="67">
        <v>0.0</v>
      </c>
      <c r="BA104" s="67">
        <v>0.0</v>
      </c>
      <c r="BB104" s="67">
        <v>0.0</v>
      </c>
      <c r="BC104" s="67">
        <v>0.0</v>
      </c>
      <c r="BD104" s="67">
        <v>0.0</v>
      </c>
      <c r="BE104" s="67">
        <v>0.0</v>
      </c>
      <c r="BF104" s="67">
        <v>0.0</v>
      </c>
      <c r="BG104" s="67">
        <v>0.0</v>
      </c>
      <c r="BH104" s="67">
        <f>AD$63</f>
        <v>28758.34418</v>
      </c>
    </row>
    <row r="105" ht="15.75" customHeight="1"/>
    <row r="106" ht="15.75" customHeight="1">
      <c r="B106" s="68" t="s">
        <v>54</v>
      </c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F106" s="62" t="s">
        <v>55</v>
      </c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</row>
    <row r="107" ht="15.75" customHeight="1">
      <c r="B107" s="64"/>
      <c r="C107" s="65">
        <v>1.0</v>
      </c>
      <c r="D107" s="65">
        <v>2.0</v>
      </c>
      <c r="E107" s="65">
        <v>3.0</v>
      </c>
      <c r="F107" s="65">
        <v>4.0</v>
      </c>
      <c r="G107" s="65">
        <v>5.0</v>
      </c>
      <c r="H107" s="65">
        <v>6.0</v>
      </c>
      <c r="I107" s="65">
        <v>7.0</v>
      </c>
      <c r="J107" s="65">
        <v>8.0</v>
      </c>
      <c r="K107" s="65">
        <v>9.0</v>
      </c>
      <c r="L107" s="65">
        <v>10.0</v>
      </c>
      <c r="M107" s="65">
        <v>11.0</v>
      </c>
      <c r="N107" s="65">
        <v>12.0</v>
      </c>
      <c r="O107" s="65">
        <v>13.0</v>
      </c>
      <c r="P107" s="65">
        <v>14.0</v>
      </c>
      <c r="Q107" s="65">
        <v>15.0</v>
      </c>
      <c r="R107" s="65">
        <v>16.0</v>
      </c>
      <c r="S107" s="65">
        <v>17.0</v>
      </c>
      <c r="T107" s="65">
        <v>18.0</v>
      </c>
      <c r="U107" s="65">
        <v>19.0</v>
      </c>
      <c r="V107" s="65">
        <v>20.0</v>
      </c>
      <c r="W107" s="65">
        <v>21.0</v>
      </c>
      <c r="X107" s="65">
        <v>22.0</v>
      </c>
      <c r="Y107" s="65">
        <v>23.0</v>
      </c>
      <c r="Z107" s="65">
        <v>24.0</v>
      </c>
      <c r="AA107" s="65">
        <v>25.0</v>
      </c>
      <c r="AB107" s="65">
        <v>26.0</v>
      </c>
      <c r="AC107" s="65">
        <v>27.0</v>
      </c>
      <c r="AD107" s="65">
        <v>28.0</v>
      </c>
      <c r="AF107" s="64"/>
      <c r="AG107" s="65">
        <v>1.0</v>
      </c>
      <c r="AH107" s="65">
        <v>2.0</v>
      </c>
      <c r="AI107" s="65">
        <v>3.0</v>
      </c>
      <c r="AJ107" s="65">
        <v>4.0</v>
      </c>
      <c r="AK107" s="65">
        <v>5.0</v>
      </c>
      <c r="AL107" s="65">
        <v>6.0</v>
      </c>
      <c r="AM107" s="65">
        <v>7.0</v>
      </c>
      <c r="AN107" s="65">
        <v>8.0</v>
      </c>
      <c r="AO107" s="65">
        <v>9.0</v>
      </c>
      <c r="AP107" s="65">
        <v>10.0</v>
      </c>
      <c r="AQ107" s="65">
        <v>11.0</v>
      </c>
      <c r="AR107" s="65">
        <v>12.0</v>
      </c>
      <c r="AS107" s="65">
        <v>13.0</v>
      </c>
      <c r="AT107" s="65">
        <v>14.0</v>
      </c>
      <c r="AU107" s="65">
        <v>15.0</v>
      </c>
      <c r="AV107" s="65">
        <v>16.0</v>
      </c>
      <c r="AW107" s="65">
        <v>17.0</v>
      </c>
      <c r="AX107" s="65">
        <v>18.0</v>
      </c>
      <c r="AY107" s="65">
        <v>19.0</v>
      </c>
      <c r="AZ107" s="65">
        <v>20.0</v>
      </c>
      <c r="BA107" s="65">
        <v>21.0</v>
      </c>
      <c r="BB107" s="65">
        <v>22.0</v>
      </c>
      <c r="BC107" s="65">
        <v>23.0</v>
      </c>
      <c r="BD107" s="65">
        <v>24.0</v>
      </c>
      <c r="BE107" s="65">
        <v>25.0</v>
      </c>
      <c r="BF107" s="65">
        <v>26.0</v>
      </c>
      <c r="BG107" s="65">
        <v>27.0</v>
      </c>
      <c r="BH107" s="65">
        <v>28.0</v>
      </c>
    </row>
    <row r="108" ht="15.75" customHeight="1">
      <c r="B108" s="65">
        <v>1.0</v>
      </c>
      <c r="C108" s="70">
        <f t="array" ref="C108:AD135">MMULT(C3:AD30,C77:AD104)</f>
        <v>0.0569075839</v>
      </c>
      <c r="D108" s="70">
        <v>0.1153634799549753</v>
      </c>
      <c r="E108" s="70">
        <v>0.07601809044559897</v>
      </c>
      <c r="F108" s="70">
        <v>5.891126679841782E-6</v>
      </c>
      <c r="G108" s="70">
        <v>0.003403666362283412</v>
      </c>
      <c r="H108" s="70">
        <v>1.2614077132501399E-6</v>
      </c>
      <c r="I108" s="70">
        <v>1.5973565293816386E-5</v>
      </c>
      <c r="J108" s="70">
        <v>2.3364003608591019E-4</v>
      </c>
      <c r="K108" s="70">
        <v>5.055879103938718E-5</v>
      </c>
      <c r="L108" s="70">
        <v>1.668841903671004E-4</v>
      </c>
      <c r="M108" s="70">
        <v>1.1282757713522501E-4</v>
      </c>
      <c r="N108" s="70">
        <v>1.1880935593770435E-6</v>
      </c>
      <c r="O108" s="70">
        <v>7.400836702149996E-6</v>
      </c>
      <c r="P108" s="70">
        <v>0.00255897239727026</v>
      </c>
      <c r="Q108" s="70">
        <v>1.1276464581347905E-5</v>
      </c>
      <c r="R108" s="70">
        <v>6.282956252138402E-5</v>
      </c>
      <c r="S108" s="70">
        <v>9.966039384001449E-5</v>
      </c>
      <c r="T108" s="70">
        <v>2.034563788044776E-6</v>
      </c>
      <c r="U108" s="70">
        <v>1.5416384049814032E-4</v>
      </c>
      <c r="V108" s="70">
        <v>4.513101785394467E-6</v>
      </c>
      <c r="W108" s="70">
        <v>3.979193556807454E-6</v>
      </c>
      <c r="X108" s="70">
        <v>3.2624914716003153E-6</v>
      </c>
      <c r="Y108" s="70">
        <v>5.563816669293573E-6</v>
      </c>
      <c r="Z108" s="70">
        <v>2.4567230195038955E-6</v>
      </c>
      <c r="AA108" s="70">
        <v>3.5249763599803534E-6</v>
      </c>
      <c r="AB108" s="70">
        <v>4.385627005958545E-6</v>
      </c>
      <c r="AC108" s="70">
        <v>1.8363428159943415E-7</v>
      </c>
      <c r="AD108" s="70">
        <v>1.5256258619402792E-5</v>
      </c>
      <c r="AF108" s="65">
        <v>1.0</v>
      </c>
      <c r="AG108" s="67">
        <f>C$66</f>
        <v>2.421279035</v>
      </c>
      <c r="AH108" s="67">
        <v>0.0</v>
      </c>
      <c r="AI108" s="67">
        <v>0.0</v>
      </c>
      <c r="AJ108" s="67">
        <v>0.0</v>
      </c>
      <c r="AK108" s="67">
        <v>0.0</v>
      </c>
      <c r="AL108" s="67">
        <v>0.0</v>
      </c>
      <c r="AM108" s="67">
        <v>0.0</v>
      </c>
      <c r="AN108" s="67">
        <v>0.0</v>
      </c>
      <c r="AO108" s="67">
        <v>0.0</v>
      </c>
      <c r="AP108" s="67">
        <v>0.0</v>
      </c>
      <c r="AQ108" s="67">
        <v>0.0</v>
      </c>
      <c r="AR108" s="67">
        <v>0.0</v>
      </c>
      <c r="AS108" s="67">
        <v>0.0</v>
      </c>
      <c r="AT108" s="67">
        <v>0.0</v>
      </c>
      <c r="AU108" s="67">
        <v>0.0</v>
      </c>
      <c r="AV108" s="67">
        <v>0.0</v>
      </c>
      <c r="AW108" s="67">
        <v>0.0</v>
      </c>
      <c r="AX108" s="67">
        <v>0.0</v>
      </c>
      <c r="AY108" s="67">
        <v>0.0</v>
      </c>
      <c r="AZ108" s="67">
        <v>0.0</v>
      </c>
      <c r="BA108" s="67">
        <v>0.0</v>
      </c>
      <c r="BB108" s="67">
        <v>0.0</v>
      </c>
      <c r="BC108" s="67">
        <v>0.0</v>
      </c>
      <c r="BD108" s="67">
        <v>0.0</v>
      </c>
      <c r="BE108" s="67">
        <v>0.0</v>
      </c>
      <c r="BF108" s="67">
        <v>0.0</v>
      </c>
      <c r="BG108" s="67">
        <v>0.0</v>
      </c>
      <c r="BH108" s="67">
        <v>0.0</v>
      </c>
    </row>
    <row r="109" ht="15.75" customHeight="1">
      <c r="B109" s="65">
        <v>2.0</v>
      </c>
      <c r="C109" s="70">
        <v>5.2231765392747556E-5</v>
      </c>
      <c r="D109" s="70">
        <v>0.004911812467794236</v>
      </c>
      <c r="E109" s="70">
        <v>0.024911946245337525</v>
      </c>
      <c r="F109" s="70">
        <v>5.00327436266878E-4</v>
      </c>
      <c r="G109" s="70">
        <v>0.008664165361422229</v>
      </c>
      <c r="H109" s="70">
        <v>5.641716560553265E-4</v>
      </c>
      <c r="I109" s="70">
        <v>3.087240177044052E-5</v>
      </c>
      <c r="J109" s="70">
        <v>1.3589982008837675E-4</v>
      </c>
      <c r="K109" s="70">
        <v>4.750040376201927E-5</v>
      </c>
      <c r="L109" s="70">
        <v>2.709961545989567E-4</v>
      </c>
      <c r="M109" s="70">
        <v>3.065772711854829E-4</v>
      </c>
      <c r="N109" s="70">
        <v>5.594184782208065E-4</v>
      </c>
      <c r="O109" s="70">
        <v>3.983814171003022E-5</v>
      </c>
      <c r="P109" s="70">
        <v>0.009438475164050329</v>
      </c>
      <c r="Q109" s="70">
        <v>1.3710478595384973E-6</v>
      </c>
      <c r="R109" s="70">
        <v>6.691100280122548E-5</v>
      </c>
      <c r="S109" s="70">
        <v>3.9011760722910916E-5</v>
      </c>
      <c r="T109" s="70">
        <v>1.335952126874588E-5</v>
      </c>
      <c r="U109" s="70">
        <v>8.273621305043433E-5</v>
      </c>
      <c r="V109" s="70">
        <v>1.8622565677284465E-6</v>
      </c>
      <c r="W109" s="70">
        <v>5.912409252195353E-6</v>
      </c>
      <c r="X109" s="70">
        <v>2.396656712246947E-6</v>
      </c>
      <c r="Y109" s="70">
        <v>1.2374229652124197E-5</v>
      </c>
      <c r="Z109" s="70">
        <v>5.474405504312331E-6</v>
      </c>
      <c r="AA109" s="70">
        <v>3.6637667530639467E-6</v>
      </c>
      <c r="AB109" s="70">
        <v>1.5989605878034726E-5</v>
      </c>
      <c r="AC109" s="70">
        <v>1.501934362747603E-6</v>
      </c>
      <c r="AD109" s="70">
        <v>1.0782609252424405E-4</v>
      </c>
      <c r="AF109" s="65">
        <v>2.0</v>
      </c>
      <c r="AG109" s="67">
        <v>0.0</v>
      </c>
      <c r="AH109" s="67">
        <f>D$66</f>
        <v>0</v>
      </c>
      <c r="AI109" s="67">
        <v>0.0</v>
      </c>
      <c r="AJ109" s="67">
        <v>0.0</v>
      </c>
      <c r="AK109" s="67">
        <v>0.0</v>
      </c>
      <c r="AL109" s="67">
        <v>0.0</v>
      </c>
      <c r="AM109" s="67">
        <v>0.0</v>
      </c>
      <c r="AN109" s="67">
        <v>0.0</v>
      </c>
      <c r="AO109" s="67">
        <v>0.0</v>
      </c>
      <c r="AP109" s="67">
        <v>0.0</v>
      </c>
      <c r="AQ109" s="67">
        <v>0.0</v>
      </c>
      <c r="AR109" s="67">
        <v>0.0</v>
      </c>
      <c r="AS109" s="67">
        <v>0.0</v>
      </c>
      <c r="AT109" s="67">
        <v>0.0</v>
      </c>
      <c r="AU109" s="67">
        <v>0.0</v>
      </c>
      <c r="AV109" s="67">
        <v>0.0</v>
      </c>
      <c r="AW109" s="67">
        <v>0.0</v>
      </c>
      <c r="AX109" s="67">
        <v>0.0</v>
      </c>
      <c r="AY109" s="67">
        <v>0.0</v>
      </c>
      <c r="AZ109" s="67">
        <v>0.0</v>
      </c>
      <c r="BA109" s="67">
        <v>0.0</v>
      </c>
      <c r="BB109" s="67">
        <v>0.0</v>
      </c>
      <c r="BC109" s="67">
        <v>0.0</v>
      </c>
      <c r="BD109" s="67">
        <v>0.0</v>
      </c>
      <c r="BE109" s="67">
        <v>0.0</v>
      </c>
      <c r="BF109" s="67">
        <v>0.0</v>
      </c>
      <c r="BG109" s="67">
        <v>0.0</v>
      </c>
      <c r="BH109" s="67">
        <v>0.0</v>
      </c>
    </row>
    <row r="110" ht="15.75" customHeight="1">
      <c r="B110" s="65">
        <v>3.0</v>
      </c>
      <c r="C110" s="70">
        <v>4.1816888830627894E-5</v>
      </c>
      <c r="D110" s="70">
        <v>2.5466348971523334E-4</v>
      </c>
      <c r="E110" s="70">
        <v>0.002716279857865274</v>
      </c>
      <c r="F110" s="70">
        <v>0.10691659499301574</v>
      </c>
      <c r="G110" s="70">
        <v>0.01409774167785394</v>
      </c>
      <c r="H110" s="70">
        <v>8.15140402943257E-5</v>
      </c>
      <c r="I110" s="70">
        <v>3.63172237632534E-5</v>
      </c>
      <c r="J110" s="70">
        <v>1.2573769927452352E-4</v>
      </c>
      <c r="K110" s="70">
        <v>0.008573226511770553</v>
      </c>
      <c r="L110" s="70">
        <v>0.002684155406165946</v>
      </c>
      <c r="M110" s="70">
        <v>1.1067793496648944E-4</v>
      </c>
      <c r="N110" s="70">
        <v>8.162872267007896E-5</v>
      </c>
      <c r="O110" s="70">
        <v>1.4174210482383233E-4</v>
      </c>
      <c r="P110" s="70">
        <v>0.0018781653196575743</v>
      </c>
      <c r="Q110" s="70">
        <v>1.3946117015143553E-7</v>
      </c>
      <c r="R110" s="70">
        <v>2.7230290045404784E-6</v>
      </c>
      <c r="S110" s="70">
        <v>5.6454777619550725E-6</v>
      </c>
      <c r="T110" s="70">
        <v>3.5515849798040525E-5</v>
      </c>
      <c r="U110" s="70">
        <v>9.261811621151115E-6</v>
      </c>
      <c r="V110" s="70">
        <v>5.671737922547441E-6</v>
      </c>
      <c r="W110" s="70">
        <v>4.2254728129428976E-7</v>
      </c>
      <c r="X110" s="70">
        <v>2.2871476419083213E-6</v>
      </c>
      <c r="Y110" s="70">
        <v>1.1581887173546954E-5</v>
      </c>
      <c r="Z110" s="70">
        <v>2.302906356868217E-6</v>
      </c>
      <c r="AA110" s="70">
        <v>9.780572909984448E-7</v>
      </c>
      <c r="AB110" s="70">
        <v>9.361467751468356E-6</v>
      </c>
      <c r="AC110" s="70">
        <v>1.832615669448258E-7</v>
      </c>
      <c r="AD110" s="70">
        <v>2.953003615979802E-6</v>
      </c>
      <c r="AF110" s="65">
        <v>3.0</v>
      </c>
      <c r="AG110" s="67">
        <v>0.0</v>
      </c>
      <c r="AH110" s="67">
        <v>0.0</v>
      </c>
      <c r="AI110" s="67">
        <f>E$66</f>
        <v>0</v>
      </c>
      <c r="AJ110" s="67">
        <v>0.0</v>
      </c>
      <c r="AK110" s="67">
        <v>0.0</v>
      </c>
      <c r="AL110" s="67">
        <v>0.0</v>
      </c>
      <c r="AM110" s="67">
        <v>0.0</v>
      </c>
      <c r="AN110" s="67">
        <v>0.0</v>
      </c>
      <c r="AO110" s="67">
        <v>0.0</v>
      </c>
      <c r="AP110" s="67">
        <v>0.0</v>
      </c>
      <c r="AQ110" s="67">
        <v>0.0</v>
      </c>
      <c r="AR110" s="67">
        <v>0.0</v>
      </c>
      <c r="AS110" s="67">
        <v>0.0</v>
      </c>
      <c r="AT110" s="67">
        <v>0.0</v>
      </c>
      <c r="AU110" s="67">
        <v>0.0</v>
      </c>
      <c r="AV110" s="67">
        <v>0.0</v>
      </c>
      <c r="AW110" s="67">
        <v>0.0</v>
      </c>
      <c r="AX110" s="67">
        <v>0.0</v>
      </c>
      <c r="AY110" s="67">
        <v>0.0</v>
      </c>
      <c r="AZ110" s="67">
        <v>0.0</v>
      </c>
      <c r="BA110" s="67">
        <v>0.0</v>
      </c>
      <c r="BB110" s="67">
        <v>0.0</v>
      </c>
      <c r="BC110" s="67">
        <v>0.0</v>
      </c>
      <c r="BD110" s="67">
        <v>0.0</v>
      </c>
      <c r="BE110" s="67">
        <v>0.0</v>
      </c>
      <c r="BF110" s="67">
        <v>0.0</v>
      </c>
      <c r="BG110" s="67">
        <v>0.0</v>
      </c>
      <c r="BH110" s="67">
        <v>0.0</v>
      </c>
    </row>
    <row r="111" ht="15.75" customHeight="1">
      <c r="B111" s="65">
        <v>4.0</v>
      </c>
      <c r="C111" s="70">
        <v>6.984953446039992E-4</v>
      </c>
      <c r="D111" s="70">
        <v>9.291311916765697E-4</v>
      </c>
      <c r="E111" s="70">
        <v>0.012333938018434116</v>
      </c>
      <c r="F111" s="70">
        <v>0.05411078752663511</v>
      </c>
      <c r="G111" s="70">
        <v>0.008123711591368899</v>
      </c>
      <c r="H111" s="70">
        <v>4.52100992342493E-4</v>
      </c>
      <c r="I111" s="70">
        <v>2.526531665923495E-4</v>
      </c>
      <c r="J111" s="70">
        <v>5.344544920910653E-4</v>
      </c>
      <c r="K111" s="70">
        <v>7.855598074299621E-4</v>
      </c>
      <c r="L111" s="70">
        <v>7.678407695415915E-4</v>
      </c>
      <c r="M111" s="70">
        <v>0.0014556202964991559</v>
      </c>
      <c r="N111" s="70">
        <v>4.5627585191772855E-4</v>
      </c>
      <c r="O111" s="70">
        <v>3.735711324934112E-4</v>
      </c>
      <c r="P111" s="70">
        <v>0.01501988696989026</v>
      </c>
      <c r="Q111" s="70">
        <v>5.803955161173379E-6</v>
      </c>
      <c r="R111" s="70">
        <v>7.629205054948477E-6</v>
      </c>
      <c r="S111" s="70">
        <v>2.1258359335609586E-5</v>
      </c>
      <c r="T111" s="70">
        <v>2.5865378307789053E-4</v>
      </c>
      <c r="U111" s="70">
        <v>9.950778521740094E-5</v>
      </c>
      <c r="V111" s="70">
        <v>8.766475240073997E-6</v>
      </c>
      <c r="W111" s="70">
        <v>6.877960069058836E-6</v>
      </c>
      <c r="X111" s="70">
        <v>5.2868274716193574E-6</v>
      </c>
      <c r="Y111" s="70">
        <v>6.337115779974444E-6</v>
      </c>
      <c r="Z111" s="70">
        <v>6.2450213831693605E-6</v>
      </c>
      <c r="AA111" s="70">
        <v>5.475878806663207E-6</v>
      </c>
      <c r="AB111" s="70">
        <v>7.114442719049119E-6</v>
      </c>
      <c r="AC111" s="70">
        <v>2.2929213313880377E-6</v>
      </c>
      <c r="AD111" s="70">
        <v>7.565496138877284E-5</v>
      </c>
      <c r="AF111" s="65">
        <v>4.0</v>
      </c>
      <c r="AG111" s="67">
        <v>0.0</v>
      </c>
      <c r="AH111" s="67">
        <v>0.0</v>
      </c>
      <c r="AI111" s="67">
        <v>0.0</v>
      </c>
      <c r="AJ111" s="67">
        <f>F$66</f>
        <v>0</v>
      </c>
      <c r="AK111" s="67">
        <v>0.0</v>
      </c>
      <c r="AL111" s="67">
        <v>0.0</v>
      </c>
      <c r="AM111" s="67">
        <v>0.0</v>
      </c>
      <c r="AN111" s="67">
        <v>0.0</v>
      </c>
      <c r="AO111" s="67">
        <v>0.0</v>
      </c>
      <c r="AP111" s="67">
        <v>0.0</v>
      </c>
      <c r="AQ111" s="67">
        <v>0.0</v>
      </c>
      <c r="AR111" s="67">
        <v>0.0</v>
      </c>
      <c r="AS111" s="67">
        <v>0.0</v>
      </c>
      <c r="AT111" s="67">
        <v>0.0</v>
      </c>
      <c r="AU111" s="67">
        <v>0.0</v>
      </c>
      <c r="AV111" s="67">
        <v>0.0</v>
      </c>
      <c r="AW111" s="67">
        <v>0.0</v>
      </c>
      <c r="AX111" s="67">
        <v>0.0</v>
      </c>
      <c r="AY111" s="67">
        <v>0.0</v>
      </c>
      <c r="AZ111" s="67">
        <v>0.0</v>
      </c>
      <c r="BA111" s="67">
        <v>0.0</v>
      </c>
      <c r="BB111" s="67">
        <v>0.0</v>
      </c>
      <c r="BC111" s="67">
        <v>0.0</v>
      </c>
      <c r="BD111" s="67">
        <v>0.0</v>
      </c>
      <c r="BE111" s="67">
        <v>0.0</v>
      </c>
      <c r="BF111" s="67">
        <v>0.0</v>
      </c>
      <c r="BG111" s="67">
        <v>0.0</v>
      </c>
      <c r="BH111" s="67">
        <v>0.0</v>
      </c>
    </row>
    <row r="112" ht="15.75" customHeight="1">
      <c r="B112" s="65">
        <v>5.0</v>
      </c>
      <c r="C112" s="70">
        <v>1.2174492209285576E-4</v>
      </c>
      <c r="D112" s="70">
        <v>0.009604948661102924</v>
      </c>
      <c r="E112" s="70">
        <v>0.0789390787343383</v>
      </c>
      <c r="F112" s="70">
        <v>0.005549330602991924</v>
      </c>
      <c r="G112" s="70">
        <v>0.06424997386969279</v>
      </c>
      <c r="H112" s="70">
        <v>2.3137170549562139E-4</v>
      </c>
      <c r="I112" s="70">
        <v>8.441044217639949E-5</v>
      </c>
      <c r="J112" s="70">
        <v>4.5441187674011296E-4</v>
      </c>
      <c r="K112" s="70">
        <v>9.521899384551602E-5</v>
      </c>
      <c r="L112" s="70">
        <v>4.96115034999469E-4</v>
      </c>
      <c r="M112" s="70">
        <v>9.30920230021948E-4</v>
      </c>
      <c r="N112" s="70">
        <v>2.334356855852535E-4</v>
      </c>
      <c r="O112" s="70">
        <v>1.0837902599067072E-4</v>
      </c>
      <c r="P112" s="70">
        <v>0.02450160066303116</v>
      </c>
      <c r="Q112" s="70">
        <v>2.9008898985557722E-6</v>
      </c>
      <c r="R112" s="70">
        <v>1.3522279609472438E-4</v>
      </c>
      <c r="S112" s="70">
        <v>1.2381102250805782E-4</v>
      </c>
      <c r="T112" s="70">
        <v>9.362261221611598E-5</v>
      </c>
      <c r="U112" s="70">
        <v>3.833785023654644E-4</v>
      </c>
      <c r="V112" s="70">
        <v>5.0531726370815616E-6</v>
      </c>
      <c r="W112" s="70">
        <v>8.073980647676343E-6</v>
      </c>
      <c r="X112" s="70">
        <v>9.34937877956649E-6</v>
      </c>
      <c r="Y112" s="70">
        <v>2.1744122908982153E-5</v>
      </c>
      <c r="Z112" s="70">
        <v>8.563267468138021E-6</v>
      </c>
      <c r="AA112" s="70">
        <v>8.669540364278713E-6</v>
      </c>
      <c r="AB112" s="70">
        <v>1.3978889843405277E-5</v>
      </c>
      <c r="AC112" s="70">
        <v>2.081904599439854E-6</v>
      </c>
      <c r="AD112" s="70">
        <v>1.3432231709964294E-4</v>
      </c>
      <c r="AF112" s="65">
        <v>5.0</v>
      </c>
      <c r="AG112" s="67">
        <v>0.0</v>
      </c>
      <c r="AH112" s="67">
        <v>0.0</v>
      </c>
      <c r="AI112" s="67">
        <v>0.0</v>
      </c>
      <c r="AJ112" s="67">
        <v>0.0</v>
      </c>
      <c r="AK112" s="67">
        <f>G$66</f>
        <v>0</v>
      </c>
      <c r="AL112" s="67">
        <v>0.0</v>
      </c>
      <c r="AM112" s="67">
        <v>0.0</v>
      </c>
      <c r="AN112" s="67">
        <v>0.0</v>
      </c>
      <c r="AO112" s="67">
        <v>0.0</v>
      </c>
      <c r="AP112" s="67">
        <v>0.0</v>
      </c>
      <c r="AQ112" s="67">
        <v>0.0</v>
      </c>
      <c r="AR112" s="67">
        <v>0.0</v>
      </c>
      <c r="AS112" s="67">
        <v>0.0</v>
      </c>
      <c r="AT112" s="67">
        <v>0.0</v>
      </c>
      <c r="AU112" s="67">
        <v>0.0</v>
      </c>
      <c r="AV112" s="67">
        <v>0.0</v>
      </c>
      <c r="AW112" s="67">
        <v>0.0</v>
      </c>
      <c r="AX112" s="67">
        <v>0.0</v>
      </c>
      <c r="AY112" s="67">
        <v>0.0</v>
      </c>
      <c r="AZ112" s="67">
        <v>0.0</v>
      </c>
      <c r="BA112" s="67">
        <v>0.0</v>
      </c>
      <c r="BB112" s="67">
        <v>0.0</v>
      </c>
      <c r="BC112" s="67">
        <v>0.0</v>
      </c>
      <c r="BD112" s="67">
        <v>0.0</v>
      </c>
      <c r="BE112" s="67">
        <v>0.0</v>
      </c>
      <c r="BF112" s="67">
        <v>0.0</v>
      </c>
      <c r="BG112" s="67">
        <v>0.0</v>
      </c>
      <c r="BH112" s="67">
        <v>0.0</v>
      </c>
    </row>
    <row r="113" ht="15.75" customHeight="1">
      <c r="B113" s="65">
        <v>6.0</v>
      </c>
      <c r="C113" s="70">
        <v>0.008284143752940065</v>
      </c>
      <c r="D113" s="70">
        <v>5.318991936000838E-4</v>
      </c>
      <c r="E113" s="70">
        <v>3.4935005843862233E-4</v>
      </c>
      <c r="F113" s="70">
        <v>0.0014635344557516825</v>
      </c>
      <c r="G113" s="70">
        <v>2.707628894291043E-4</v>
      </c>
      <c r="H113" s="70">
        <v>0.11681240063622023</v>
      </c>
      <c r="I113" s="70">
        <v>4.784396923147569E-4</v>
      </c>
      <c r="J113" s="70">
        <v>0.0010888900170915445</v>
      </c>
      <c r="K113" s="70">
        <v>5.432974908045125E-4</v>
      </c>
      <c r="L113" s="70">
        <v>0.0012754489939525717</v>
      </c>
      <c r="M113" s="70">
        <v>0.003178641506454067</v>
      </c>
      <c r="N113" s="70">
        <v>0.11764426879604796</v>
      </c>
      <c r="O113" s="70">
        <v>9.629858830660625E-4</v>
      </c>
      <c r="P113" s="70">
        <v>7.404438202053666E-4</v>
      </c>
      <c r="Q113" s="70">
        <v>3.9795568711512435E-7</v>
      </c>
      <c r="R113" s="70">
        <v>7.069906091951739E-7</v>
      </c>
      <c r="S113" s="70">
        <v>1.2020870922735233E-6</v>
      </c>
      <c r="T113" s="70">
        <v>1.7259739925741704E-6</v>
      </c>
      <c r="U113" s="70">
        <v>3.4092648291376286E-7</v>
      </c>
      <c r="V113" s="70">
        <v>9.502297926292313E-6</v>
      </c>
      <c r="W113" s="70">
        <v>2.6105539922395035E-7</v>
      </c>
      <c r="X113" s="70">
        <v>5.586857459824155E-7</v>
      </c>
      <c r="Y113" s="70">
        <v>4.733111171663264E-7</v>
      </c>
      <c r="Z113" s="70">
        <v>4.0689353686445157E-7</v>
      </c>
      <c r="AA113" s="70">
        <v>2.1109935094996588E-7</v>
      </c>
      <c r="AB113" s="70">
        <v>1.2720120877775117E-5</v>
      </c>
      <c r="AC113" s="70">
        <v>8.312442376177188E-7</v>
      </c>
      <c r="AD113" s="70">
        <v>2.051007054704821E-7</v>
      </c>
      <c r="AF113" s="65">
        <v>6.0</v>
      </c>
      <c r="AG113" s="67">
        <v>0.0</v>
      </c>
      <c r="AH113" s="67">
        <v>0.0</v>
      </c>
      <c r="AI113" s="67">
        <v>0.0</v>
      </c>
      <c r="AJ113" s="67">
        <v>0.0</v>
      </c>
      <c r="AK113" s="67">
        <v>0.0</v>
      </c>
      <c r="AL113" s="67">
        <f>H$66</f>
        <v>0</v>
      </c>
      <c r="AM113" s="67">
        <v>0.0</v>
      </c>
      <c r="AN113" s="67">
        <v>0.0</v>
      </c>
      <c r="AO113" s="67">
        <v>0.0</v>
      </c>
      <c r="AP113" s="67">
        <v>0.0</v>
      </c>
      <c r="AQ113" s="67">
        <v>0.0</v>
      </c>
      <c r="AR113" s="67">
        <v>0.0</v>
      </c>
      <c r="AS113" s="67">
        <v>0.0</v>
      </c>
      <c r="AT113" s="67">
        <v>0.0</v>
      </c>
      <c r="AU113" s="67">
        <v>0.0</v>
      </c>
      <c r="AV113" s="67">
        <v>0.0</v>
      </c>
      <c r="AW113" s="67">
        <v>0.0</v>
      </c>
      <c r="AX113" s="67">
        <v>0.0</v>
      </c>
      <c r="AY113" s="67">
        <v>0.0</v>
      </c>
      <c r="AZ113" s="67">
        <v>0.0</v>
      </c>
      <c r="BA113" s="67">
        <v>0.0</v>
      </c>
      <c r="BB113" s="67">
        <v>0.0</v>
      </c>
      <c r="BC113" s="67">
        <v>0.0</v>
      </c>
      <c r="BD113" s="67">
        <v>0.0</v>
      </c>
      <c r="BE113" s="67">
        <v>0.0</v>
      </c>
      <c r="BF113" s="67">
        <v>0.0</v>
      </c>
      <c r="BG113" s="67">
        <v>0.0</v>
      </c>
      <c r="BH113" s="67">
        <v>0.0</v>
      </c>
    </row>
    <row r="114" ht="15.75" customHeight="1">
      <c r="B114" s="65">
        <v>7.0</v>
      </c>
      <c r="C114" s="70">
        <v>0.01119028126118722</v>
      </c>
      <c r="D114" s="70">
        <v>0.003989573990186832</v>
      </c>
      <c r="E114" s="70">
        <v>0.00411711871854215</v>
      </c>
      <c r="F114" s="70">
        <v>0.0020805689886633067</v>
      </c>
      <c r="G114" s="70">
        <v>7.304179931697429E-4</v>
      </c>
      <c r="H114" s="70">
        <v>0.009629985260261277</v>
      </c>
      <c r="I114" s="70">
        <v>0.14798384161908126</v>
      </c>
      <c r="J114" s="70">
        <v>0.008515257610157118</v>
      </c>
      <c r="K114" s="70">
        <v>0.03577682474980917</v>
      </c>
      <c r="L114" s="70">
        <v>0.0035334823371326956</v>
      </c>
      <c r="M114" s="70">
        <v>0.0010288974603360904</v>
      </c>
      <c r="N114" s="70">
        <v>0.009194256167515414</v>
      </c>
      <c r="O114" s="70">
        <v>0.0015126896524209792</v>
      </c>
      <c r="P114" s="70">
        <v>0.0051779858869477205</v>
      </c>
      <c r="Q114" s="70">
        <v>2.6986460913126024E-5</v>
      </c>
      <c r="R114" s="70">
        <v>1.5157049622406267E-5</v>
      </c>
      <c r="S114" s="70">
        <v>9.383902672967465E-6</v>
      </c>
      <c r="T114" s="70">
        <v>1.651818035324921E-5</v>
      </c>
      <c r="U114" s="70">
        <v>1.081581035697936E-5</v>
      </c>
      <c r="V114" s="70">
        <v>1.5859999625002757E-5</v>
      </c>
      <c r="W114" s="70">
        <v>4.654609519970738E-6</v>
      </c>
      <c r="X114" s="70">
        <v>1.1442332657407234E-5</v>
      </c>
      <c r="Y114" s="70">
        <v>9.702573278715653E-6</v>
      </c>
      <c r="Z114" s="70">
        <v>7.1301924396026065E-6</v>
      </c>
      <c r="AA114" s="70">
        <v>1.5062227332701619E-6</v>
      </c>
      <c r="AB114" s="70">
        <v>2.2515255916052683E-5</v>
      </c>
      <c r="AC114" s="70">
        <v>1.1861229074899585E-5</v>
      </c>
      <c r="AD114" s="70">
        <v>1.4015516603676013E-5</v>
      </c>
      <c r="AF114" s="65">
        <v>7.0</v>
      </c>
      <c r="AG114" s="67">
        <v>0.0</v>
      </c>
      <c r="AH114" s="67">
        <v>0.0</v>
      </c>
      <c r="AI114" s="67">
        <v>0.0</v>
      </c>
      <c r="AJ114" s="67">
        <v>0.0</v>
      </c>
      <c r="AK114" s="67">
        <v>0.0</v>
      </c>
      <c r="AL114" s="67">
        <v>0.0</v>
      </c>
      <c r="AM114" s="67">
        <f>I$66</f>
        <v>0</v>
      </c>
      <c r="AN114" s="67">
        <v>0.0</v>
      </c>
      <c r="AO114" s="67">
        <v>0.0</v>
      </c>
      <c r="AP114" s="67">
        <v>0.0</v>
      </c>
      <c r="AQ114" s="67">
        <v>0.0</v>
      </c>
      <c r="AR114" s="67">
        <v>0.0</v>
      </c>
      <c r="AS114" s="67">
        <v>0.0</v>
      </c>
      <c r="AT114" s="67">
        <v>0.0</v>
      </c>
      <c r="AU114" s="67">
        <v>0.0</v>
      </c>
      <c r="AV114" s="67">
        <v>0.0</v>
      </c>
      <c r="AW114" s="67">
        <v>0.0</v>
      </c>
      <c r="AX114" s="67">
        <v>0.0</v>
      </c>
      <c r="AY114" s="67">
        <v>0.0</v>
      </c>
      <c r="AZ114" s="67">
        <v>0.0</v>
      </c>
      <c r="BA114" s="67">
        <v>0.0</v>
      </c>
      <c r="BB114" s="67">
        <v>0.0</v>
      </c>
      <c r="BC114" s="67">
        <v>0.0</v>
      </c>
      <c r="BD114" s="67">
        <v>0.0</v>
      </c>
      <c r="BE114" s="67">
        <v>0.0</v>
      </c>
      <c r="BF114" s="67">
        <v>0.0</v>
      </c>
      <c r="BG114" s="67">
        <v>0.0</v>
      </c>
      <c r="BH114" s="67">
        <v>0.0</v>
      </c>
    </row>
    <row r="115" ht="15.75" customHeight="1">
      <c r="B115" s="65">
        <v>8.0</v>
      </c>
      <c r="C115" s="70">
        <v>0.10338396982390925</v>
      </c>
      <c r="D115" s="70">
        <v>0.07898955508372953</v>
      </c>
      <c r="E115" s="70">
        <v>0.07654402042992782</v>
      </c>
      <c r="F115" s="70">
        <v>0.0526415573090094</v>
      </c>
      <c r="G115" s="70">
        <v>0.016897777013740966</v>
      </c>
      <c r="H115" s="70">
        <v>0.061527255181738835</v>
      </c>
      <c r="I115" s="70">
        <v>0.061176729381883545</v>
      </c>
      <c r="J115" s="70">
        <v>0.2145681328122196</v>
      </c>
      <c r="K115" s="70">
        <v>0.014165111145280794</v>
      </c>
      <c r="L115" s="70">
        <v>0.05189795928682206</v>
      </c>
      <c r="M115" s="70">
        <v>0.07317529978955822</v>
      </c>
      <c r="N115" s="70">
        <v>0.05515023600387037</v>
      </c>
      <c r="O115" s="70">
        <v>0.23476450605175095</v>
      </c>
      <c r="P115" s="70">
        <v>0.03986965314080226</v>
      </c>
      <c r="Q115" s="70">
        <v>1.4449532560699546E-4</v>
      </c>
      <c r="R115" s="70">
        <v>3.9436677028684575E-4</v>
      </c>
      <c r="S115" s="70">
        <v>1.6057285495196376E-4</v>
      </c>
      <c r="T115" s="70">
        <v>2.7605821835208357E-4</v>
      </c>
      <c r="U115" s="70">
        <v>1.7808598588479156E-4</v>
      </c>
      <c r="V115" s="70">
        <v>3.286891340481654E-4</v>
      </c>
      <c r="W115" s="70">
        <v>1.1871756148786236E-4</v>
      </c>
      <c r="X115" s="70">
        <v>9.988308392808428E-4</v>
      </c>
      <c r="Y115" s="70">
        <v>3.3145281516142755E-4</v>
      </c>
      <c r="Z115" s="70">
        <v>1.5763006693752767E-4</v>
      </c>
      <c r="AA115" s="70">
        <v>8.563723393347417E-5</v>
      </c>
      <c r="AB115" s="70">
        <v>4.3642297894640317E-4</v>
      </c>
      <c r="AC115" s="70">
        <v>1.639265803359072E-4</v>
      </c>
      <c r="AD115" s="70">
        <v>6.354847506511792E-5</v>
      </c>
      <c r="AF115" s="65">
        <v>8.0</v>
      </c>
      <c r="AG115" s="67">
        <v>0.0</v>
      </c>
      <c r="AH115" s="67">
        <v>0.0</v>
      </c>
      <c r="AI115" s="67">
        <v>0.0</v>
      </c>
      <c r="AJ115" s="67">
        <v>0.0</v>
      </c>
      <c r="AK115" s="67">
        <v>0.0</v>
      </c>
      <c r="AL115" s="67">
        <v>0.0</v>
      </c>
      <c r="AM115" s="67">
        <v>0.0</v>
      </c>
      <c r="AN115" s="67">
        <f>J$66</f>
        <v>0</v>
      </c>
      <c r="AO115" s="67">
        <v>0.0</v>
      </c>
      <c r="AP115" s="67">
        <v>0.0</v>
      </c>
      <c r="AQ115" s="67">
        <v>0.0</v>
      </c>
      <c r="AR115" s="67">
        <v>0.0</v>
      </c>
      <c r="AS115" s="67">
        <v>0.0</v>
      </c>
      <c r="AT115" s="67">
        <v>0.0</v>
      </c>
      <c r="AU115" s="67">
        <v>0.0</v>
      </c>
      <c r="AV115" s="67">
        <v>0.0</v>
      </c>
      <c r="AW115" s="67">
        <v>0.0</v>
      </c>
      <c r="AX115" s="67">
        <v>0.0</v>
      </c>
      <c r="AY115" s="67">
        <v>0.0</v>
      </c>
      <c r="AZ115" s="67">
        <v>0.0</v>
      </c>
      <c r="BA115" s="67">
        <v>0.0</v>
      </c>
      <c r="BB115" s="67">
        <v>0.0</v>
      </c>
      <c r="BC115" s="67">
        <v>0.0</v>
      </c>
      <c r="BD115" s="67">
        <v>0.0</v>
      </c>
      <c r="BE115" s="67">
        <v>0.0</v>
      </c>
      <c r="BF115" s="67">
        <v>0.0</v>
      </c>
      <c r="BG115" s="67">
        <v>0.0</v>
      </c>
      <c r="BH115" s="67">
        <v>0.0</v>
      </c>
    </row>
    <row r="116" ht="15.75" customHeight="1">
      <c r="B116" s="65">
        <v>9.0</v>
      </c>
      <c r="C116" s="70">
        <v>0.0010952430224876438</v>
      </c>
      <c r="D116" s="70">
        <v>2.5336430220310832E-5</v>
      </c>
      <c r="E116" s="70">
        <v>0.010937325100785864</v>
      </c>
      <c r="F116" s="70">
        <v>2.306210151057451E-5</v>
      </c>
      <c r="G116" s="70">
        <v>0.003544593375365752</v>
      </c>
      <c r="H116" s="70">
        <v>8.495480386255557E-4</v>
      </c>
      <c r="I116" s="70">
        <v>4.407525638724272E-5</v>
      </c>
      <c r="J116" s="70">
        <v>5.693668941725709E-5</v>
      </c>
      <c r="K116" s="70">
        <v>9.660188845128407E-6</v>
      </c>
      <c r="L116" s="70">
        <v>3.392850934106349E-5</v>
      </c>
      <c r="M116" s="70">
        <v>7.818999808755814E-5</v>
      </c>
      <c r="N116" s="70">
        <v>8.408567475164053E-4</v>
      </c>
      <c r="O116" s="70">
        <v>2.844300108492816E-5</v>
      </c>
      <c r="P116" s="70">
        <v>0.0020078985390350086</v>
      </c>
      <c r="Q116" s="70">
        <v>6.872153648998717E-6</v>
      </c>
      <c r="R116" s="70">
        <v>1.3476223511456785E-6</v>
      </c>
      <c r="S116" s="70">
        <v>6.288608809864208E-6</v>
      </c>
      <c r="T116" s="70">
        <v>2.12662442296414E-6</v>
      </c>
      <c r="U116" s="70">
        <v>2.5579071601353725E-5</v>
      </c>
      <c r="V116" s="70">
        <v>4.998051968112881E-7</v>
      </c>
      <c r="W116" s="70">
        <v>1.3358939576924194E-7</v>
      </c>
      <c r="X116" s="70">
        <v>8.697865054364422E-7</v>
      </c>
      <c r="Y116" s="70">
        <v>7.979205431450765E-7</v>
      </c>
      <c r="Z116" s="70">
        <v>2.3904406430484867E-7</v>
      </c>
      <c r="AA116" s="70">
        <v>2.2005171123891454E-7</v>
      </c>
      <c r="AB116" s="70">
        <v>3.690931569898927E-7</v>
      </c>
      <c r="AC116" s="70">
        <v>5.4195654009394734E-8</v>
      </c>
      <c r="AD116" s="70">
        <v>3.1377128434792963E-6</v>
      </c>
      <c r="AF116" s="65">
        <v>9.0</v>
      </c>
      <c r="AG116" s="67">
        <v>0.0</v>
      </c>
      <c r="AH116" s="67">
        <v>0.0</v>
      </c>
      <c r="AI116" s="67">
        <v>0.0</v>
      </c>
      <c r="AJ116" s="67">
        <v>0.0</v>
      </c>
      <c r="AK116" s="67">
        <v>0.0</v>
      </c>
      <c r="AL116" s="67">
        <v>0.0</v>
      </c>
      <c r="AM116" s="67">
        <v>0.0</v>
      </c>
      <c r="AN116" s="67">
        <v>0.0</v>
      </c>
      <c r="AO116" s="67">
        <f>K$66</f>
        <v>0</v>
      </c>
      <c r="AP116" s="67">
        <v>0.0</v>
      </c>
      <c r="AQ116" s="67">
        <v>0.0</v>
      </c>
      <c r="AR116" s="67">
        <v>0.0</v>
      </c>
      <c r="AS116" s="67">
        <v>0.0</v>
      </c>
      <c r="AT116" s="67">
        <v>0.0</v>
      </c>
      <c r="AU116" s="67">
        <v>0.0</v>
      </c>
      <c r="AV116" s="67">
        <v>0.0</v>
      </c>
      <c r="AW116" s="67">
        <v>0.0</v>
      </c>
      <c r="AX116" s="67">
        <v>0.0</v>
      </c>
      <c r="AY116" s="67">
        <v>0.0</v>
      </c>
      <c r="AZ116" s="67">
        <v>0.0</v>
      </c>
      <c r="BA116" s="67">
        <v>0.0</v>
      </c>
      <c r="BB116" s="67">
        <v>0.0</v>
      </c>
      <c r="BC116" s="67">
        <v>0.0</v>
      </c>
      <c r="BD116" s="67">
        <v>0.0</v>
      </c>
      <c r="BE116" s="67">
        <v>0.0</v>
      </c>
      <c r="BF116" s="67">
        <v>0.0</v>
      </c>
      <c r="BG116" s="67">
        <v>0.0</v>
      </c>
      <c r="BH116" s="67">
        <v>0.0</v>
      </c>
    </row>
    <row r="117" ht="15.75" customHeight="1">
      <c r="B117" s="65">
        <v>10.0</v>
      </c>
      <c r="C117" s="70">
        <v>0.060122145788299775</v>
      </c>
      <c r="D117" s="70">
        <v>0.09014502400155544</v>
      </c>
      <c r="E117" s="70">
        <v>0.04932078170841679</v>
      </c>
      <c r="F117" s="70">
        <v>0.09649298683061414</v>
      </c>
      <c r="G117" s="70">
        <v>0.032617319027614604</v>
      </c>
      <c r="H117" s="70">
        <v>0.05636567406499931</v>
      </c>
      <c r="I117" s="70">
        <v>0.06723091594706526</v>
      </c>
      <c r="J117" s="70">
        <v>0.05221220655978744</v>
      </c>
      <c r="K117" s="70">
        <v>0.06350246278777874</v>
      </c>
      <c r="L117" s="70">
        <v>0.12425688914755988</v>
      </c>
      <c r="M117" s="70">
        <v>0.038253798167427654</v>
      </c>
      <c r="N117" s="70">
        <v>0.049972676902802896</v>
      </c>
      <c r="O117" s="70">
        <v>0.051506149849063224</v>
      </c>
      <c r="P117" s="70">
        <v>0.05433464671778928</v>
      </c>
      <c r="Q117" s="70">
        <v>1.1067979168465803E-4</v>
      </c>
      <c r="R117" s="70">
        <v>3.641035176073538E-4</v>
      </c>
      <c r="S117" s="70">
        <v>1.5459469423948733E-4</v>
      </c>
      <c r="T117" s="70">
        <v>2.7687708846088784E-4</v>
      </c>
      <c r="U117" s="70">
        <v>1.5843877480865487E-4</v>
      </c>
      <c r="V117" s="70">
        <v>0.0010101622575193682</v>
      </c>
      <c r="W117" s="70">
        <v>6.282344137848639E-5</v>
      </c>
      <c r="X117" s="70">
        <v>1.9319333696684915E-4</v>
      </c>
      <c r="Y117" s="70">
        <v>1.5573141238030166E-4</v>
      </c>
      <c r="Z117" s="70">
        <v>3.7040397240048435E-4</v>
      </c>
      <c r="AA117" s="70">
        <v>6.971854690126253E-5</v>
      </c>
      <c r="AB117" s="70">
        <v>4.049090441338166E-4</v>
      </c>
      <c r="AC117" s="70">
        <v>1.9827797160961293E-4</v>
      </c>
      <c r="AD117" s="70">
        <v>6.229997938024286E-5</v>
      </c>
      <c r="AF117" s="65">
        <v>10.0</v>
      </c>
      <c r="AG117" s="67">
        <v>0.0</v>
      </c>
      <c r="AH117" s="67">
        <v>0.0</v>
      </c>
      <c r="AI117" s="67">
        <v>0.0</v>
      </c>
      <c r="AJ117" s="67">
        <v>0.0</v>
      </c>
      <c r="AK117" s="67">
        <v>0.0</v>
      </c>
      <c r="AL117" s="67">
        <v>0.0</v>
      </c>
      <c r="AM117" s="67">
        <v>0.0</v>
      </c>
      <c r="AN117" s="67">
        <v>0.0</v>
      </c>
      <c r="AO117" s="67">
        <v>0.0</v>
      </c>
      <c r="AP117" s="67">
        <f>L$66</f>
        <v>0</v>
      </c>
      <c r="AQ117" s="67">
        <v>0.0</v>
      </c>
      <c r="AR117" s="67">
        <v>0.0</v>
      </c>
      <c r="AS117" s="67">
        <v>0.0</v>
      </c>
      <c r="AT117" s="67">
        <v>0.0</v>
      </c>
      <c r="AU117" s="67">
        <v>0.0</v>
      </c>
      <c r="AV117" s="67">
        <v>0.0</v>
      </c>
      <c r="AW117" s="67">
        <v>0.0</v>
      </c>
      <c r="AX117" s="67">
        <v>0.0</v>
      </c>
      <c r="AY117" s="67">
        <v>0.0</v>
      </c>
      <c r="AZ117" s="67">
        <v>0.0</v>
      </c>
      <c r="BA117" s="67">
        <v>0.0</v>
      </c>
      <c r="BB117" s="67">
        <v>0.0</v>
      </c>
      <c r="BC117" s="67">
        <v>0.0</v>
      </c>
      <c r="BD117" s="67">
        <v>0.0</v>
      </c>
      <c r="BE117" s="67">
        <v>0.0</v>
      </c>
      <c r="BF117" s="67">
        <v>0.0</v>
      </c>
      <c r="BG117" s="67">
        <v>0.0</v>
      </c>
      <c r="BH117" s="67">
        <v>0.0</v>
      </c>
    </row>
    <row r="118" ht="15.75" customHeight="1">
      <c r="B118" s="65">
        <v>11.0</v>
      </c>
      <c r="C118" s="70">
        <v>0.07679356411720693</v>
      </c>
      <c r="D118" s="70">
        <v>0.13082445628392844</v>
      </c>
      <c r="E118" s="70">
        <v>0.07312237208404178</v>
      </c>
      <c r="F118" s="70">
        <v>0.11974129863970392</v>
      </c>
      <c r="G118" s="70">
        <v>0.04719229537953738</v>
      </c>
      <c r="H118" s="70">
        <v>0.07769508320500891</v>
      </c>
      <c r="I118" s="70">
        <v>0.04081763573597085</v>
      </c>
      <c r="J118" s="70">
        <v>0.06476973875251177</v>
      </c>
      <c r="K118" s="70">
        <v>0.011202123829668554</v>
      </c>
      <c r="L118" s="70">
        <v>0.13592693238490963</v>
      </c>
      <c r="M118" s="70">
        <v>0.18981978543440853</v>
      </c>
      <c r="N118" s="70">
        <v>0.08158478484509236</v>
      </c>
      <c r="O118" s="70">
        <v>0.073530225711252</v>
      </c>
      <c r="P118" s="70">
        <v>0.05443894454021004</v>
      </c>
      <c r="Q118" s="70">
        <v>4.014581870306951E-5</v>
      </c>
      <c r="R118" s="70">
        <v>1.0403231376260171E-4</v>
      </c>
      <c r="S118" s="70">
        <v>4.725245576456304E-5</v>
      </c>
      <c r="T118" s="70">
        <v>8.561844871078915E-5</v>
      </c>
      <c r="U118" s="70">
        <v>7.74995619324342E-5</v>
      </c>
      <c r="V118" s="70">
        <v>2.3650222023259042E-4</v>
      </c>
      <c r="W118" s="70">
        <v>4.615318920320174E-5</v>
      </c>
      <c r="X118" s="70">
        <v>8.534064437099338E-5</v>
      </c>
      <c r="Y118" s="70">
        <v>6.651594914169549E-5</v>
      </c>
      <c r="Z118" s="70">
        <v>7.505419715417149E-5</v>
      </c>
      <c r="AA118" s="70">
        <v>9.539101371264728E-5</v>
      </c>
      <c r="AB118" s="70">
        <v>3.150456430722523E-4</v>
      </c>
      <c r="AC118" s="70">
        <v>6.888721892325178E-5</v>
      </c>
      <c r="AD118" s="70">
        <v>3.641662681154273E-5</v>
      </c>
      <c r="AF118" s="65">
        <v>11.0</v>
      </c>
      <c r="AG118" s="67">
        <v>0.0</v>
      </c>
      <c r="AH118" s="67">
        <v>0.0</v>
      </c>
      <c r="AI118" s="67">
        <v>0.0</v>
      </c>
      <c r="AJ118" s="67">
        <v>0.0</v>
      </c>
      <c r="AK118" s="67">
        <v>0.0</v>
      </c>
      <c r="AL118" s="67">
        <v>0.0</v>
      </c>
      <c r="AM118" s="67">
        <v>0.0</v>
      </c>
      <c r="AN118" s="67">
        <v>0.0</v>
      </c>
      <c r="AO118" s="67">
        <v>0.0</v>
      </c>
      <c r="AP118" s="67">
        <v>0.0</v>
      </c>
      <c r="AQ118" s="67">
        <f>M$66</f>
        <v>0</v>
      </c>
      <c r="AR118" s="67">
        <v>0.0</v>
      </c>
      <c r="AS118" s="67">
        <v>0.0</v>
      </c>
      <c r="AT118" s="67">
        <v>0.0</v>
      </c>
      <c r="AU118" s="67">
        <v>0.0</v>
      </c>
      <c r="AV118" s="67">
        <v>0.0</v>
      </c>
      <c r="AW118" s="67">
        <v>0.0</v>
      </c>
      <c r="AX118" s="67">
        <v>0.0</v>
      </c>
      <c r="AY118" s="67">
        <v>0.0</v>
      </c>
      <c r="AZ118" s="67">
        <v>0.0</v>
      </c>
      <c r="BA118" s="67">
        <v>0.0</v>
      </c>
      <c r="BB118" s="67">
        <v>0.0</v>
      </c>
      <c r="BC118" s="67">
        <v>0.0</v>
      </c>
      <c r="BD118" s="67">
        <v>0.0</v>
      </c>
      <c r="BE118" s="67">
        <v>0.0</v>
      </c>
      <c r="BF118" s="67">
        <v>0.0</v>
      </c>
      <c r="BG118" s="67">
        <v>0.0</v>
      </c>
      <c r="BH118" s="67">
        <v>0.0</v>
      </c>
    </row>
    <row r="119" ht="15.75" customHeight="1">
      <c r="B119" s="65">
        <v>12.0</v>
      </c>
      <c r="C119" s="70">
        <v>0.003391091162067608</v>
      </c>
      <c r="D119" s="70">
        <v>0.0010117302452968165</v>
      </c>
      <c r="E119" s="70">
        <v>9.010509438605669E-4</v>
      </c>
      <c r="F119" s="70">
        <v>0.00538038734704652</v>
      </c>
      <c r="G119" s="70">
        <v>5.274715541678076E-4</v>
      </c>
      <c r="H119" s="70">
        <v>0.22600042325787695</v>
      </c>
      <c r="I119" s="70">
        <v>9.548248364810309E-4</v>
      </c>
      <c r="J119" s="70">
        <v>0.002699126617370657</v>
      </c>
      <c r="K119" s="70">
        <v>0.001095696748583218</v>
      </c>
      <c r="L119" s="70">
        <v>0.002541511301689139</v>
      </c>
      <c r="M119" s="70">
        <v>0.005900005106891789</v>
      </c>
      <c r="N119" s="70">
        <v>0.22884433545285174</v>
      </c>
      <c r="O119" s="70">
        <v>0.0016254225283025422</v>
      </c>
      <c r="P119" s="70">
        <v>0.0013724030873902401</v>
      </c>
      <c r="Q119" s="70">
        <v>9.471934774109731E-7</v>
      </c>
      <c r="R119" s="70">
        <v>2.007883665944441E-6</v>
      </c>
      <c r="S119" s="70">
        <v>2.595110281177688E-6</v>
      </c>
      <c r="T119" s="70">
        <v>3.732732316190475E-6</v>
      </c>
      <c r="U119" s="70">
        <v>6.926110217076796E-7</v>
      </c>
      <c r="V119" s="70">
        <v>2.686272474582608E-5</v>
      </c>
      <c r="W119" s="70">
        <v>4.982253163617883E-7</v>
      </c>
      <c r="X119" s="70">
        <v>1.2940618388020645E-6</v>
      </c>
      <c r="Y119" s="70">
        <v>2.202677695486734E-6</v>
      </c>
      <c r="Z119" s="70">
        <v>7.560667587838042E-7</v>
      </c>
      <c r="AA119" s="70">
        <v>4.89272626633779E-7</v>
      </c>
      <c r="AB119" s="70">
        <v>3.12691250695565E-5</v>
      </c>
      <c r="AC119" s="70">
        <v>1.9563915144507227E-6</v>
      </c>
      <c r="AD119" s="70">
        <v>4.153746630353766E-7</v>
      </c>
      <c r="AF119" s="65">
        <v>12.0</v>
      </c>
      <c r="AG119" s="67">
        <v>0.0</v>
      </c>
      <c r="AH119" s="67">
        <v>0.0</v>
      </c>
      <c r="AI119" s="67">
        <v>0.0</v>
      </c>
      <c r="AJ119" s="67">
        <v>0.0</v>
      </c>
      <c r="AK119" s="67">
        <v>0.0</v>
      </c>
      <c r="AL119" s="67">
        <v>0.0</v>
      </c>
      <c r="AM119" s="67">
        <v>0.0</v>
      </c>
      <c r="AN119" s="67">
        <v>0.0</v>
      </c>
      <c r="AO119" s="67">
        <v>0.0</v>
      </c>
      <c r="AP119" s="67">
        <v>0.0</v>
      </c>
      <c r="AQ119" s="67">
        <v>0.0</v>
      </c>
      <c r="AR119" s="67">
        <f>N$66</f>
        <v>0</v>
      </c>
      <c r="AS119" s="67">
        <v>0.0</v>
      </c>
      <c r="AT119" s="67">
        <v>0.0</v>
      </c>
      <c r="AU119" s="67">
        <v>0.0</v>
      </c>
      <c r="AV119" s="67">
        <v>0.0</v>
      </c>
      <c r="AW119" s="67">
        <v>0.0</v>
      </c>
      <c r="AX119" s="67">
        <v>0.0</v>
      </c>
      <c r="AY119" s="67">
        <v>0.0</v>
      </c>
      <c r="AZ119" s="67">
        <v>0.0</v>
      </c>
      <c r="BA119" s="67">
        <v>0.0</v>
      </c>
      <c r="BB119" s="67">
        <v>0.0</v>
      </c>
      <c r="BC119" s="67">
        <v>0.0</v>
      </c>
      <c r="BD119" s="67">
        <v>0.0</v>
      </c>
      <c r="BE119" s="67">
        <v>0.0</v>
      </c>
      <c r="BF119" s="67">
        <v>0.0</v>
      </c>
      <c r="BG119" s="67">
        <v>0.0</v>
      </c>
      <c r="BH119" s="67">
        <v>0.0</v>
      </c>
    </row>
    <row r="120" ht="15.75" customHeight="1">
      <c r="B120" s="65">
        <v>13.0</v>
      </c>
      <c r="C120" s="70">
        <v>0.0011581936979464709</v>
      </c>
      <c r="D120" s="70">
        <v>0.0018989911312040466</v>
      </c>
      <c r="E120" s="70">
        <v>0.0012566434300548288</v>
      </c>
      <c r="F120" s="70">
        <v>3.9520174221448125E-4</v>
      </c>
      <c r="G120" s="70">
        <v>4.458927297142515E-4</v>
      </c>
      <c r="H120" s="70">
        <v>0.002112298028595724</v>
      </c>
      <c r="I120" s="70">
        <v>2.2185209305741353E-4</v>
      </c>
      <c r="J120" s="70">
        <v>4.2354369393615986E-4</v>
      </c>
      <c r="K120" s="70">
        <v>3.4266317655539427E-4</v>
      </c>
      <c r="L120" s="70">
        <v>6.404430695240774E-4</v>
      </c>
      <c r="M120" s="70">
        <v>0.0027543989920070884</v>
      </c>
      <c r="N120" s="70">
        <v>0.0021338160974199195</v>
      </c>
      <c r="O120" s="70">
        <v>0.01989035538993594</v>
      </c>
      <c r="P120" s="70">
        <v>0.0016083663216629471</v>
      </c>
      <c r="Q120" s="70">
        <v>4.95260967621966E-8</v>
      </c>
      <c r="R120" s="70">
        <v>4.699453164274285E-8</v>
      </c>
      <c r="S120" s="70">
        <v>1.6179071045918554E-8</v>
      </c>
      <c r="T120" s="70">
        <v>2.911650879085293E-8</v>
      </c>
      <c r="U120" s="70">
        <v>1.549033689196112E-8</v>
      </c>
      <c r="V120" s="70">
        <v>9.975263019244047E-8</v>
      </c>
      <c r="W120" s="70">
        <v>7.923923990588725E-9</v>
      </c>
      <c r="X120" s="70">
        <v>3.010402726085861E-8</v>
      </c>
      <c r="Y120" s="70">
        <v>1.2387836374049975E-8</v>
      </c>
      <c r="Z120" s="70">
        <v>3.8008764560101315E-8</v>
      </c>
      <c r="AA120" s="70">
        <v>2.386332294222384E-8</v>
      </c>
      <c r="AB120" s="70">
        <v>1.171450976341777E-7</v>
      </c>
      <c r="AC120" s="70">
        <v>1.3015129603015988E-7</v>
      </c>
      <c r="AD120" s="70">
        <v>8.99915544151879E-9</v>
      </c>
      <c r="AF120" s="65">
        <v>13.0</v>
      </c>
      <c r="AG120" s="67">
        <v>0.0</v>
      </c>
      <c r="AH120" s="67">
        <v>0.0</v>
      </c>
      <c r="AI120" s="67">
        <v>0.0</v>
      </c>
      <c r="AJ120" s="67">
        <v>0.0</v>
      </c>
      <c r="AK120" s="67">
        <v>0.0</v>
      </c>
      <c r="AL120" s="67">
        <v>0.0</v>
      </c>
      <c r="AM120" s="67">
        <v>0.0</v>
      </c>
      <c r="AN120" s="67">
        <v>0.0</v>
      </c>
      <c r="AO120" s="67">
        <v>0.0</v>
      </c>
      <c r="AP120" s="67">
        <v>0.0</v>
      </c>
      <c r="AQ120" s="67">
        <v>0.0</v>
      </c>
      <c r="AR120" s="67">
        <v>0.0</v>
      </c>
      <c r="AS120" s="67">
        <f>O$66</f>
        <v>0</v>
      </c>
      <c r="AT120" s="67">
        <v>0.0</v>
      </c>
      <c r="AU120" s="67">
        <v>0.0</v>
      </c>
      <c r="AV120" s="67">
        <v>0.0</v>
      </c>
      <c r="AW120" s="67">
        <v>0.0</v>
      </c>
      <c r="AX120" s="67">
        <v>0.0</v>
      </c>
      <c r="AY120" s="67">
        <v>0.0</v>
      </c>
      <c r="AZ120" s="67">
        <v>0.0</v>
      </c>
      <c r="BA120" s="67">
        <v>0.0</v>
      </c>
      <c r="BB120" s="67">
        <v>0.0</v>
      </c>
      <c r="BC120" s="67">
        <v>0.0</v>
      </c>
      <c r="BD120" s="67">
        <v>0.0</v>
      </c>
      <c r="BE120" s="67">
        <v>0.0</v>
      </c>
      <c r="BF120" s="67">
        <v>0.0</v>
      </c>
      <c r="BG120" s="67">
        <v>0.0</v>
      </c>
      <c r="BH120" s="67">
        <v>0.0</v>
      </c>
    </row>
    <row r="121" ht="15.75" customHeight="1">
      <c r="B121" s="65">
        <v>14.0</v>
      </c>
      <c r="C121" s="70">
        <v>0.0013108268397770367</v>
      </c>
      <c r="D121" s="70">
        <v>0.00741597268728152</v>
      </c>
      <c r="E121" s="70">
        <v>0.0012994253291728178</v>
      </c>
      <c r="F121" s="70">
        <v>0.00609187071128225</v>
      </c>
      <c r="G121" s="70">
        <v>0.0022422276357713434</v>
      </c>
      <c r="H121" s="70">
        <v>0.0017752254174891707</v>
      </c>
      <c r="I121" s="70">
        <v>9.914529127317544E-4</v>
      </c>
      <c r="J121" s="70">
        <v>0.002314097176787502</v>
      </c>
      <c r="K121" s="70">
        <v>7.899339281105648E-4</v>
      </c>
      <c r="L121" s="70">
        <v>0.0060334250288124084</v>
      </c>
      <c r="M121" s="70">
        <v>0.0037744026914931063</v>
      </c>
      <c r="N121" s="70">
        <v>0.0017997113343553189</v>
      </c>
      <c r="O121" s="70">
        <v>0.0027441072945030734</v>
      </c>
      <c r="P121" s="70">
        <v>0.009901269563889625</v>
      </c>
      <c r="Q121" s="70">
        <v>9.121527181599954E-6</v>
      </c>
      <c r="R121" s="70">
        <v>2.9213915985308317E-5</v>
      </c>
      <c r="S121" s="70">
        <v>1.269759590154427E-5</v>
      </c>
      <c r="T121" s="70">
        <v>9.75537952542063E-6</v>
      </c>
      <c r="U121" s="70">
        <v>1.4094152467735949E-5</v>
      </c>
      <c r="V121" s="70">
        <v>6.454966833194776E-5</v>
      </c>
      <c r="W121" s="70">
        <v>1.0235939010631722E-5</v>
      </c>
      <c r="X121" s="70">
        <v>5.634733287780511E-5</v>
      </c>
      <c r="Y121" s="70">
        <v>1.049474607825849E-4</v>
      </c>
      <c r="Z121" s="70">
        <v>3.4065779632509854E-4</v>
      </c>
      <c r="AA121" s="70">
        <v>6.3220891267411E-5</v>
      </c>
      <c r="AB121" s="70">
        <v>6.389716644737134E-5</v>
      </c>
      <c r="AC121" s="70">
        <v>1.736037384675583E-5</v>
      </c>
      <c r="AD121" s="70">
        <v>3.654581354566791E-5</v>
      </c>
      <c r="AF121" s="65">
        <v>14.0</v>
      </c>
      <c r="AG121" s="67">
        <v>0.0</v>
      </c>
      <c r="AH121" s="67">
        <v>0.0</v>
      </c>
      <c r="AI121" s="67">
        <v>0.0</v>
      </c>
      <c r="AJ121" s="67">
        <v>0.0</v>
      </c>
      <c r="AK121" s="67">
        <v>0.0</v>
      </c>
      <c r="AL121" s="67">
        <v>0.0</v>
      </c>
      <c r="AM121" s="67">
        <v>0.0</v>
      </c>
      <c r="AN121" s="67">
        <v>0.0</v>
      </c>
      <c r="AO121" s="67">
        <v>0.0</v>
      </c>
      <c r="AP121" s="67">
        <v>0.0</v>
      </c>
      <c r="AQ121" s="67">
        <v>0.0</v>
      </c>
      <c r="AR121" s="67">
        <v>0.0</v>
      </c>
      <c r="AS121" s="67">
        <v>0.0</v>
      </c>
      <c r="AT121" s="67">
        <f>P$66</f>
        <v>0</v>
      </c>
      <c r="AU121" s="67">
        <v>0.0</v>
      </c>
      <c r="AV121" s="67">
        <v>0.0</v>
      </c>
      <c r="AW121" s="67">
        <v>0.0</v>
      </c>
      <c r="AX121" s="67">
        <v>0.0</v>
      </c>
      <c r="AY121" s="67">
        <v>0.0</v>
      </c>
      <c r="AZ121" s="67">
        <v>0.0</v>
      </c>
      <c r="BA121" s="67">
        <v>0.0</v>
      </c>
      <c r="BB121" s="67">
        <v>0.0</v>
      </c>
      <c r="BC121" s="67">
        <v>0.0</v>
      </c>
      <c r="BD121" s="67">
        <v>0.0</v>
      </c>
      <c r="BE121" s="67">
        <v>0.0</v>
      </c>
      <c r="BF121" s="67">
        <v>0.0</v>
      </c>
      <c r="BG121" s="67">
        <v>0.0</v>
      </c>
      <c r="BH121" s="67">
        <v>0.0</v>
      </c>
    </row>
    <row r="122" ht="15.75" customHeight="1">
      <c r="B122" s="65">
        <v>15.0</v>
      </c>
      <c r="C122" s="70">
        <v>0.01550837377981542</v>
      </c>
      <c r="D122" s="70">
        <v>0.03073130952602109</v>
      </c>
      <c r="E122" s="70">
        <v>0.10882816153151892</v>
      </c>
      <c r="F122" s="70">
        <v>8.014600876712902E-5</v>
      </c>
      <c r="G122" s="70">
        <v>0.02786634596148171</v>
      </c>
      <c r="H122" s="70">
        <v>3.1830616032467054E-5</v>
      </c>
      <c r="I122" s="70">
        <v>6.631147079433284E-5</v>
      </c>
      <c r="J122" s="70">
        <v>7.175740932248039E-4</v>
      </c>
      <c r="K122" s="70">
        <v>2.2782803753770373E-4</v>
      </c>
      <c r="L122" s="70">
        <v>1.2998980669356235E-4</v>
      </c>
      <c r="M122" s="70">
        <v>1.6445277826150344E-4</v>
      </c>
      <c r="N122" s="70">
        <v>4.086041521691362E-5</v>
      </c>
      <c r="O122" s="70">
        <v>5.213173109985677E-6</v>
      </c>
      <c r="P122" s="70">
        <v>0.005692333815606427</v>
      </c>
      <c r="Q122" s="70">
        <v>0.20032490043713752</v>
      </c>
      <c r="R122" s="70">
        <v>0.15139226599646788</v>
      </c>
      <c r="S122" s="70">
        <v>0.04112155265556482</v>
      </c>
      <c r="T122" s="70">
        <v>0.0026139467474316025</v>
      </c>
      <c r="U122" s="70">
        <v>0.2640351226329199</v>
      </c>
      <c r="V122" s="70">
        <v>0.0013462561643038345</v>
      </c>
      <c r="W122" s="70">
        <v>0.004973638230960483</v>
      </c>
      <c r="X122" s="70">
        <v>0.00916598580278977</v>
      </c>
      <c r="Y122" s="70">
        <v>0.03945250960231445</v>
      </c>
      <c r="Z122" s="70">
        <v>0.0017795865586565742</v>
      </c>
      <c r="AA122" s="70">
        <v>0.002709128618935455</v>
      </c>
      <c r="AB122" s="70">
        <v>0.002522918517536209</v>
      </c>
      <c r="AC122" s="70">
        <v>0.0029114669341872164</v>
      </c>
      <c r="AD122" s="70">
        <v>0.011036951042316617</v>
      </c>
      <c r="AF122" s="65">
        <v>15.0</v>
      </c>
      <c r="AG122" s="67">
        <v>0.0</v>
      </c>
      <c r="AH122" s="67">
        <v>0.0</v>
      </c>
      <c r="AI122" s="67">
        <v>0.0</v>
      </c>
      <c r="AJ122" s="67">
        <v>0.0</v>
      </c>
      <c r="AK122" s="67">
        <v>0.0</v>
      </c>
      <c r="AL122" s="67">
        <v>0.0</v>
      </c>
      <c r="AM122" s="67">
        <v>0.0</v>
      </c>
      <c r="AN122" s="67">
        <v>0.0</v>
      </c>
      <c r="AO122" s="67">
        <v>0.0</v>
      </c>
      <c r="AP122" s="67">
        <v>0.0</v>
      </c>
      <c r="AQ122" s="67">
        <v>0.0</v>
      </c>
      <c r="AR122" s="67">
        <v>0.0</v>
      </c>
      <c r="AS122" s="67">
        <v>0.0</v>
      </c>
      <c r="AT122" s="67">
        <v>0.0</v>
      </c>
      <c r="AU122" s="67">
        <f>Q$66</f>
        <v>2.61865566</v>
      </c>
      <c r="AV122" s="67">
        <v>0.0</v>
      </c>
      <c r="AW122" s="67">
        <v>0.0</v>
      </c>
      <c r="AX122" s="67">
        <v>0.0</v>
      </c>
      <c r="AY122" s="67">
        <v>0.0</v>
      </c>
      <c r="AZ122" s="67">
        <v>0.0</v>
      </c>
      <c r="BA122" s="67">
        <v>0.0</v>
      </c>
      <c r="BB122" s="67">
        <v>0.0</v>
      </c>
      <c r="BC122" s="67">
        <v>0.0</v>
      </c>
      <c r="BD122" s="67">
        <v>0.0</v>
      </c>
      <c r="BE122" s="67">
        <v>0.0</v>
      </c>
      <c r="BF122" s="67">
        <v>0.0</v>
      </c>
      <c r="BG122" s="67">
        <v>0.0</v>
      </c>
      <c r="BH122" s="67">
        <v>0.0</v>
      </c>
    </row>
    <row r="123" ht="15.75" customHeight="1">
      <c r="B123" s="65">
        <v>16.0</v>
      </c>
      <c r="C123" s="70">
        <v>2.0930469283952162E-4</v>
      </c>
      <c r="D123" s="70">
        <v>0.0018672559628431305</v>
      </c>
      <c r="E123" s="70">
        <v>0.0038918268993788333</v>
      </c>
      <c r="F123" s="70">
        <v>3.812203630434895E-4</v>
      </c>
      <c r="G123" s="70">
        <v>0.010815617144070144</v>
      </c>
      <c r="H123" s="70">
        <v>3.39973143398442E-6</v>
      </c>
      <c r="I123" s="70">
        <v>2.9263205539127616E-5</v>
      </c>
      <c r="J123" s="70">
        <v>0.0010600477461181607</v>
      </c>
      <c r="K123" s="70">
        <v>8.820696252058764E-5</v>
      </c>
      <c r="L123" s="70">
        <v>5.582765026477466E-5</v>
      </c>
      <c r="M123" s="70">
        <v>1.0696736745733066E-4</v>
      </c>
      <c r="N123" s="70">
        <v>3.4529848556370632E-6</v>
      </c>
      <c r="O123" s="70">
        <v>8.928674312765742E-6</v>
      </c>
      <c r="P123" s="70">
        <v>0.003988568067918224</v>
      </c>
      <c r="Q123" s="70">
        <v>0.0010297348195920423</v>
      </c>
      <c r="R123" s="70">
        <v>0.036553125067932124</v>
      </c>
      <c r="S123" s="70">
        <v>0.014619404599626788</v>
      </c>
      <c r="T123" s="70">
        <v>0.011695540948947739</v>
      </c>
      <c r="U123" s="70">
        <v>0.02168072169831706</v>
      </c>
      <c r="V123" s="70">
        <v>0.0013823037725894248</v>
      </c>
      <c r="W123" s="70">
        <v>4.345803353373075E-4</v>
      </c>
      <c r="X123" s="70">
        <v>9.11651669102405E-4</v>
      </c>
      <c r="Y123" s="70">
        <v>0.004248198245086357</v>
      </c>
      <c r="Z123" s="70">
        <v>0.0017418829320531757</v>
      </c>
      <c r="AA123" s="70">
        <v>0.0010180619079293196</v>
      </c>
      <c r="AB123" s="70">
        <v>0.0026122839487461823</v>
      </c>
      <c r="AC123" s="70">
        <v>0.0011031650906827449</v>
      </c>
      <c r="AD123" s="70">
        <v>0.029311658680479292</v>
      </c>
      <c r="AF123" s="65">
        <v>16.0</v>
      </c>
      <c r="AG123" s="67">
        <v>0.0</v>
      </c>
      <c r="AH123" s="67">
        <v>0.0</v>
      </c>
      <c r="AI123" s="67">
        <v>0.0</v>
      </c>
      <c r="AJ123" s="67">
        <v>0.0</v>
      </c>
      <c r="AK123" s="67">
        <v>0.0</v>
      </c>
      <c r="AL123" s="67">
        <v>0.0</v>
      </c>
      <c r="AM123" s="67">
        <v>0.0</v>
      </c>
      <c r="AN123" s="67">
        <v>0.0</v>
      </c>
      <c r="AO123" s="67">
        <v>0.0</v>
      </c>
      <c r="AP123" s="67">
        <v>0.0</v>
      </c>
      <c r="AQ123" s="67">
        <v>0.0</v>
      </c>
      <c r="AR123" s="67">
        <v>0.0</v>
      </c>
      <c r="AS123" s="67">
        <v>0.0</v>
      </c>
      <c r="AT123" s="67">
        <v>0.0</v>
      </c>
      <c r="AU123" s="67">
        <v>0.0</v>
      </c>
      <c r="AV123" s="67">
        <f>R$66</f>
        <v>0</v>
      </c>
      <c r="AW123" s="67">
        <v>0.0</v>
      </c>
      <c r="AX123" s="67">
        <v>0.0</v>
      </c>
      <c r="AY123" s="67">
        <v>0.0</v>
      </c>
      <c r="AZ123" s="67">
        <v>0.0</v>
      </c>
      <c r="BA123" s="67">
        <v>0.0</v>
      </c>
      <c r="BB123" s="67">
        <v>0.0</v>
      </c>
      <c r="BC123" s="67">
        <v>0.0</v>
      </c>
      <c r="BD123" s="67">
        <v>0.0</v>
      </c>
      <c r="BE123" s="67">
        <v>0.0</v>
      </c>
      <c r="BF123" s="67">
        <v>0.0</v>
      </c>
      <c r="BG123" s="67">
        <v>0.0</v>
      </c>
      <c r="BH123" s="67">
        <v>0.0</v>
      </c>
    </row>
    <row r="124" ht="15.75" customHeight="1">
      <c r="B124" s="65">
        <v>17.0</v>
      </c>
      <c r="C124" s="70">
        <v>2.542894000359938E-5</v>
      </c>
      <c r="D124" s="70">
        <v>8.924895389181314E-5</v>
      </c>
      <c r="E124" s="70">
        <v>5.74028733857773E-4</v>
      </c>
      <c r="F124" s="70">
        <v>0.015994227665381566</v>
      </c>
      <c r="G124" s="70">
        <v>2.300752906093194E-4</v>
      </c>
      <c r="H124" s="70">
        <v>1.276265470960783E-5</v>
      </c>
      <c r="I124" s="70">
        <v>1.22703887814895E-4</v>
      </c>
      <c r="J124" s="70">
        <v>1.4808892699326307E-4</v>
      </c>
      <c r="K124" s="70">
        <v>5.893933918068855E-5</v>
      </c>
      <c r="L124" s="70">
        <v>2.538629188235941E-4</v>
      </c>
      <c r="M124" s="70">
        <v>1.101633711086574E-4</v>
      </c>
      <c r="N124" s="70">
        <v>1.4606645230493464E-5</v>
      </c>
      <c r="O124" s="70">
        <v>6.4762572446567754E-6</v>
      </c>
      <c r="P124" s="70">
        <v>5.695619743777398E-4</v>
      </c>
      <c r="Q124" s="70">
        <v>0.0010708581661095862</v>
      </c>
      <c r="R124" s="70">
        <v>9.697303990333534E-4</v>
      </c>
      <c r="S124" s="70">
        <v>0.07216130803817457</v>
      </c>
      <c r="T124" s="70">
        <v>0.31919397583708475</v>
      </c>
      <c r="U124" s="70">
        <v>0.009103250853283649</v>
      </c>
      <c r="V124" s="70">
        <v>0.0031208138379923553</v>
      </c>
      <c r="W124" s="70">
        <v>0.0012577883197893518</v>
      </c>
      <c r="X124" s="70">
        <v>0.001624883164209726</v>
      </c>
      <c r="Y124" s="70">
        <v>0.012589541183163784</v>
      </c>
      <c r="Z124" s="70">
        <v>9.647252236500654E-4</v>
      </c>
      <c r="AA124" s="70">
        <v>6.439841189744526E-4</v>
      </c>
      <c r="AB124" s="70">
        <v>0.0011362601192917588</v>
      </c>
      <c r="AC124" s="70">
        <v>0.0038431958906280737</v>
      </c>
      <c r="AD124" s="70">
        <v>0.015125594806903318</v>
      </c>
      <c r="AF124" s="65">
        <v>17.0</v>
      </c>
      <c r="AG124" s="67">
        <v>0.0</v>
      </c>
      <c r="AH124" s="67">
        <v>0.0</v>
      </c>
      <c r="AI124" s="67">
        <v>0.0</v>
      </c>
      <c r="AJ124" s="67">
        <v>0.0</v>
      </c>
      <c r="AK124" s="67">
        <v>0.0</v>
      </c>
      <c r="AL124" s="67">
        <v>0.0</v>
      </c>
      <c r="AM124" s="67">
        <v>0.0</v>
      </c>
      <c r="AN124" s="67">
        <v>0.0</v>
      </c>
      <c r="AO124" s="67">
        <v>0.0</v>
      </c>
      <c r="AP124" s="67">
        <v>0.0</v>
      </c>
      <c r="AQ124" s="67">
        <v>0.0</v>
      </c>
      <c r="AR124" s="67">
        <v>0.0</v>
      </c>
      <c r="AS124" s="67">
        <v>0.0</v>
      </c>
      <c r="AT124" s="67">
        <v>0.0</v>
      </c>
      <c r="AU124" s="67">
        <v>0.0</v>
      </c>
      <c r="AV124" s="67">
        <v>0.0</v>
      </c>
      <c r="AW124" s="67">
        <f>S$66</f>
        <v>0</v>
      </c>
      <c r="AX124" s="67">
        <v>0.0</v>
      </c>
      <c r="AY124" s="67">
        <v>0.0</v>
      </c>
      <c r="AZ124" s="67">
        <v>0.0</v>
      </c>
      <c r="BA124" s="67">
        <v>0.0</v>
      </c>
      <c r="BB124" s="67">
        <v>0.0</v>
      </c>
      <c r="BC124" s="67">
        <v>0.0</v>
      </c>
      <c r="BD124" s="67">
        <v>0.0</v>
      </c>
      <c r="BE124" s="67">
        <v>0.0</v>
      </c>
      <c r="BF124" s="67">
        <v>0.0</v>
      </c>
      <c r="BG124" s="67">
        <v>0.0</v>
      </c>
      <c r="BH124" s="67">
        <v>0.0</v>
      </c>
    </row>
    <row r="125" ht="15.75" customHeight="1">
      <c r="B125" s="65">
        <v>18.0</v>
      </c>
      <c r="C125" s="70">
        <v>2.155323627362673E-4</v>
      </c>
      <c r="D125" s="70">
        <v>4.642548179035317E-4</v>
      </c>
      <c r="E125" s="70">
        <v>0.020251920850347542</v>
      </c>
      <c r="F125" s="70">
        <v>0.044439340194490244</v>
      </c>
      <c r="G125" s="70">
        <v>0.0053121590590233195</v>
      </c>
      <c r="H125" s="70">
        <v>2.8911003577959016E-5</v>
      </c>
      <c r="I125" s="70">
        <v>1.0345785220309849E-4</v>
      </c>
      <c r="J125" s="70">
        <v>8.348776858808112E-4</v>
      </c>
      <c r="K125" s="70">
        <v>5.178653381391281E-4</v>
      </c>
      <c r="L125" s="70">
        <v>0.003917697575349907</v>
      </c>
      <c r="M125" s="70">
        <v>4.714195926745436E-4</v>
      </c>
      <c r="N125" s="70">
        <v>3.0659834996810734E-5</v>
      </c>
      <c r="O125" s="70">
        <v>2.838204153717564E-5</v>
      </c>
      <c r="P125" s="70">
        <v>0.009583324118024665</v>
      </c>
      <c r="Q125" s="70">
        <v>0.002136702190296009</v>
      </c>
      <c r="R125" s="70">
        <v>0.006144864586917863</v>
      </c>
      <c r="S125" s="70">
        <v>0.016534247640195253</v>
      </c>
      <c r="T125" s="70">
        <v>0.07839938260116476</v>
      </c>
      <c r="U125" s="70">
        <v>0.041265935003812385</v>
      </c>
      <c r="V125" s="70">
        <v>0.0023457270519982184</v>
      </c>
      <c r="W125" s="70">
        <v>7.742545601822086E-4</v>
      </c>
      <c r="X125" s="70">
        <v>0.001662954574382001</v>
      </c>
      <c r="Y125" s="70">
        <v>0.007388326636595635</v>
      </c>
      <c r="Z125" s="70">
        <v>0.0015880042286396886</v>
      </c>
      <c r="AA125" s="70">
        <v>0.0025933070597325874</v>
      </c>
      <c r="AB125" s="70">
        <v>0.004328494393078555</v>
      </c>
      <c r="AC125" s="70">
        <v>0.0024146264016032004</v>
      </c>
      <c r="AD125" s="70">
        <v>0.04252483400796963</v>
      </c>
      <c r="AF125" s="65">
        <v>18.0</v>
      </c>
      <c r="AG125" s="67">
        <v>0.0</v>
      </c>
      <c r="AH125" s="67">
        <v>0.0</v>
      </c>
      <c r="AI125" s="67">
        <v>0.0</v>
      </c>
      <c r="AJ125" s="67">
        <v>0.0</v>
      </c>
      <c r="AK125" s="67">
        <v>0.0</v>
      </c>
      <c r="AL125" s="67">
        <v>0.0</v>
      </c>
      <c r="AM125" s="67">
        <v>0.0</v>
      </c>
      <c r="AN125" s="67">
        <v>0.0</v>
      </c>
      <c r="AO125" s="67">
        <v>0.0</v>
      </c>
      <c r="AP125" s="67">
        <v>0.0</v>
      </c>
      <c r="AQ125" s="67">
        <v>0.0</v>
      </c>
      <c r="AR125" s="67">
        <v>0.0</v>
      </c>
      <c r="AS125" s="67">
        <v>0.0</v>
      </c>
      <c r="AT125" s="67">
        <v>0.0</v>
      </c>
      <c r="AU125" s="67">
        <v>0.0</v>
      </c>
      <c r="AV125" s="67">
        <v>0.0</v>
      </c>
      <c r="AW125" s="67">
        <v>0.0</v>
      </c>
      <c r="AX125" s="67">
        <f>T$66</f>
        <v>0</v>
      </c>
      <c r="AY125" s="67">
        <v>0.0</v>
      </c>
      <c r="AZ125" s="67">
        <v>0.0</v>
      </c>
      <c r="BA125" s="67">
        <v>0.0</v>
      </c>
      <c r="BB125" s="67">
        <v>0.0</v>
      </c>
      <c r="BC125" s="67">
        <v>0.0</v>
      </c>
      <c r="BD125" s="67">
        <v>0.0</v>
      </c>
      <c r="BE125" s="67">
        <v>0.0</v>
      </c>
      <c r="BF125" s="67">
        <v>0.0</v>
      </c>
      <c r="BG125" s="67">
        <v>0.0</v>
      </c>
      <c r="BH125" s="67">
        <v>0.0</v>
      </c>
    </row>
    <row r="126" ht="15.75" customHeight="1">
      <c r="B126" s="65">
        <v>19.0</v>
      </c>
      <c r="C126" s="70">
        <v>1.6251724361932392E-4</v>
      </c>
      <c r="D126" s="70">
        <v>0.0040543796520607365</v>
      </c>
      <c r="E126" s="70">
        <v>0.0138144935253158</v>
      </c>
      <c r="F126" s="70">
        <v>0.007461053047417464</v>
      </c>
      <c r="G126" s="70">
        <v>0.03441276691428631</v>
      </c>
      <c r="H126" s="70">
        <v>8.939459762833067E-6</v>
      </c>
      <c r="I126" s="70">
        <v>3.122815740691174E-5</v>
      </c>
      <c r="J126" s="70">
        <v>9.765325555046832E-4</v>
      </c>
      <c r="K126" s="70">
        <v>1.8557501589518144E-4</v>
      </c>
      <c r="L126" s="70">
        <v>0.0010521940509670823</v>
      </c>
      <c r="M126" s="70">
        <v>2.830323248014832E-4</v>
      </c>
      <c r="N126" s="70">
        <v>9.362820695292198E-6</v>
      </c>
      <c r="O126" s="70">
        <v>2.7261214441460424E-5</v>
      </c>
      <c r="P126" s="70">
        <v>0.008860599326978743</v>
      </c>
      <c r="Q126" s="70">
        <v>0.0017957606015999307</v>
      </c>
      <c r="R126" s="70">
        <v>0.044395396553843065</v>
      </c>
      <c r="S126" s="70">
        <v>0.0653799756287262</v>
      </c>
      <c r="T126" s="70">
        <v>0.027490884326812647</v>
      </c>
      <c r="U126" s="70">
        <v>0.13649545804757823</v>
      </c>
      <c r="V126" s="70">
        <v>0.001682103195513558</v>
      </c>
      <c r="W126" s="70">
        <v>8.601020394406684E-4</v>
      </c>
      <c r="X126" s="70">
        <v>0.0014051791462389028</v>
      </c>
      <c r="Y126" s="70">
        <v>0.01266964898980594</v>
      </c>
      <c r="Z126" s="70">
        <v>0.0013734002802540265</v>
      </c>
      <c r="AA126" s="70">
        <v>0.002336503517585352</v>
      </c>
      <c r="AB126" s="70">
        <v>0.0018262266032451901</v>
      </c>
      <c r="AC126" s="70">
        <v>0.0019755349668350093</v>
      </c>
      <c r="AD126" s="70">
        <v>0.04438992754180498</v>
      </c>
      <c r="AF126" s="65">
        <v>19.0</v>
      </c>
      <c r="AG126" s="67">
        <v>0.0</v>
      </c>
      <c r="AH126" s="67">
        <v>0.0</v>
      </c>
      <c r="AI126" s="67">
        <v>0.0</v>
      </c>
      <c r="AJ126" s="67">
        <v>0.0</v>
      </c>
      <c r="AK126" s="67">
        <v>0.0</v>
      </c>
      <c r="AL126" s="67">
        <v>0.0</v>
      </c>
      <c r="AM126" s="67">
        <v>0.0</v>
      </c>
      <c r="AN126" s="67">
        <v>0.0</v>
      </c>
      <c r="AO126" s="67">
        <v>0.0</v>
      </c>
      <c r="AP126" s="67">
        <v>0.0</v>
      </c>
      <c r="AQ126" s="67">
        <v>0.0</v>
      </c>
      <c r="AR126" s="67">
        <v>0.0</v>
      </c>
      <c r="AS126" s="67">
        <v>0.0</v>
      </c>
      <c r="AT126" s="67">
        <v>0.0</v>
      </c>
      <c r="AU126" s="67">
        <v>0.0</v>
      </c>
      <c r="AV126" s="67">
        <v>0.0</v>
      </c>
      <c r="AW126" s="67">
        <v>0.0</v>
      </c>
      <c r="AX126" s="67">
        <v>0.0</v>
      </c>
      <c r="AY126" s="67">
        <f>U$66</f>
        <v>0</v>
      </c>
      <c r="AZ126" s="67">
        <v>0.0</v>
      </c>
      <c r="BA126" s="67">
        <v>0.0</v>
      </c>
      <c r="BB126" s="67">
        <v>0.0</v>
      </c>
      <c r="BC126" s="67">
        <v>0.0</v>
      </c>
      <c r="BD126" s="67">
        <v>0.0</v>
      </c>
      <c r="BE126" s="67">
        <v>0.0</v>
      </c>
      <c r="BF126" s="67">
        <v>0.0</v>
      </c>
      <c r="BG126" s="67">
        <v>0.0</v>
      </c>
      <c r="BH126" s="67">
        <v>0.0</v>
      </c>
    </row>
    <row r="127" ht="15.75" customHeight="1">
      <c r="B127" s="65">
        <v>20.0</v>
      </c>
      <c r="C127" s="70">
        <v>3.101750551842199E-5</v>
      </c>
      <c r="D127" s="70">
        <v>7.427193800884988E-5</v>
      </c>
      <c r="E127" s="70">
        <v>3.1589917520815955E-5</v>
      </c>
      <c r="F127" s="70">
        <v>6.92864221612737E-5</v>
      </c>
      <c r="G127" s="70">
        <v>4.827737047578641E-5</v>
      </c>
      <c r="H127" s="70">
        <v>0.0010641522174768792</v>
      </c>
      <c r="I127" s="70">
        <v>3.87537871869581E-6</v>
      </c>
      <c r="J127" s="70">
        <v>1.4290994977018623E-4</v>
      </c>
      <c r="K127" s="70">
        <v>3.773861258469789E-5</v>
      </c>
      <c r="L127" s="70">
        <v>5.817769368523622E-5</v>
      </c>
      <c r="M127" s="70">
        <v>1.1396844224045516E-5</v>
      </c>
      <c r="N127" s="70">
        <v>0.0010339531139170934</v>
      </c>
      <c r="O127" s="70">
        <v>1.2648946033940591E-5</v>
      </c>
      <c r="P127" s="70">
        <v>8.074232414048655E-6</v>
      </c>
      <c r="Q127" s="70">
        <v>2.126291030554562E-4</v>
      </c>
      <c r="R127" s="70">
        <v>5.074944000976375E-4</v>
      </c>
      <c r="S127" s="70">
        <v>3.827372157129701E-4</v>
      </c>
      <c r="T127" s="70">
        <v>6.252552812301682E-4</v>
      </c>
      <c r="U127" s="70">
        <v>3.7985939145064373E-4</v>
      </c>
      <c r="V127" s="70">
        <v>0.03667794747311122</v>
      </c>
      <c r="W127" s="70">
        <v>3.773283261954931E-4</v>
      </c>
      <c r="X127" s="70">
        <v>6.034669844633484E-4</v>
      </c>
      <c r="Y127" s="70">
        <v>3.9888398585235846E-4</v>
      </c>
      <c r="Z127" s="70">
        <v>3.478964228203874E-4</v>
      </c>
      <c r="AA127" s="70">
        <v>4.7269826617951546E-4</v>
      </c>
      <c r="AB127" s="70">
        <v>0.03284023470945639</v>
      </c>
      <c r="AC127" s="70">
        <v>0.005960373615334191</v>
      </c>
      <c r="AD127" s="70">
        <v>4.6132710691293693E-4</v>
      </c>
      <c r="AF127" s="65">
        <v>20.0</v>
      </c>
      <c r="AG127" s="67">
        <v>0.0</v>
      </c>
      <c r="AH127" s="67">
        <v>0.0</v>
      </c>
      <c r="AI127" s="67">
        <v>0.0</v>
      </c>
      <c r="AJ127" s="67">
        <v>0.0</v>
      </c>
      <c r="AK127" s="67">
        <v>0.0</v>
      </c>
      <c r="AL127" s="67">
        <v>0.0</v>
      </c>
      <c r="AM127" s="67">
        <v>0.0</v>
      </c>
      <c r="AN127" s="67">
        <v>0.0</v>
      </c>
      <c r="AO127" s="67">
        <v>0.0</v>
      </c>
      <c r="AP127" s="67">
        <v>0.0</v>
      </c>
      <c r="AQ127" s="67">
        <v>0.0</v>
      </c>
      <c r="AR127" s="67">
        <v>0.0</v>
      </c>
      <c r="AS127" s="67">
        <v>0.0</v>
      </c>
      <c r="AT127" s="67">
        <v>0.0</v>
      </c>
      <c r="AU127" s="67">
        <v>0.0</v>
      </c>
      <c r="AV127" s="67">
        <v>0.0</v>
      </c>
      <c r="AW127" s="67">
        <v>0.0</v>
      </c>
      <c r="AX127" s="67">
        <v>0.0</v>
      </c>
      <c r="AY127" s="67">
        <v>0.0</v>
      </c>
      <c r="AZ127" s="67">
        <f>V$66</f>
        <v>0</v>
      </c>
      <c r="BA127" s="67">
        <v>0.0</v>
      </c>
      <c r="BB127" s="67">
        <v>0.0</v>
      </c>
      <c r="BC127" s="67">
        <v>0.0</v>
      </c>
      <c r="BD127" s="67">
        <v>0.0</v>
      </c>
      <c r="BE127" s="67">
        <v>0.0</v>
      </c>
      <c r="BF127" s="67">
        <v>0.0</v>
      </c>
      <c r="BG127" s="67">
        <v>0.0</v>
      </c>
      <c r="BH127" s="67">
        <v>0.0</v>
      </c>
    </row>
    <row r="128" ht="15.75" customHeight="1">
      <c r="B128" s="65">
        <v>21.0</v>
      </c>
      <c r="C128" s="70">
        <v>0.0049568186816487305</v>
      </c>
      <c r="D128" s="70">
        <v>5.596434217561665E-4</v>
      </c>
      <c r="E128" s="70">
        <v>0.018764424457045015</v>
      </c>
      <c r="F128" s="70">
        <v>8.448179710472014E-4</v>
      </c>
      <c r="G128" s="70">
        <v>0.0020005824030786172</v>
      </c>
      <c r="H128" s="70">
        <v>4.000386503781184E-4</v>
      </c>
      <c r="I128" s="70">
        <v>0.047273446288388345</v>
      </c>
      <c r="J128" s="70">
        <v>0.02761232644092097</v>
      </c>
      <c r="K128" s="70">
        <v>0.6426427725141173</v>
      </c>
      <c r="L128" s="70">
        <v>0.0049140400772091156</v>
      </c>
      <c r="M128" s="70">
        <v>2.6970133054162756E-4</v>
      </c>
      <c r="N128" s="70">
        <v>4.8234031539888176E-4</v>
      </c>
      <c r="O128" s="70">
        <v>1.2376682673996174E-4</v>
      </c>
      <c r="P128" s="70">
        <v>6.414240186095135E-4</v>
      </c>
      <c r="Q128" s="70">
        <v>0.004108888476046889</v>
      </c>
      <c r="R128" s="70">
        <v>0.004127883298254463</v>
      </c>
      <c r="S128" s="70">
        <v>0.0061262754391404155</v>
      </c>
      <c r="T128" s="70">
        <v>0.006815359136863487</v>
      </c>
      <c r="U128" s="70">
        <v>0.004865942446337173</v>
      </c>
      <c r="V128" s="70">
        <v>0.005282308311195205</v>
      </c>
      <c r="W128" s="70">
        <v>0.1172722047928814</v>
      </c>
      <c r="X128" s="70">
        <v>0.05812158242983212</v>
      </c>
      <c r="Y128" s="70">
        <v>0.045983849622403886</v>
      </c>
      <c r="Z128" s="70">
        <v>0.02035334297068655</v>
      </c>
      <c r="AA128" s="70">
        <v>0.0012192112776631741</v>
      </c>
      <c r="AB128" s="70">
        <v>0.009728944219135383</v>
      </c>
      <c r="AC128" s="70">
        <v>0.010151384266069836</v>
      </c>
      <c r="AD128" s="70">
        <v>0.001530164088992992</v>
      </c>
      <c r="AF128" s="65">
        <v>21.0</v>
      </c>
      <c r="AG128" s="67">
        <v>0.0</v>
      </c>
      <c r="AH128" s="67">
        <v>0.0</v>
      </c>
      <c r="AI128" s="67">
        <v>0.0</v>
      </c>
      <c r="AJ128" s="67">
        <v>0.0</v>
      </c>
      <c r="AK128" s="67">
        <v>0.0</v>
      </c>
      <c r="AL128" s="67">
        <v>0.0</v>
      </c>
      <c r="AM128" s="67">
        <v>0.0</v>
      </c>
      <c r="AN128" s="67">
        <v>0.0</v>
      </c>
      <c r="AO128" s="67">
        <v>0.0</v>
      </c>
      <c r="AP128" s="67">
        <v>0.0</v>
      </c>
      <c r="AQ128" s="67">
        <v>0.0</v>
      </c>
      <c r="AR128" s="67">
        <v>0.0</v>
      </c>
      <c r="AS128" s="67">
        <v>0.0</v>
      </c>
      <c r="AT128" s="67">
        <v>0.0</v>
      </c>
      <c r="AU128" s="67">
        <v>0.0</v>
      </c>
      <c r="AV128" s="67">
        <v>0.0</v>
      </c>
      <c r="AW128" s="67">
        <v>0.0</v>
      </c>
      <c r="AX128" s="67">
        <v>0.0</v>
      </c>
      <c r="AY128" s="67">
        <v>0.0</v>
      </c>
      <c r="AZ128" s="67">
        <v>0.0</v>
      </c>
      <c r="BA128" s="67">
        <f>W$66</f>
        <v>0</v>
      </c>
      <c r="BB128" s="67">
        <v>0.0</v>
      </c>
      <c r="BC128" s="67">
        <v>0.0</v>
      </c>
      <c r="BD128" s="67">
        <v>0.0</v>
      </c>
      <c r="BE128" s="67">
        <v>0.0</v>
      </c>
      <c r="BF128" s="67">
        <v>0.0</v>
      </c>
      <c r="BG128" s="67">
        <v>0.0</v>
      </c>
      <c r="BH128" s="67">
        <v>0.0</v>
      </c>
    </row>
    <row r="129" ht="15.75" customHeight="1">
      <c r="B129" s="65">
        <v>22.0</v>
      </c>
      <c r="C129" s="70">
        <v>0.15249989743534714</v>
      </c>
      <c r="D129" s="70">
        <v>0.07261025449017457</v>
      </c>
      <c r="E129" s="70">
        <v>0.04204023341332074</v>
      </c>
      <c r="F129" s="70">
        <v>0.06401154902126327</v>
      </c>
      <c r="G129" s="70">
        <v>0.017508179179478996</v>
      </c>
      <c r="H129" s="70">
        <v>0.009514408279320753</v>
      </c>
      <c r="I129" s="70">
        <v>0.01637639726508956</v>
      </c>
      <c r="J129" s="70">
        <v>0.17530828927850448</v>
      </c>
      <c r="K129" s="70">
        <v>0.01934257138981706</v>
      </c>
      <c r="L129" s="70">
        <v>0.019178678470234488</v>
      </c>
      <c r="M129" s="70">
        <v>0.021220641681716036</v>
      </c>
      <c r="N129" s="70">
        <v>0.00703158226682381</v>
      </c>
      <c r="O129" s="70">
        <v>0.009721205770092762</v>
      </c>
      <c r="P129" s="70">
        <v>0.012306174819985466</v>
      </c>
      <c r="Q129" s="70">
        <v>0.0791222886080757</v>
      </c>
      <c r="R129" s="70">
        <v>0.13814640133754805</v>
      </c>
      <c r="S129" s="70">
        <v>0.07182869095683238</v>
      </c>
      <c r="T129" s="70">
        <v>0.09720568751834055</v>
      </c>
      <c r="U129" s="70">
        <v>0.06584972970582366</v>
      </c>
      <c r="V129" s="70">
        <v>0.1252313001673589</v>
      </c>
      <c r="W129" s="70">
        <v>0.12115530554684428</v>
      </c>
      <c r="X129" s="70">
        <v>0.40348025366137147</v>
      </c>
      <c r="Y129" s="70">
        <v>0.23082262962825145</v>
      </c>
      <c r="Z129" s="70">
        <v>0.09018987912053486</v>
      </c>
      <c r="AA129" s="70">
        <v>0.06934692854968193</v>
      </c>
      <c r="AB129" s="70">
        <v>0.12434015108855252</v>
      </c>
      <c r="AC129" s="70">
        <v>0.11218353210612536</v>
      </c>
      <c r="AD129" s="70">
        <v>0.04301739391619643</v>
      </c>
      <c r="AF129" s="65">
        <v>22.0</v>
      </c>
      <c r="AG129" s="67">
        <v>0.0</v>
      </c>
      <c r="AH129" s="67">
        <v>0.0</v>
      </c>
      <c r="AI129" s="67">
        <v>0.0</v>
      </c>
      <c r="AJ129" s="67">
        <v>0.0</v>
      </c>
      <c r="AK129" s="67">
        <v>0.0</v>
      </c>
      <c r="AL129" s="67">
        <v>0.0</v>
      </c>
      <c r="AM129" s="67">
        <v>0.0</v>
      </c>
      <c r="AN129" s="67">
        <v>0.0</v>
      </c>
      <c r="AO129" s="67">
        <v>0.0</v>
      </c>
      <c r="AP129" s="67">
        <v>0.0</v>
      </c>
      <c r="AQ129" s="67">
        <v>0.0</v>
      </c>
      <c r="AR129" s="67">
        <v>0.0</v>
      </c>
      <c r="AS129" s="67">
        <v>0.0</v>
      </c>
      <c r="AT129" s="67">
        <v>0.0</v>
      </c>
      <c r="AU129" s="67">
        <v>0.0</v>
      </c>
      <c r="AV129" s="67">
        <v>0.0</v>
      </c>
      <c r="AW129" s="67">
        <v>0.0</v>
      </c>
      <c r="AX129" s="67">
        <v>0.0</v>
      </c>
      <c r="AY129" s="67">
        <v>0.0</v>
      </c>
      <c r="AZ129" s="67">
        <v>0.0</v>
      </c>
      <c r="BA129" s="67">
        <v>0.0</v>
      </c>
      <c r="BB129" s="67">
        <f>X$66</f>
        <v>0</v>
      </c>
      <c r="BC129" s="67">
        <v>0.0</v>
      </c>
      <c r="BD129" s="67">
        <v>0.0</v>
      </c>
      <c r="BE129" s="67">
        <v>0.0</v>
      </c>
      <c r="BF129" s="67">
        <v>0.0</v>
      </c>
      <c r="BG129" s="67">
        <v>0.0</v>
      </c>
      <c r="BH129" s="67">
        <v>0.0</v>
      </c>
    </row>
    <row r="130" ht="15.75" customHeight="1">
      <c r="B130" s="65">
        <v>23.0</v>
      </c>
      <c r="C130" s="70">
        <v>0.0030004022763334766</v>
      </c>
      <c r="D130" s="70">
        <v>6.863320411073116E-5</v>
      </c>
      <c r="E130" s="70">
        <v>3.8666553741719875E-4</v>
      </c>
      <c r="F130" s="70">
        <v>5.416074758797199E-5</v>
      </c>
      <c r="G130" s="70">
        <v>2.5547778749400043E-5</v>
      </c>
      <c r="H130" s="70">
        <v>5.52142841190565E-5</v>
      </c>
      <c r="I130" s="70">
        <v>6.642790544241501E-5</v>
      </c>
      <c r="J130" s="70">
        <v>4.717920312024202E-4</v>
      </c>
      <c r="K130" s="70">
        <v>3.4543817870369984E-4</v>
      </c>
      <c r="L130" s="70">
        <v>2.9251003949658924E-5</v>
      </c>
      <c r="M130" s="70">
        <v>2.7078443642320397E-5</v>
      </c>
      <c r="N130" s="70">
        <v>5.679503977120073E-5</v>
      </c>
      <c r="O130" s="70">
        <v>1.0734262076776594E-5</v>
      </c>
      <c r="P130" s="70">
        <v>2.18970692906687E-5</v>
      </c>
      <c r="Q130" s="70">
        <v>0.06431873415513925</v>
      </c>
      <c r="R130" s="70">
        <v>6.797666900130827E-4</v>
      </c>
      <c r="S130" s="70">
        <v>0.0029225476059367233</v>
      </c>
      <c r="T130" s="70">
        <v>0.0010916131141252069</v>
      </c>
      <c r="U130" s="70">
        <v>5.700295837826688E-4</v>
      </c>
      <c r="V130" s="70">
        <v>4.516155822518392E-4</v>
      </c>
      <c r="W130" s="70">
        <v>0.0030942837283794143</v>
      </c>
      <c r="X130" s="70">
        <v>0.0013556646195658987</v>
      </c>
      <c r="Y130" s="70">
        <v>0.156832499622298</v>
      </c>
      <c r="Z130" s="70">
        <v>4.3015096966879157E-4</v>
      </c>
      <c r="AA130" s="70">
        <v>3.837593512705922E-4</v>
      </c>
      <c r="AB130" s="70">
        <v>4.069478294238064E-4</v>
      </c>
      <c r="AC130" s="70">
        <v>9.86889635817125E-4</v>
      </c>
      <c r="AD130" s="70">
        <v>2.979135395789855E-4</v>
      </c>
      <c r="AF130" s="65">
        <v>23.0</v>
      </c>
      <c r="AG130" s="67">
        <v>0.0</v>
      </c>
      <c r="AH130" s="67">
        <v>0.0</v>
      </c>
      <c r="AI130" s="67">
        <v>0.0</v>
      </c>
      <c r="AJ130" s="67">
        <v>0.0</v>
      </c>
      <c r="AK130" s="67">
        <v>0.0</v>
      </c>
      <c r="AL130" s="67">
        <v>0.0</v>
      </c>
      <c r="AM130" s="67">
        <v>0.0</v>
      </c>
      <c r="AN130" s="67">
        <v>0.0</v>
      </c>
      <c r="AO130" s="67">
        <v>0.0</v>
      </c>
      <c r="AP130" s="67">
        <v>0.0</v>
      </c>
      <c r="AQ130" s="67">
        <v>0.0</v>
      </c>
      <c r="AR130" s="67">
        <v>0.0</v>
      </c>
      <c r="AS130" s="67">
        <v>0.0</v>
      </c>
      <c r="AT130" s="67">
        <v>0.0</v>
      </c>
      <c r="AU130" s="67">
        <v>0.0</v>
      </c>
      <c r="AV130" s="67">
        <v>0.0</v>
      </c>
      <c r="AW130" s="67">
        <v>0.0</v>
      </c>
      <c r="AX130" s="67">
        <v>0.0</v>
      </c>
      <c r="AY130" s="67">
        <v>0.0</v>
      </c>
      <c r="AZ130" s="67">
        <v>0.0</v>
      </c>
      <c r="BA130" s="67">
        <v>0.0</v>
      </c>
      <c r="BB130" s="67">
        <v>0.0</v>
      </c>
      <c r="BC130" s="67">
        <f>Y$66</f>
        <v>0</v>
      </c>
      <c r="BD130" s="67">
        <v>0.0</v>
      </c>
      <c r="BE130" s="67">
        <v>0.0</v>
      </c>
      <c r="BF130" s="67">
        <v>0.0</v>
      </c>
      <c r="BG130" s="67">
        <v>0.0</v>
      </c>
      <c r="BH130" s="67">
        <v>0.0</v>
      </c>
    </row>
    <row r="131" ht="15.75" customHeight="1">
      <c r="B131" s="65">
        <v>24.0</v>
      </c>
      <c r="C131" s="70">
        <v>0.0093183151798645</v>
      </c>
      <c r="D131" s="70">
        <v>0.04568608022730033</v>
      </c>
      <c r="E131" s="70">
        <v>0.021634891805507452</v>
      </c>
      <c r="F131" s="70">
        <v>0.08535530430573854</v>
      </c>
      <c r="G131" s="70">
        <v>0.01915249488581178</v>
      </c>
      <c r="H131" s="70">
        <v>0.010584634974260826</v>
      </c>
      <c r="I131" s="70">
        <v>0.025623093188770717</v>
      </c>
      <c r="J131" s="70">
        <v>0.03550638096422319</v>
      </c>
      <c r="K131" s="70">
        <v>0.08854859864081319</v>
      </c>
      <c r="L131" s="70">
        <v>0.041602239888200596</v>
      </c>
      <c r="M131" s="70">
        <v>0.0065232648801419255</v>
      </c>
      <c r="N131" s="70">
        <v>0.012767671508427844</v>
      </c>
      <c r="O131" s="70">
        <v>0.01313950471742556</v>
      </c>
      <c r="P131" s="70">
        <v>0.005484299924253308</v>
      </c>
      <c r="Q131" s="70">
        <v>0.06697580072782638</v>
      </c>
      <c r="R131" s="70">
        <v>0.20637985074736814</v>
      </c>
      <c r="S131" s="70">
        <v>0.11551594431194441</v>
      </c>
      <c r="T131" s="70">
        <v>0.13230786729146515</v>
      </c>
      <c r="U131" s="70">
        <v>0.09484351564827002</v>
      </c>
      <c r="V131" s="70">
        <v>0.09364600636065896</v>
      </c>
      <c r="W131" s="70">
        <v>0.08615636230417036</v>
      </c>
      <c r="X131" s="70">
        <v>0.10867438657984695</v>
      </c>
      <c r="Y131" s="70">
        <v>0.20433592441620177</v>
      </c>
      <c r="Z131" s="70">
        <v>0.16523935450762303</v>
      </c>
      <c r="AA131" s="70">
        <v>0.06203655931684227</v>
      </c>
      <c r="AB131" s="70">
        <v>0.09406529708460958</v>
      </c>
      <c r="AC131" s="70">
        <v>0.09221967695292058</v>
      </c>
      <c r="AD131" s="70">
        <v>0.10999683153857662</v>
      </c>
      <c r="AF131" s="65">
        <v>24.0</v>
      </c>
      <c r="AG131" s="67">
        <v>0.0</v>
      </c>
      <c r="AH131" s="67">
        <v>0.0</v>
      </c>
      <c r="AI131" s="67">
        <v>0.0</v>
      </c>
      <c r="AJ131" s="67">
        <v>0.0</v>
      </c>
      <c r="AK131" s="67">
        <v>0.0</v>
      </c>
      <c r="AL131" s="67">
        <v>0.0</v>
      </c>
      <c r="AM131" s="67">
        <v>0.0</v>
      </c>
      <c r="AN131" s="67">
        <v>0.0</v>
      </c>
      <c r="AO131" s="67">
        <v>0.0</v>
      </c>
      <c r="AP131" s="67">
        <v>0.0</v>
      </c>
      <c r="AQ131" s="67">
        <v>0.0</v>
      </c>
      <c r="AR131" s="67">
        <v>0.0</v>
      </c>
      <c r="AS131" s="67">
        <v>0.0</v>
      </c>
      <c r="AT131" s="67">
        <v>0.0</v>
      </c>
      <c r="AU131" s="67">
        <v>0.0</v>
      </c>
      <c r="AV131" s="67">
        <v>0.0</v>
      </c>
      <c r="AW131" s="67">
        <v>0.0</v>
      </c>
      <c r="AX131" s="67">
        <v>0.0</v>
      </c>
      <c r="AY131" s="67">
        <v>0.0</v>
      </c>
      <c r="AZ131" s="67">
        <v>0.0</v>
      </c>
      <c r="BA131" s="67">
        <v>0.0</v>
      </c>
      <c r="BB131" s="67">
        <v>0.0</v>
      </c>
      <c r="BC131" s="67">
        <v>0.0</v>
      </c>
      <c r="BD131" s="67">
        <f>Z$73</f>
        <v>0</v>
      </c>
      <c r="BE131" s="67">
        <v>0.0</v>
      </c>
      <c r="BF131" s="67">
        <v>0.0</v>
      </c>
      <c r="BG131" s="67">
        <v>0.0</v>
      </c>
      <c r="BH131" s="67">
        <v>0.0</v>
      </c>
    </row>
    <row r="132" ht="15.75" customHeight="1">
      <c r="B132" s="65">
        <v>25.0</v>
      </c>
      <c r="C132" s="70">
        <v>0.00508910242001843</v>
      </c>
      <c r="D132" s="70">
        <v>0.02649157395029278</v>
      </c>
      <c r="E132" s="70">
        <v>0.00574662150661079</v>
      </c>
      <c r="F132" s="70">
        <v>0.06162439575077303</v>
      </c>
      <c r="G132" s="70">
        <v>0.007556833170581636</v>
      </c>
      <c r="H132" s="70">
        <v>0.003672249048465819</v>
      </c>
      <c r="I132" s="70">
        <v>0.004668152300330861</v>
      </c>
      <c r="J132" s="70">
        <v>0.017455129877664798</v>
      </c>
      <c r="K132" s="70">
        <v>0.013323016632054376</v>
      </c>
      <c r="L132" s="70">
        <v>0.014365585900247089</v>
      </c>
      <c r="M132" s="70">
        <v>0.026384357922673587</v>
      </c>
      <c r="N132" s="70">
        <v>0.0037276818571432744</v>
      </c>
      <c r="O132" s="70">
        <v>0.0021157085860355716</v>
      </c>
      <c r="P132" s="70">
        <v>0.0048901300097623215</v>
      </c>
      <c r="Q132" s="70">
        <v>0.044326254785431736</v>
      </c>
      <c r="R132" s="70">
        <v>0.08519907740854055</v>
      </c>
      <c r="S132" s="70">
        <v>0.046818237037155305</v>
      </c>
      <c r="T132" s="70">
        <v>0.04960956420608814</v>
      </c>
      <c r="U132" s="70">
        <v>0.05407671496475326</v>
      </c>
      <c r="V132" s="70">
        <v>0.17265692033009128</v>
      </c>
      <c r="W132" s="70">
        <v>0.08062617620780103</v>
      </c>
      <c r="X132" s="70">
        <v>0.07466945558944313</v>
      </c>
      <c r="Y132" s="70">
        <v>0.09112488407344439</v>
      </c>
      <c r="Z132" s="70">
        <v>0.10823106805295889</v>
      </c>
      <c r="AA132" s="70">
        <v>0.2149018211468026</v>
      </c>
      <c r="AB132" s="70">
        <v>0.1513882394908021</v>
      </c>
      <c r="AC132" s="70">
        <v>0.12094887032650489</v>
      </c>
      <c r="AD132" s="70">
        <v>0.11153192403996165</v>
      </c>
      <c r="AF132" s="65">
        <v>25.0</v>
      </c>
      <c r="AG132" s="67">
        <v>0.0</v>
      </c>
      <c r="AH132" s="67">
        <v>0.0</v>
      </c>
      <c r="AI132" s="67">
        <v>0.0</v>
      </c>
      <c r="AJ132" s="67">
        <v>0.0</v>
      </c>
      <c r="AK132" s="67">
        <v>0.0</v>
      </c>
      <c r="AL132" s="67">
        <v>0.0</v>
      </c>
      <c r="AM132" s="67">
        <v>0.0</v>
      </c>
      <c r="AN132" s="67">
        <v>0.0</v>
      </c>
      <c r="AO132" s="67">
        <v>0.0</v>
      </c>
      <c r="AP132" s="67">
        <v>0.0</v>
      </c>
      <c r="AQ132" s="67">
        <v>0.0</v>
      </c>
      <c r="AR132" s="67">
        <v>0.0</v>
      </c>
      <c r="AS132" s="67">
        <v>0.0</v>
      </c>
      <c r="AT132" s="67">
        <v>0.0</v>
      </c>
      <c r="AU132" s="67">
        <v>0.0</v>
      </c>
      <c r="AV132" s="67">
        <v>0.0</v>
      </c>
      <c r="AW132" s="67">
        <v>0.0</v>
      </c>
      <c r="AX132" s="67">
        <v>0.0</v>
      </c>
      <c r="AY132" s="67">
        <v>0.0</v>
      </c>
      <c r="AZ132" s="67">
        <v>0.0</v>
      </c>
      <c r="BA132" s="67">
        <v>0.0</v>
      </c>
      <c r="BB132" s="67">
        <v>0.0</v>
      </c>
      <c r="BC132" s="67">
        <v>0.0</v>
      </c>
      <c r="BD132" s="67">
        <v>0.0</v>
      </c>
      <c r="BE132" s="67">
        <f>AA$66</f>
        <v>0</v>
      </c>
      <c r="BF132" s="67">
        <v>0.0</v>
      </c>
      <c r="BG132" s="67">
        <v>0.0</v>
      </c>
      <c r="BH132" s="67">
        <v>0.0</v>
      </c>
    </row>
    <row r="133" ht="15.75" customHeight="1">
      <c r="B133" s="65">
        <v>26.0</v>
      </c>
      <c r="C133" s="70">
        <v>2.0532503700517842E-5</v>
      </c>
      <c r="D133" s="70">
        <v>1.6367711393982354E-4</v>
      </c>
      <c r="E133" s="70">
        <v>2.649944239950989E-5</v>
      </c>
      <c r="F133" s="70">
        <v>1.6711880059209347E-4</v>
      </c>
      <c r="G133" s="70">
        <v>8.51869291509674E-5</v>
      </c>
      <c r="H133" s="70">
        <v>0.002351569584174145</v>
      </c>
      <c r="I133" s="70">
        <v>1.597366133626013E-5</v>
      </c>
      <c r="J133" s="70">
        <v>6.581049234107833E-4</v>
      </c>
      <c r="K133" s="70">
        <v>8.990833769686537E-5</v>
      </c>
      <c r="L133" s="70">
        <v>1.719238050492316E-4</v>
      </c>
      <c r="M133" s="70">
        <v>1.882006021715346E-5</v>
      </c>
      <c r="N133" s="70">
        <v>0.0032716828318732944</v>
      </c>
      <c r="O133" s="70">
        <v>3.126341117802466E-5</v>
      </c>
      <c r="P133" s="70">
        <v>1.6673691234965264E-5</v>
      </c>
      <c r="Q133" s="70">
        <v>6.003666240054762E-4</v>
      </c>
      <c r="R133" s="70">
        <v>0.0015503995111979467</v>
      </c>
      <c r="S133" s="70">
        <v>0.001418503979035185</v>
      </c>
      <c r="T133" s="70">
        <v>0.0018879045182391512</v>
      </c>
      <c r="U133" s="70">
        <v>0.0010728455213276297</v>
      </c>
      <c r="V133" s="70">
        <v>0.07727175275683774</v>
      </c>
      <c r="W133" s="70">
        <v>0.0013888362014424075</v>
      </c>
      <c r="X133" s="70">
        <v>0.0013182457366657026</v>
      </c>
      <c r="Y133" s="70">
        <v>9.742685295666833E-4</v>
      </c>
      <c r="Z133" s="70">
        <v>0.0010073073710173911</v>
      </c>
      <c r="AA133" s="70">
        <v>0.0013918526362778263</v>
      </c>
      <c r="AB133" s="70">
        <v>0.08362266345113487</v>
      </c>
      <c r="AC133" s="70">
        <v>0.011577635354793255</v>
      </c>
      <c r="AD133" s="70">
        <v>0.0017536683972054154</v>
      </c>
      <c r="AF133" s="65">
        <v>26.0</v>
      </c>
      <c r="AG133" s="67">
        <v>0.0</v>
      </c>
      <c r="AH133" s="67">
        <v>0.0</v>
      </c>
      <c r="AI133" s="67">
        <v>0.0</v>
      </c>
      <c r="AJ133" s="67">
        <v>0.0</v>
      </c>
      <c r="AK133" s="67">
        <v>0.0</v>
      </c>
      <c r="AL133" s="67">
        <v>0.0</v>
      </c>
      <c r="AM133" s="67">
        <v>0.0</v>
      </c>
      <c r="AN133" s="67">
        <v>0.0</v>
      </c>
      <c r="AO133" s="67">
        <v>0.0</v>
      </c>
      <c r="AP133" s="67">
        <v>0.0</v>
      </c>
      <c r="AQ133" s="67">
        <v>0.0</v>
      </c>
      <c r="AR133" s="67">
        <v>0.0</v>
      </c>
      <c r="AS133" s="67">
        <v>0.0</v>
      </c>
      <c r="AT133" s="67">
        <v>0.0</v>
      </c>
      <c r="AU133" s="67">
        <v>0.0</v>
      </c>
      <c r="AV133" s="67">
        <v>0.0</v>
      </c>
      <c r="AW133" s="67">
        <v>0.0</v>
      </c>
      <c r="AX133" s="67">
        <v>0.0</v>
      </c>
      <c r="AY133" s="67">
        <v>0.0</v>
      </c>
      <c r="AZ133" s="67">
        <v>0.0</v>
      </c>
      <c r="BA133" s="67">
        <v>0.0</v>
      </c>
      <c r="BB133" s="67">
        <v>0.0</v>
      </c>
      <c r="BC133" s="67">
        <v>0.0</v>
      </c>
      <c r="BD133" s="67">
        <v>0.0</v>
      </c>
      <c r="BE133" s="67">
        <v>0.0</v>
      </c>
      <c r="BF133" s="67">
        <f>AB$66</f>
        <v>0</v>
      </c>
      <c r="BG133" s="67">
        <v>0.0</v>
      </c>
      <c r="BH133" s="67">
        <v>0.0</v>
      </c>
    </row>
    <row r="134" ht="15.75" customHeight="1">
      <c r="B134" s="65">
        <v>27.0</v>
      </c>
      <c r="C134" s="70">
        <v>7.2334356145881135E-6</v>
      </c>
      <c r="D134" s="70">
        <v>6.510812453165608E-5</v>
      </c>
      <c r="E134" s="70">
        <v>1.3451706374475157E-5</v>
      </c>
      <c r="F134" s="70">
        <v>7.935522742043946E-5</v>
      </c>
      <c r="G134" s="70">
        <v>3.588227130511501E-5</v>
      </c>
      <c r="H134" s="70">
        <v>2.571060656871356E-4</v>
      </c>
      <c r="I134" s="70">
        <v>2.0435490785542486E-5</v>
      </c>
      <c r="J134" s="70">
        <v>6.103435790662812E-5</v>
      </c>
      <c r="K134" s="70">
        <v>4.990078884131465E-5</v>
      </c>
      <c r="L134" s="70">
        <v>1.4189285016768876E-4</v>
      </c>
      <c r="M134" s="70">
        <v>1.1474084818448284E-5</v>
      </c>
      <c r="N134" s="70">
        <v>2.852436981412241E-4</v>
      </c>
      <c r="O134" s="70">
        <v>4.577302369188229E-6</v>
      </c>
      <c r="P134" s="70">
        <v>8.487994679507014E-6</v>
      </c>
      <c r="Q134" s="70">
        <v>0.0012829133658348157</v>
      </c>
      <c r="R134" s="70">
        <v>0.001299415701679407</v>
      </c>
      <c r="S134" s="70">
        <v>5.962029268169203E-4</v>
      </c>
      <c r="T134" s="70">
        <v>6.618171106727962E-4</v>
      </c>
      <c r="U134" s="70">
        <v>6.181872823496179E-4</v>
      </c>
      <c r="V134" s="70">
        <v>0.008680845178775473</v>
      </c>
      <c r="W134" s="70">
        <v>7.496647544259994E-4</v>
      </c>
      <c r="X134" s="70">
        <v>5.426020490292353E-4</v>
      </c>
      <c r="Y134" s="70">
        <v>0.0014794605461831076</v>
      </c>
      <c r="Z134" s="70">
        <v>5.683555212421853E-4</v>
      </c>
      <c r="AA134" s="70">
        <v>7.707629992648938E-4</v>
      </c>
      <c r="AB134" s="70">
        <v>0.007850969943833254</v>
      </c>
      <c r="AC134" s="70">
        <v>0.04533659896287335</v>
      </c>
      <c r="AD134" s="70">
        <v>0.0012505782484606128</v>
      </c>
      <c r="AF134" s="65">
        <v>27.0</v>
      </c>
      <c r="AG134" s="67">
        <v>0.0</v>
      </c>
      <c r="AH134" s="67">
        <v>0.0</v>
      </c>
      <c r="AI134" s="67">
        <v>0.0</v>
      </c>
      <c r="AJ134" s="67">
        <v>0.0</v>
      </c>
      <c r="AK134" s="67">
        <v>0.0</v>
      </c>
      <c r="AL134" s="67">
        <v>0.0</v>
      </c>
      <c r="AM134" s="67">
        <v>0.0</v>
      </c>
      <c r="AN134" s="67">
        <v>0.0</v>
      </c>
      <c r="AO134" s="67">
        <v>0.0</v>
      </c>
      <c r="AP134" s="67">
        <v>0.0</v>
      </c>
      <c r="AQ134" s="67">
        <v>0.0</v>
      </c>
      <c r="AR134" s="67">
        <v>0.0</v>
      </c>
      <c r="AS134" s="67">
        <v>0.0</v>
      </c>
      <c r="AT134" s="67">
        <v>0.0</v>
      </c>
      <c r="AU134" s="67">
        <v>0.0</v>
      </c>
      <c r="AV134" s="67">
        <v>0.0</v>
      </c>
      <c r="AW134" s="67">
        <v>0.0</v>
      </c>
      <c r="AX134" s="67">
        <v>0.0</v>
      </c>
      <c r="AY134" s="67">
        <v>0.0</v>
      </c>
      <c r="AZ134" s="67">
        <v>0.0</v>
      </c>
      <c r="BA134" s="67">
        <v>0.0</v>
      </c>
      <c r="BB134" s="67">
        <v>0.0</v>
      </c>
      <c r="BC134" s="67">
        <v>0.0</v>
      </c>
      <c r="BD134" s="67">
        <v>0.0</v>
      </c>
      <c r="BE134" s="67">
        <v>0.0</v>
      </c>
      <c r="BF134" s="67">
        <v>0.0</v>
      </c>
      <c r="BG134" s="67">
        <f>AC$66</f>
        <v>0</v>
      </c>
      <c r="BH134" s="67">
        <v>0.0</v>
      </c>
    </row>
    <row r="135" ht="15.75" customHeight="1">
      <c r="B135" s="65">
        <v>28.0</v>
      </c>
      <c r="C135" s="70">
        <v>4.8461245969920176E-4</v>
      </c>
      <c r="D135" s="70">
        <v>0.002096004997349157</v>
      </c>
      <c r="E135" s="70">
        <v>6.287997182236369E-4</v>
      </c>
      <c r="F135" s="70">
        <v>0.0017612303183167182</v>
      </c>
      <c r="G135" s="70">
        <v>8.581949525801557E-4</v>
      </c>
      <c r="H135" s="70">
        <v>5.826186503248798E-4</v>
      </c>
      <c r="I135" s="70">
        <v>3.760117190813501E-4</v>
      </c>
      <c r="J135" s="70">
        <v>0.0015706567036325755</v>
      </c>
      <c r="K135" s="70">
        <v>6.703853704648995E-4</v>
      </c>
      <c r="L135" s="70">
        <v>0.008922758630177254</v>
      </c>
      <c r="M135" s="70">
        <v>0.02547062673890843</v>
      </c>
      <c r="N135" s="70">
        <v>5.923028946901018E-4</v>
      </c>
      <c r="O135" s="70">
        <v>7.442409951909314E-4</v>
      </c>
      <c r="P135" s="70">
        <v>0.0024948740990304594</v>
      </c>
      <c r="Q135" s="70">
        <v>0.0022148683435329027</v>
      </c>
      <c r="R135" s="70">
        <v>0.0059295346413267315</v>
      </c>
      <c r="S135" s="70">
        <v>0.002568370126171948</v>
      </c>
      <c r="T135" s="70">
        <v>0.004898568761764132</v>
      </c>
      <c r="U135" s="70">
        <v>0.0021964527727095823</v>
      </c>
      <c r="V135" s="70">
        <v>0.005289193914590346</v>
      </c>
      <c r="W135" s="70">
        <v>0.004275054894788703</v>
      </c>
      <c r="X135" s="70">
        <v>0.005263945279461916</v>
      </c>
      <c r="Y135" s="70">
        <v>0.005708123557666072</v>
      </c>
      <c r="Z135" s="70">
        <v>0.010121200539365152</v>
      </c>
      <c r="AA135" s="70">
        <v>0.013910517913931749</v>
      </c>
      <c r="AB135" s="70">
        <v>0.006814685349937234</v>
      </c>
      <c r="AC135" s="70">
        <v>0.0041477291303321125</v>
      </c>
      <c r="AD135" s="70">
        <v>0.009326369149225149</v>
      </c>
      <c r="AF135" s="65">
        <v>28.0</v>
      </c>
      <c r="AG135" s="67">
        <v>0.0</v>
      </c>
      <c r="AH135" s="67">
        <v>0.0</v>
      </c>
      <c r="AI135" s="67">
        <v>0.0</v>
      </c>
      <c r="AJ135" s="67">
        <v>0.0</v>
      </c>
      <c r="AK135" s="67">
        <v>0.0</v>
      </c>
      <c r="AL135" s="67">
        <v>0.0</v>
      </c>
      <c r="AM135" s="67">
        <v>0.0</v>
      </c>
      <c r="AN135" s="67">
        <v>0.0</v>
      </c>
      <c r="AO135" s="67">
        <v>0.0</v>
      </c>
      <c r="AP135" s="67">
        <v>0.0</v>
      </c>
      <c r="AQ135" s="67">
        <v>0.0</v>
      </c>
      <c r="AR135" s="67">
        <v>0.0</v>
      </c>
      <c r="AS135" s="67">
        <v>0.0</v>
      </c>
      <c r="AT135" s="67">
        <v>0.0</v>
      </c>
      <c r="AU135" s="67">
        <v>0.0</v>
      </c>
      <c r="AV135" s="67">
        <v>0.0</v>
      </c>
      <c r="AW135" s="67">
        <v>0.0</v>
      </c>
      <c r="AX135" s="67">
        <v>0.0</v>
      </c>
      <c r="AY135" s="67">
        <v>0.0</v>
      </c>
      <c r="AZ135" s="67">
        <v>0.0</v>
      </c>
      <c r="BA135" s="67">
        <v>0.0</v>
      </c>
      <c r="BB135" s="67">
        <v>0.0</v>
      </c>
      <c r="BC135" s="67">
        <v>0.0</v>
      </c>
      <c r="BD135" s="67">
        <v>0.0</v>
      </c>
      <c r="BE135" s="67">
        <v>0.0</v>
      </c>
      <c r="BF135" s="67">
        <v>0.0</v>
      </c>
      <c r="BG135" s="67">
        <v>0.0</v>
      </c>
      <c r="BH135" s="67">
        <f>AD$66</f>
        <v>0</v>
      </c>
    </row>
    <row r="136" ht="15.75" customHeight="1"/>
    <row r="137" ht="15.75" customHeight="1">
      <c r="B137" s="60" t="s">
        <v>56</v>
      </c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F137" s="62" t="s">
        <v>57</v>
      </c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</row>
    <row r="138" ht="15.75" customHeight="1">
      <c r="B138" s="64"/>
      <c r="C138" s="65">
        <v>1.0</v>
      </c>
      <c r="D138" s="65">
        <v>2.0</v>
      </c>
      <c r="E138" s="65">
        <v>3.0</v>
      </c>
      <c r="F138" s="65">
        <v>4.0</v>
      </c>
      <c r="G138" s="65">
        <v>5.0</v>
      </c>
      <c r="H138" s="65">
        <v>6.0</v>
      </c>
      <c r="I138" s="65">
        <v>7.0</v>
      </c>
      <c r="J138" s="65">
        <v>8.0</v>
      </c>
      <c r="K138" s="65">
        <v>9.0</v>
      </c>
      <c r="L138" s="65">
        <v>10.0</v>
      </c>
      <c r="M138" s="65">
        <v>11.0</v>
      </c>
      <c r="N138" s="65">
        <v>12.0</v>
      </c>
      <c r="O138" s="65">
        <v>13.0</v>
      </c>
      <c r="P138" s="65">
        <v>14.0</v>
      </c>
      <c r="Q138" s="65">
        <v>15.0</v>
      </c>
      <c r="R138" s="65">
        <v>16.0</v>
      </c>
      <c r="S138" s="65">
        <v>17.0</v>
      </c>
      <c r="T138" s="65">
        <v>18.0</v>
      </c>
      <c r="U138" s="65">
        <v>19.0</v>
      </c>
      <c r="V138" s="65">
        <v>20.0</v>
      </c>
      <c r="W138" s="65">
        <v>21.0</v>
      </c>
      <c r="X138" s="65">
        <v>22.0</v>
      </c>
      <c r="Y138" s="65">
        <v>23.0</v>
      </c>
      <c r="Z138" s="65">
        <v>24.0</v>
      </c>
      <c r="AA138" s="65">
        <v>25.0</v>
      </c>
      <c r="AB138" s="65">
        <v>26.0</v>
      </c>
      <c r="AC138" s="65">
        <v>27.0</v>
      </c>
      <c r="AD138" s="65">
        <v>28.0</v>
      </c>
      <c r="AF138" s="64"/>
      <c r="AG138" s="65">
        <v>1.0</v>
      </c>
      <c r="AH138" s="65">
        <v>2.0</v>
      </c>
      <c r="AI138" s="65">
        <v>3.0</v>
      </c>
      <c r="AJ138" s="65">
        <v>4.0</v>
      </c>
      <c r="AK138" s="65">
        <v>5.0</v>
      </c>
      <c r="AL138" s="65">
        <v>6.0</v>
      </c>
      <c r="AM138" s="65">
        <v>7.0</v>
      </c>
      <c r="AN138" s="65">
        <v>8.0</v>
      </c>
      <c r="AO138" s="65">
        <v>9.0</v>
      </c>
      <c r="AP138" s="65">
        <v>10.0</v>
      </c>
      <c r="AQ138" s="65">
        <v>11.0</v>
      </c>
      <c r="AR138" s="65">
        <v>12.0</v>
      </c>
      <c r="AS138" s="65">
        <v>13.0</v>
      </c>
      <c r="AT138" s="65">
        <v>14.0</v>
      </c>
      <c r="AU138" s="65">
        <v>15.0</v>
      </c>
      <c r="AV138" s="65">
        <v>16.0</v>
      </c>
      <c r="AW138" s="65">
        <v>17.0</v>
      </c>
      <c r="AX138" s="65">
        <v>18.0</v>
      </c>
      <c r="AY138" s="65">
        <v>19.0</v>
      </c>
      <c r="AZ138" s="65">
        <v>20.0</v>
      </c>
      <c r="BA138" s="65">
        <v>21.0</v>
      </c>
      <c r="BB138" s="65">
        <v>22.0</v>
      </c>
      <c r="BC138" s="65">
        <v>23.0</v>
      </c>
      <c r="BD138" s="65">
        <v>24.0</v>
      </c>
      <c r="BE138" s="65">
        <v>25.0</v>
      </c>
      <c r="BF138" s="65">
        <v>26.0</v>
      </c>
      <c r="BG138" s="65">
        <v>27.0</v>
      </c>
      <c r="BH138" s="65">
        <v>28.0</v>
      </c>
    </row>
    <row r="139" ht="15.75" customHeight="1">
      <c r="B139" s="65">
        <v>1.0</v>
      </c>
      <c r="C139" s="66">
        <v>1.0</v>
      </c>
      <c r="D139" s="66">
        <v>0.0</v>
      </c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66">
        <v>0.0</v>
      </c>
      <c r="U139" s="66">
        <v>0.0</v>
      </c>
      <c r="V139" s="66">
        <v>0.0</v>
      </c>
      <c r="W139" s="66">
        <v>0.0</v>
      </c>
      <c r="X139" s="66">
        <v>0.0</v>
      </c>
      <c r="Y139" s="66">
        <v>0.0</v>
      </c>
      <c r="Z139" s="66">
        <v>0.0</v>
      </c>
      <c r="AA139" s="66">
        <v>0.0</v>
      </c>
      <c r="AB139" s="66">
        <v>0.0</v>
      </c>
      <c r="AC139" s="66">
        <v>0.0</v>
      </c>
      <c r="AD139" s="66">
        <v>0.0</v>
      </c>
      <c r="AF139" s="65">
        <v>1.0</v>
      </c>
      <c r="AG139" s="67">
        <f>C$67</f>
        <v>0</v>
      </c>
      <c r="AH139" s="67">
        <v>0.0</v>
      </c>
      <c r="AI139" s="67">
        <v>0.0</v>
      </c>
      <c r="AJ139" s="67">
        <v>0.0</v>
      </c>
      <c r="AK139" s="67">
        <v>0.0</v>
      </c>
      <c r="AL139" s="67">
        <v>0.0</v>
      </c>
      <c r="AM139" s="67">
        <v>0.0</v>
      </c>
      <c r="AN139" s="67">
        <v>0.0</v>
      </c>
      <c r="AO139" s="67">
        <v>0.0</v>
      </c>
      <c r="AP139" s="67">
        <v>0.0</v>
      </c>
      <c r="AQ139" s="67">
        <v>0.0</v>
      </c>
      <c r="AR139" s="67">
        <v>0.0</v>
      </c>
      <c r="AS139" s="67">
        <v>0.0</v>
      </c>
      <c r="AT139" s="67">
        <v>0.0</v>
      </c>
      <c r="AU139" s="67">
        <v>0.0</v>
      </c>
      <c r="AV139" s="67">
        <v>0.0</v>
      </c>
      <c r="AW139" s="67">
        <v>0.0</v>
      </c>
      <c r="AX139" s="67">
        <v>0.0</v>
      </c>
      <c r="AY139" s="67">
        <v>0.0</v>
      </c>
      <c r="AZ139" s="67">
        <v>0.0</v>
      </c>
      <c r="BA139" s="67">
        <v>0.0</v>
      </c>
      <c r="BB139" s="67">
        <v>0.0</v>
      </c>
      <c r="BC139" s="67">
        <v>0.0</v>
      </c>
      <c r="BD139" s="67">
        <v>0.0</v>
      </c>
      <c r="BE139" s="67">
        <v>0.0</v>
      </c>
      <c r="BF139" s="67">
        <v>0.0</v>
      </c>
      <c r="BG139" s="67">
        <v>0.0</v>
      </c>
      <c r="BH139" s="67">
        <v>0.0</v>
      </c>
    </row>
    <row r="140" ht="15.75" customHeight="1">
      <c r="B140" s="65">
        <v>2.0</v>
      </c>
      <c r="C140" s="66">
        <v>0.0</v>
      </c>
      <c r="D140" s="66">
        <v>1.0</v>
      </c>
      <c r="E140" s="66">
        <v>0.0</v>
      </c>
      <c r="F140" s="66">
        <v>0.0</v>
      </c>
      <c r="G140" s="66">
        <v>0.0</v>
      </c>
      <c r="H140" s="66">
        <v>0.0</v>
      </c>
      <c r="I140" s="66">
        <v>0.0</v>
      </c>
      <c r="J140" s="66">
        <v>0.0</v>
      </c>
      <c r="K140" s="66">
        <v>0.0</v>
      </c>
      <c r="L140" s="66">
        <v>0.0</v>
      </c>
      <c r="M140" s="66">
        <v>0.0</v>
      </c>
      <c r="N140" s="66">
        <v>0.0</v>
      </c>
      <c r="O140" s="66">
        <v>0.0</v>
      </c>
      <c r="P140" s="66">
        <v>0.0</v>
      </c>
      <c r="Q140" s="66">
        <v>0.0</v>
      </c>
      <c r="R140" s="66">
        <v>0.0</v>
      </c>
      <c r="S140" s="66">
        <v>0.0</v>
      </c>
      <c r="T140" s="66">
        <v>0.0</v>
      </c>
      <c r="U140" s="66">
        <v>0.0</v>
      </c>
      <c r="V140" s="66">
        <v>0.0</v>
      </c>
      <c r="W140" s="66">
        <v>0.0</v>
      </c>
      <c r="X140" s="66">
        <v>0.0</v>
      </c>
      <c r="Y140" s="66">
        <v>0.0</v>
      </c>
      <c r="Z140" s="66">
        <v>0.0</v>
      </c>
      <c r="AA140" s="66">
        <v>0.0</v>
      </c>
      <c r="AB140" s="66">
        <v>0.0</v>
      </c>
      <c r="AC140" s="66">
        <v>0.0</v>
      </c>
      <c r="AD140" s="66">
        <v>0.0</v>
      </c>
      <c r="AF140" s="65">
        <v>2.0</v>
      </c>
      <c r="AG140" s="67">
        <v>0.0</v>
      </c>
      <c r="AH140" s="67">
        <f>D$67</f>
        <v>0</v>
      </c>
      <c r="AI140" s="67">
        <v>0.0</v>
      </c>
      <c r="AJ140" s="67">
        <v>0.0</v>
      </c>
      <c r="AK140" s="67">
        <v>0.0</v>
      </c>
      <c r="AL140" s="67">
        <v>0.0</v>
      </c>
      <c r="AM140" s="67">
        <v>0.0</v>
      </c>
      <c r="AN140" s="67">
        <v>0.0</v>
      </c>
      <c r="AO140" s="67">
        <v>0.0</v>
      </c>
      <c r="AP140" s="67">
        <v>0.0</v>
      </c>
      <c r="AQ140" s="67">
        <v>0.0</v>
      </c>
      <c r="AR140" s="67">
        <v>0.0</v>
      </c>
      <c r="AS140" s="67">
        <v>0.0</v>
      </c>
      <c r="AT140" s="67">
        <v>0.0</v>
      </c>
      <c r="AU140" s="67">
        <v>0.0</v>
      </c>
      <c r="AV140" s="67">
        <v>0.0</v>
      </c>
      <c r="AW140" s="67">
        <v>0.0</v>
      </c>
      <c r="AX140" s="67">
        <v>0.0</v>
      </c>
      <c r="AY140" s="67">
        <v>0.0</v>
      </c>
      <c r="AZ140" s="67">
        <v>0.0</v>
      </c>
      <c r="BA140" s="67">
        <v>0.0</v>
      </c>
      <c r="BB140" s="67">
        <v>0.0</v>
      </c>
      <c r="BC140" s="67">
        <v>0.0</v>
      </c>
      <c r="BD140" s="67">
        <v>0.0</v>
      </c>
      <c r="BE140" s="67">
        <v>0.0</v>
      </c>
      <c r="BF140" s="67">
        <v>0.0</v>
      </c>
      <c r="BG140" s="67">
        <v>0.0</v>
      </c>
      <c r="BH140" s="67">
        <v>0.0</v>
      </c>
    </row>
    <row r="141" ht="15.75" customHeight="1">
      <c r="B141" s="65">
        <v>3.0</v>
      </c>
      <c r="C141" s="66">
        <v>0.0</v>
      </c>
      <c r="D141" s="66">
        <v>0.0</v>
      </c>
      <c r="E141" s="66">
        <v>1.0</v>
      </c>
      <c r="F141" s="66">
        <v>0.0</v>
      </c>
      <c r="G141" s="66">
        <v>0.0</v>
      </c>
      <c r="H141" s="66">
        <v>0.0</v>
      </c>
      <c r="I141" s="66">
        <v>0.0</v>
      </c>
      <c r="J141" s="66">
        <v>0.0</v>
      </c>
      <c r="K141" s="66">
        <v>0.0</v>
      </c>
      <c r="L141" s="66">
        <v>0.0</v>
      </c>
      <c r="M141" s="66">
        <v>0.0</v>
      </c>
      <c r="N141" s="66">
        <v>0.0</v>
      </c>
      <c r="O141" s="66">
        <v>0.0</v>
      </c>
      <c r="P141" s="66">
        <v>0.0</v>
      </c>
      <c r="Q141" s="66">
        <v>0.0</v>
      </c>
      <c r="R141" s="66">
        <v>0.0</v>
      </c>
      <c r="S141" s="66">
        <v>0.0</v>
      </c>
      <c r="T141" s="66">
        <v>0.0</v>
      </c>
      <c r="U141" s="66">
        <v>0.0</v>
      </c>
      <c r="V141" s="66">
        <v>0.0</v>
      </c>
      <c r="W141" s="66">
        <v>0.0</v>
      </c>
      <c r="X141" s="66">
        <v>0.0</v>
      </c>
      <c r="Y141" s="66">
        <v>0.0</v>
      </c>
      <c r="Z141" s="66">
        <v>0.0</v>
      </c>
      <c r="AA141" s="66">
        <v>0.0</v>
      </c>
      <c r="AB141" s="66">
        <v>0.0</v>
      </c>
      <c r="AC141" s="66">
        <v>0.0</v>
      </c>
      <c r="AD141" s="66">
        <v>0.0</v>
      </c>
      <c r="AF141" s="65">
        <v>3.0</v>
      </c>
      <c r="AG141" s="67">
        <v>0.0</v>
      </c>
      <c r="AH141" s="67">
        <v>0.0</v>
      </c>
      <c r="AI141" s="67">
        <f>E$67</f>
        <v>3.701035907</v>
      </c>
      <c r="AJ141" s="67">
        <v>0.0</v>
      </c>
      <c r="AK141" s="67">
        <v>0.0</v>
      </c>
      <c r="AL141" s="67">
        <v>0.0</v>
      </c>
      <c r="AM141" s="67">
        <v>0.0</v>
      </c>
      <c r="AN141" s="67">
        <v>0.0</v>
      </c>
      <c r="AO141" s="67">
        <v>0.0</v>
      </c>
      <c r="AP141" s="67">
        <v>0.0</v>
      </c>
      <c r="AQ141" s="67">
        <v>0.0</v>
      </c>
      <c r="AR141" s="67">
        <v>0.0</v>
      </c>
      <c r="AS141" s="67">
        <v>0.0</v>
      </c>
      <c r="AT141" s="67">
        <v>0.0</v>
      </c>
      <c r="AU141" s="67">
        <v>0.0</v>
      </c>
      <c r="AV141" s="67">
        <v>0.0</v>
      </c>
      <c r="AW141" s="67">
        <v>0.0</v>
      </c>
      <c r="AX141" s="67">
        <v>0.0</v>
      </c>
      <c r="AY141" s="67">
        <v>0.0</v>
      </c>
      <c r="AZ141" s="67">
        <v>0.0</v>
      </c>
      <c r="BA141" s="67">
        <v>0.0</v>
      </c>
      <c r="BB141" s="67">
        <v>0.0</v>
      </c>
      <c r="BC141" s="67">
        <v>0.0</v>
      </c>
      <c r="BD141" s="67">
        <v>0.0</v>
      </c>
      <c r="BE141" s="67">
        <v>0.0</v>
      </c>
      <c r="BF141" s="67">
        <v>0.0</v>
      </c>
      <c r="BG141" s="67">
        <v>0.0</v>
      </c>
      <c r="BH141" s="67">
        <v>0.0</v>
      </c>
    </row>
    <row r="142" ht="15.75" customHeight="1">
      <c r="B142" s="65">
        <v>4.0</v>
      </c>
      <c r="C142" s="66">
        <v>0.0</v>
      </c>
      <c r="D142" s="66">
        <v>0.0</v>
      </c>
      <c r="E142" s="66">
        <v>0.0</v>
      </c>
      <c r="F142" s="66">
        <v>1.0</v>
      </c>
      <c r="G142" s="66">
        <v>0.0</v>
      </c>
      <c r="H142" s="66">
        <v>0.0</v>
      </c>
      <c r="I142" s="66">
        <v>0.0</v>
      </c>
      <c r="J142" s="66">
        <v>0.0</v>
      </c>
      <c r="K142" s="66">
        <v>0.0</v>
      </c>
      <c r="L142" s="66">
        <v>0.0</v>
      </c>
      <c r="M142" s="66">
        <v>0.0</v>
      </c>
      <c r="N142" s="66">
        <v>0.0</v>
      </c>
      <c r="O142" s="66">
        <v>0.0</v>
      </c>
      <c r="P142" s="66">
        <v>0.0</v>
      </c>
      <c r="Q142" s="66">
        <v>0.0</v>
      </c>
      <c r="R142" s="66">
        <v>0.0</v>
      </c>
      <c r="S142" s="66">
        <v>0.0</v>
      </c>
      <c r="T142" s="66">
        <v>0.0</v>
      </c>
      <c r="U142" s="66">
        <v>0.0</v>
      </c>
      <c r="V142" s="66">
        <v>0.0</v>
      </c>
      <c r="W142" s="66">
        <v>0.0</v>
      </c>
      <c r="X142" s="66">
        <v>0.0</v>
      </c>
      <c r="Y142" s="66">
        <v>0.0</v>
      </c>
      <c r="Z142" s="66">
        <v>0.0</v>
      </c>
      <c r="AA142" s="66">
        <v>0.0</v>
      </c>
      <c r="AB142" s="66">
        <v>0.0</v>
      </c>
      <c r="AC142" s="66">
        <v>0.0</v>
      </c>
      <c r="AD142" s="66">
        <v>0.0</v>
      </c>
      <c r="AF142" s="65">
        <v>4.0</v>
      </c>
      <c r="AG142" s="67">
        <v>0.0</v>
      </c>
      <c r="AH142" s="67">
        <v>0.0</v>
      </c>
      <c r="AI142" s="67">
        <v>0.0</v>
      </c>
      <c r="AJ142" s="67">
        <f>F$67</f>
        <v>0</v>
      </c>
      <c r="AK142" s="67">
        <v>0.0</v>
      </c>
      <c r="AL142" s="67">
        <v>0.0</v>
      </c>
      <c r="AM142" s="67">
        <v>0.0</v>
      </c>
      <c r="AN142" s="67">
        <v>0.0</v>
      </c>
      <c r="AO142" s="67">
        <v>0.0</v>
      </c>
      <c r="AP142" s="67">
        <v>0.0</v>
      </c>
      <c r="AQ142" s="67">
        <v>0.0</v>
      </c>
      <c r="AR142" s="67">
        <v>0.0</v>
      </c>
      <c r="AS142" s="67">
        <v>0.0</v>
      </c>
      <c r="AT142" s="67">
        <v>0.0</v>
      </c>
      <c r="AU142" s="67">
        <v>0.0</v>
      </c>
      <c r="AV142" s="67">
        <v>0.0</v>
      </c>
      <c r="AW142" s="67">
        <v>0.0</v>
      </c>
      <c r="AX142" s="67">
        <v>0.0</v>
      </c>
      <c r="AY142" s="67">
        <v>0.0</v>
      </c>
      <c r="AZ142" s="67">
        <v>0.0</v>
      </c>
      <c r="BA142" s="67">
        <v>0.0</v>
      </c>
      <c r="BB142" s="67">
        <v>0.0</v>
      </c>
      <c r="BC142" s="67">
        <v>0.0</v>
      </c>
      <c r="BD142" s="67">
        <v>0.0</v>
      </c>
      <c r="BE142" s="67">
        <v>0.0</v>
      </c>
      <c r="BF142" s="67">
        <v>0.0</v>
      </c>
      <c r="BG142" s="67">
        <v>0.0</v>
      </c>
      <c r="BH142" s="67">
        <v>0.0</v>
      </c>
    </row>
    <row r="143" ht="15.75" customHeight="1">
      <c r="B143" s="65">
        <v>5.0</v>
      </c>
      <c r="C143" s="66">
        <v>0.0</v>
      </c>
      <c r="D143" s="66">
        <v>0.0</v>
      </c>
      <c r="E143" s="66">
        <v>0.0</v>
      </c>
      <c r="F143" s="66">
        <v>0.0</v>
      </c>
      <c r="G143" s="66">
        <v>1.0</v>
      </c>
      <c r="H143" s="66">
        <v>0.0</v>
      </c>
      <c r="I143" s="66">
        <v>0.0</v>
      </c>
      <c r="J143" s="66">
        <v>0.0</v>
      </c>
      <c r="K143" s="66">
        <v>0.0</v>
      </c>
      <c r="L143" s="66">
        <v>0.0</v>
      </c>
      <c r="M143" s="66">
        <v>0.0</v>
      </c>
      <c r="N143" s="66">
        <v>0.0</v>
      </c>
      <c r="O143" s="66">
        <v>0.0</v>
      </c>
      <c r="P143" s="66">
        <v>0.0</v>
      </c>
      <c r="Q143" s="66">
        <v>0.0</v>
      </c>
      <c r="R143" s="66">
        <v>0.0</v>
      </c>
      <c r="S143" s="66">
        <v>0.0</v>
      </c>
      <c r="T143" s="66">
        <v>0.0</v>
      </c>
      <c r="U143" s="66">
        <v>0.0</v>
      </c>
      <c r="V143" s="66">
        <v>0.0</v>
      </c>
      <c r="W143" s="66">
        <v>0.0</v>
      </c>
      <c r="X143" s="66">
        <v>0.0</v>
      </c>
      <c r="Y143" s="66">
        <v>0.0</v>
      </c>
      <c r="Z143" s="66">
        <v>0.0</v>
      </c>
      <c r="AA143" s="66">
        <v>0.0</v>
      </c>
      <c r="AB143" s="66">
        <v>0.0</v>
      </c>
      <c r="AC143" s="66">
        <v>0.0</v>
      </c>
      <c r="AD143" s="66">
        <v>0.0</v>
      </c>
      <c r="AF143" s="65">
        <v>5.0</v>
      </c>
      <c r="AG143" s="67">
        <v>0.0</v>
      </c>
      <c r="AH143" s="67">
        <v>0.0</v>
      </c>
      <c r="AI143" s="67">
        <v>0.0</v>
      </c>
      <c r="AJ143" s="67">
        <v>0.0</v>
      </c>
      <c r="AK143" s="67">
        <f>G$67</f>
        <v>0</v>
      </c>
      <c r="AL143" s="67">
        <v>0.0</v>
      </c>
      <c r="AM143" s="67">
        <v>0.0</v>
      </c>
      <c r="AN143" s="67">
        <v>0.0</v>
      </c>
      <c r="AO143" s="67">
        <v>0.0</v>
      </c>
      <c r="AP143" s="67">
        <v>0.0</v>
      </c>
      <c r="AQ143" s="67">
        <v>0.0</v>
      </c>
      <c r="AR143" s="67">
        <v>0.0</v>
      </c>
      <c r="AS143" s="67">
        <v>0.0</v>
      </c>
      <c r="AT143" s="67">
        <v>0.0</v>
      </c>
      <c r="AU143" s="67">
        <v>0.0</v>
      </c>
      <c r="AV143" s="67">
        <v>0.0</v>
      </c>
      <c r="AW143" s="67">
        <v>0.0</v>
      </c>
      <c r="AX143" s="67">
        <v>0.0</v>
      </c>
      <c r="AY143" s="67">
        <v>0.0</v>
      </c>
      <c r="AZ143" s="67">
        <v>0.0</v>
      </c>
      <c r="BA143" s="67">
        <v>0.0</v>
      </c>
      <c r="BB143" s="67">
        <v>0.0</v>
      </c>
      <c r="BC143" s="67">
        <v>0.0</v>
      </c>
      <c r="BD143" s="67">
        <v>0.0</v>
      </c>
      <c r="BE143" s="67">
        <v>0.0</v>
      </c>
      <c r="BF143" s="67">
        <v>0.0</v>
      </c>
      <c r="BG143" s="67">
        <v>0.0</v>
      </c>
      <c r="BH143" s="67">
        <v>0.0</v>
      </c>
    </row>
    <row r="144" ht="15.75" customHeight="1">
      <c r="B144" s="65">
        <v>6.0</v>
      </c>
      <c r="C144" s="66">
        <v>0.0</v>
      </c>
      <c r="D144" s="66">
        <v>0.0</v>
      </c>
      <c r="E144" s="66">
        <v>0.0</v>
      </c>
      <c r="F144" s="66">
        <v>0.0</v>
      </c>
      <c r="G144" s="66">
        <v>0.0</v>
      </c>
      <c r="H144" s="66">
        <v>1.0</v>
      </c>
      <c r="I144" s="66">
        <v>0.0</v>
      </c>
      <c r="J144" s="66">
        <v>0.0</v>
      </c>
      <c r="K144" s="66">
        <v>0.0</v>
      </c>
      <c r="L144" s="66">
        <v>0.0</v>
      </c>
      <c r="M144" s="66">
        <v>0.0</v>
      </c>
      <c r="N144" s="66">
        <v>0.0</v>
      </c>
      <c r="O144" s="66">
        <v>0.0</v>
      </c>
      <c r="P144" s="66">
        <v>0.0</v>
      </c>
      <c r="Q144" s="66">
        <v>0.0</v>
      </c>
      <c r="R144" s="66">
        <v>0.0</v>
      </c>
      <c r="S144" s="66">
        <v>0.0</v>
      </c>
      <c r="T144" s="66">
        <v>0.0</v>
      </c>
      <c r="U144" s="66">
        <v>0.0</v>
      </c>
      <c r="V144" s="66">
        <v>0.0</v>
      </c>
      <c r="W144" s="66">
        <v>0.0</v>
      </c>
      <c r="X144" s="66">
        <v>0.0</v>
      </c>
      <c r="Y144" s="66">
        <v>0.0</v>
      </c>
      <c r="Z144" s="66">
        <v>0.0</v>
      </c>
      <c r="AA144" s="66">
        <v>0.0</v>
      </c>
      <c r="AB144" s="66">
        <v>0.0</v>
      </c>
      <c r="AC144" s="66">
        <v>0.0</v>
      </c>
      <c r="AD144" s="66">
        <v>0.0</v>
      </c>
      <c r="AF144" s="65">
        <v>6.0</v>
      </c>
      <c r="AG144" s="67">
        <v>0.0</v>
      </c>
      <c r="AH144" s="67">
        <v>0.0</v>
      </c>
      <c r="AI144" s="67">
        <v>0.0</v>
      </c>
      <c r="AJ144" s="67">
        <v>0.0</v>
      </c>
      <c r="AK144" s="67">
        <v>0.0</v>
      </c>
      <c r="AL144" s="67">
        <f>H$67</f>
        <v>0</v>
      </c>
      <c r="AM144" s="67">
        <v>0.0</v>
      </c>
      <c r="AN144" s="67">
        <v>0.0</v>
      </c>
      <c r="AO144" s="67">
        <v>0.0</v>
      </c>
      <c r="AP144" s="67">
        <v>0.0</v>
      </c>
      <c r="AQ144" s="67">
        <v>0.0</v>
      </c>
      <c r="AR144" s="67">
        <v>0.0</v>
      </c>
      <c r="AS144" s="67">
        <v>0.0</v>
      </c>
      <c r="AT144" s="67">
        <v>0.0</v>
      </c>
      <c r="AU144" s="67">
        <v>0.0</v>
      </c>
      <c r="AV144" s="67">
        <v>0.0</v>
      </c>
      <c r="AW144" s="67">
        <v>0.0</v>
      </c>
      <c r="AX144" s="67">
        <v>0.0</v>
      </c>
      <c r="AY144" s="67">
        <v>0.0</v>
      </c>
      <c r="AZ144" s="67">
        <v>0.0</v>
      </c>
      <c r="BA144" s="67">
        <v>0.0</v>
      </c>
      <c r="BB144" s="67">
        <v>0.0</v>
      </c>
      <c r="BC144" s="67">
        <v>0.0</v>
      </c>
      <c r="BD144" s="67">
        <v>0.0</v>
      </c>
      <c r="BE144" s="67">
        <v>0.0</v>
      </c>
      <c r="BF144" s="67">
        <v>0.0</v>
      </c>
      <c r="BG144" s="67">
        <v>0.0</v>
      </c>
      <c r="BH144" s="67">
        <v>0.0</v>
      </c>
    </row>
    <row r="145" ht="15.75" customHeight="1">
      <c r="B145" s="65">
        <v>7.0</v>
      </c>
      <c r="C145" s="66">
        <v>0.0</v>
      </c>
      <c r="D145" s="66">
        <v>0.0</v>
      </c>
      <c r="E145" s="66">
        <v>0.0</v>
      </c>
      <c r="F145" s="66">
        <v>0.0</v>
      </c>
      <c r="G145" s="66">
        <v>0.0</v>
      </c>
      <c r="H145" s="66">
        <v>0.0</v>
      </c>
      <c r="I145" s="66">
        <v>1.0</v>
      </c>
      <c r="J145" s="66">
        <v>0.0</v>
      </c>
      <c r="K145" s="66">
        <v>0.0</v>
      </c>
      <c r="L145" s="66">
        <v>0.0</v>
      </c>
      <c r="M145" s="66">
        <v>0.0</v>
      </c>
      <c r="N145" s="66">
        <v>0.0</v>
      </c>
      <c r="O145" s="66">
        <v>0.0</v>
      </c>
      <c r="P145" s="66">
        <v>0.0</v>
      </c>
      <c r="Q145" s="66">
        <v>0.0</v>
      </c>
      <c r="R145" s="66">
        <v>0.0</v>
      </c>
      <c r="S145" s="66">
        <v>0.0</v>
      </c>
      <c r="T145" s="66">
        <v>0.0</v>
      </c>
      <c r="U145" s="66">
        <v>0.0</v>
      </c>
      <c r="V145" s="66">
        <v>0.0</v>
      </c>
      <c r="W145" s="66">
        <v>0.0</v>
      </c>
      <c r="X145" s="66">
        <v>0.0</v>
      </c>
      <c r="Y145" s="66">
        <v>0.0</v>
      </c>
      <c r="Z145" s="66">
        <v>0.0</v>
      </c>
      <c r="AA145" s="66">
        <v>0.0</v>
      </c>
      <c r="AB145" s="66">
        <v>0.0</v>
      </c>
      <c r="AC145" s="66">
        <v>0.0</v>
      </c>
      <c r="AD145" s="66">
        <v>0.0</v>
      </c>
      <c r="AF145" s="65">
        <v>7.0</v>
      </c>
      <c r="AG145" s="67">
        <v>0.0</v>
      </c>
      <c r="AH145" s="67">
        <v>0.0</v>
      </c>
      <c r="AI145" s="67">
        <v>0.0</v>
      </c>
      <c r="AJ145" s="67">
        <v>0.0</v>
      </c>
      <c r="AK145" s="67">
        <v>0.0</v>
      </c>
      <c r="AL145" s="67">
        <v>0.0</v>
      </c>
      <c r="AM145" s="67">
        <f>I$67</f>
        <v>0</v>
      </c>
      <c r="AN145" s="67">
        <v>0.0</v>
      </c>
      <c r="AO145" s="67">
        <v>0.0</v>
      </c>
      <c r="AP145" s="67">
        <v>0.0</v>
      </c>
      <c r="AQ145" s="67">
        <v>0.0</v>
      </c>
      <c r="AR145" s="67">
        <v>0.0</v>
      </c>
      <c r="AS145" s="67">
        <v>0.0</v>
      </c>
      <c r="AT145" s="67">
        <v>0.0</v>
      </c>
      <c r="AU145" s="67">
        <v>0.0</v>
      </c>
      <c r="AV145" s="67">
        <v>0.0</v>
      </c>
      <c r="AW145" s="67">
        <v>0.0</v>
      </c>
      <c r="AX145" s="67">
        <v>0.0</v>
      </c>
      <c r="AY145" s="67">
        <v>0.0</v>
      </c>
      <c r="AZ145" s="67">
        <v>0.0</v>
      </c>
      <c r="BA145" s="67">
        <v>0.0</v>
      </c>
      <c r="BB145" s="67">
        <v>0.0</v>
      </c>
      <c r="BC145" s="67">
        <v>0.0</v>
      </c>
      <c r="BD145" s="67">
        <v>0.0</v>
      </c>
      <c r="BE145" s="67">
        <v>0.0</v>
      </c>
      <c r="BF145" s="67">
        <v>0.0</v>
      </c>
      <c r="BG145" s="67">
        <v>0.0</v>
      </c>
      <c r="BH145" s="67">
        <v>0.0</v>
      </c>
    </row>
    <row r="146" ht="15.75" customHeight="1">
      <c r="B146" s="65">
        <v>8.0</v>
      </c>
      <c r="C146" s="66">
        <v>0.0</v>
      </c>
      <c r="D146" s="66">
        <v>0.0</v>
      </c>
      <c r="E146" s="66">
        <v>0.0</v>
      </c>
      <c r="F146" s="66">
        <v>0.0</v>
      </c>
      <c r="G146" s="66">
        <v>0.0</v>
      </c>
      <c r="H146" s="66">
        <v>0.0</v>
      </c>
      <c r="I146" s="66">
        <v>0.0</v>
      </c>
      <c r="J146" s="66">
        <v>1.0</v>
      </c>
      <c r="K146" s="66">
        <v>0.0</v>
      </c>
      <c r="L146" s="66">
        <v>0.0</v>
      </c>
      <c r="M146" s="66">
        <v>0.0</v>
      </c>
      <c r="N146" s="66">
        <v>0.0</v>
      </c>
      <c r="O146" s="66">
        <v>0.0</v>
      </c>
      <c r="P146" s="66">
        <v>0.0</v>
      </c>
      <c r="Q146" s="66">
        <v>0.0</v>
      </c>
      <c r="R146" s="66">
        <v>0.0</v>
      </c>
      <c r="S146" s="66">
        <v>0.0</v>
      </c>
      <c r="T146" s="66">
        <v>0.0</v>
      </c>
      <c r="U146" s="66">
        <v>0.0</v>
      </c>
      <c r="V146" s="66">
        <v>0.0</v>
      </c>
      <c r="W146" s="66">
        <v>0.0</v>
      </c>
      <c r="X146" s="66">
        <v>0.0</v>
      </c>
      <c r="Y146" s="66">
        <v>0.0</v>
      </c>
      <c r="Z146" s="66">
        <v>0.0</v>
      </c>
      <c r="AA146" s="66">
        <v>0.0</v>
      </c>
      <c r="AB146" s="66">
        <v>0.0</v>
      </c>
      <c r="AC146" s="66">
        <v>0.0</v>
      </c>
      <c r="AD146" s="66">
        <v>0.0</v>
      </c>
      <c r="AF146" s="65">
        <v>8.0</v>
      </c>
      <c r="AG146" s="67">
        <v>0.0</v>
      </c>
      <c r="AH146" s="67">
        <v>0.0</v>
      </c>
      <c r="AI146" s="67">
        <v>0.0</v>
      </c>
      <c r="AJ146" s="67">
        <v>0.0</v>
      </c>
      <c r="AK146" s="67">
        <v>0.0</v>
      </c>
      <c r="AL146" s="67">
        <v>0.0</v>
      </c>
      <c r="AM146" s="67">
        <v>0.0</v>
      </c>
      <c r="AN146" s="67">
        <f>J$67</f>
        <v>0</v>
      </c>
      <c r="AO146" s="67">
        <v>0.0</v>
      </c>
      <c r="AP146" s="67">
        <v>0.0</v>
      </c>
      <c r="AQ146" s="67">
        <v>0.0</v>
      </c>
      <c r="AR146" s="67">
        <v>0.0</v>
      </c>
      <c r="AS146" s="67">
        <v>0.0</v>
      </c>
      <c r="AT146" s="67">
        <v>0.0</v>
      </c>
      <c r="AU146" s="67">
        <v>0.0</v>
      </c>
      <c r="AV146" s="67">
        <v>0.0</v>
      </c>
      <c r="AW146" s="67">
        <v>0.0</v>
      </c>
      <c r="AX146" s="67">
        <v>0.0</v>
      </c>
      <c r="AY146" s="67">
        <v>0.0</v>
      </c>
      <c r="AZ146" s="67">
        <v>0.0</v>
      </c>
      <c r="BA146" s="67">
        <v>0.0</v>
      </c>
      <c r="BB146" s="67">
        <v>0.0</v>
      </c>
      <c r="BC146" s="67">
        <v>0.0</v>
      </c>
      <c r="BD146" s="67">
        <v>0.0</v>
      </c>
      <c r="BE146" s="67">
        <v>0.0</v>
      </c>
      <c r="BF146" s="67">
        <v>0.0</v>
      </c>
      <c r="BG146" s="67">
        <v>0.0</v>
      </c>
      <c r="BH146" s="67">
        <v>0.0</v>
      </c>
    </row>
    <row r="147" ht="15.75" customHeight="1">
      <c r="B147" s="65">
        <v>9.0</v>
      </c>
      <c r="C147" s="66">
        <v>0.0</v>
      </c>
      <c r="D147" s="66">
        <v>0.0</v>
      </c>
      <c r="E147" s="66">
        <v>0.0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1.0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0.0</v>
      </c>
      <c r="U147" s="66">
        <v>0.0</v>
      </c>
      <c r="V147" s="66">
        <v>0.0</v>
      </c>
      <c r="W147" s="66">
        <v>0.0</v>
      </c>
      <c r="X147" s="66">
        <v>0.0</v>
      </c>
      <c r="Y147" s="66">
        <v>0.0</v>
      </c>
      <c r="Z147" s="66">
        <v>0.0</v>
      </c>
      <c r="AA147" s="66">
        <v>0.0</v>
      </c>
      <c r="AB147" s="66">
        <v>0.0</v>
      </c>
      <c r="AC147" s="66">
        <v>0.0</v>
      </c>
      <c r="AD147" s="66">
        <v>0.0</v>
      </c>
      <c r="AF147" s="65">
        <v>9.0</v>
      </c>
      <c r="AG147" s="67">
        <v>0.0</v>
      </c>
      <c r="AH147" s="67">
        <v>0.0</v>
      </c>
      <c r="AI147" s="67">
        <v>0.0</v>
      </c>
      <c r="AJ147" s="67">
        <v>0.0</v>
      </c>
      <c r="AK147" s="67">
        <v>0.0</v>
      </c>
      <c r="AL147" s="67">
        <v>0.0</v>
      </c>
      <c r="AM147" s="67">
        <v>0.0</v>
      </c>
      <c r="AN147" s="67">
        <v>0.0</v>
      </c>
      <c r="AO147" s="67">
        <f>K$67</f>
        <v>0</v>
      </c>
      <c r="AP147" s="67">
        <v>0.0</v>
      </c>
      <c r="AQ147" s="67">
        <v>0.0</v>
      </c>
      <c r="AR147" s="67">
        <v>0.0</v>
      </c>
      <c r="AS147" s="67">
        <v>0.0</v>
      </c>
      <c r="AT147" s="67">
        <v>0.0</v>
      </c>
      <c r="AU147" s="67">
        <v>0.0</v>
      </c>
      <c r="AV147" s="67">
        <v>0.0</v>
      </c>
      <c r="AW147" s="67">
        <v>0.0</v>
      </c>
      <c r="AX147" s="67">
        <v>0.0</v>
      </c>
      <c r="AY147" s="67">
        <v>0.0</v>
      </c>
      <c r="AZ147" s="67">
        <v>0.0</v>
      </c>
      <c r="BA147" s="67">
        <v>0.0</v>
      </c>
      <c r="BB147" s="67">
        <v>0.0</v>
      </c>
      <c r="BC147" s="67">
        <v>0.0</v>
      </c>
      <c r="BD147" s="67">
        <v>0.0</v>
      </c>
      <c r="BE147" s="67">
        <v>0.0</v>
      </c>
      <c r="BF147" s="67">
        <v>0.0</v>
      </c>
      <c r="BG147" s="67">
        <v>0.0</v>
      </c>
      <c r="BH147" s="67">
        <v>0.0</v>
      </c>
    </row>
    <row r="148" ht="15.75" customHeight="1">
      <c r="B148" s="65">
        <v>10.0</v>
      </c>
      <c r="C148" s="66">
        <v>0.0</v>
      </c>
      <c r="D148" s="66">
        <v>0.0</v>
      </c>
      <c r="E148" s="66">
        <v>0.0</v>
      </c>
      <c r="F148" s="66">
        <v>0.0</v>
      </c>
      <c r="G148" s="66">
        <v>0.0</v>
      </c>
      <c r="H148" s="66">
        <v>0.0</v>
      </c>
      <c r="I148" s="66">
        <v>0.0</v>
      </c>
      <c r="J148" s="66">
        <v>0.0</v>
      </c>
      <c r="K148" s="66">
        <v>0.0</v>
      </c>
      <c r="L148" s="66">
        <v>1.0</v>
      </c>
      <c r="M148" s="66">
        <v>0.0</v>
      </c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66">
        <v>0.0</v>
      </c>
      <c r="U148" s="66">
        <v>0.0</v>
      </c>
      <c r="V148" s="66">
        <v>0.0</v>
      </c>
      <c r="W148" s="66">
        <v>0.0</v>
      </c>
      <c r="X148" s="66">
        <v>0.0</v>
      </c>
      <c r="Y148" s="66">
        <v>0.0</v>
      </c>
      <c r="Z148" s="66">
        <v>0.0</v>
      </c>
      <c r="AA148" s="66">
        <v>0.0</v>
      </c>
      <c r="AB148" s="66">
        <v>0.0</v>
      </c>
      <c r="AC148" s="66">
        <v>0.0</v>
      </c>
      <c r="AD148" s="66">
        <v>0.0</v>
      </c>
      <c r="AF148" s="65">
        <v>10.0</v>
      </c>
      <c r="AG148" s="67">
        <v>0.0</v>
      </c>
      <c r="AH148" s="67">
        <v>0.0</v>
      </c>
      <c r="AI148" s="67">
        <v>0.0</v>
      </c>
      <c r="AJ148" s="67">
        <v>0.0</v>
      </c>
      <c r="AK148" s="67">
        <v>0.0</v>
      </c>
      <c r="AL148" s="67">
        <v>0.0</v>
      </c>
      <c r="AM148" s="67">
        <v>0.0</v>
      </c>
      <c r="AN148" s="67">
        <v>0.0</v>
      </c>
      <c r="AO148" s="67">
        <v>0.0</v>
      </c>
      <c r="AP148" s="67">
        <f>L$67</f>
        <v>0</v>
      </c>
      <c r="AQ148" s="67">
        <v>0.0</v>
      </c>
      <c r="AR148" s="67">
        <v>0.0</v>
      </c>
      <c r="AS148" s="67">
        <v>0.0</v>
      </c>
      <c r="AT148" s="67">
        <v>0.0</v>
      </c>
      <c r="AU148" s="67">
        <v>0.0</v>
      </c>
      <c r="AV148" s="67">
        <v>0.0</v>
      </c>
      <c r="AW148" s="67">
        <v>0.0</v>
      </c>
      <c r="AX148" s="67">
        <v>0.0</v>
      </c>
      <c r="AY148" s="67">
        <v>0.0</v>
      </c>
      <c r="AZ148" s="67">
        <v>0.0</v>
      </c>
      <c r="BA148" s="67">
        <v>0.0</v>
      </c>
      <c r="BB148" s="67">
        <v>0.0</v>
      </c>
      <c r="BC148" s="67">
        <v>0.0</v>
      </c>
      <c r="BD148" s="67">
        <v>0.0</v>
      </c>
      <c r="BE148" s="67">
        <v>0.0</v>
      </c>
      <c r="BF148" s="67">
        <v>0.0</v>
      </c>
      <c r="BG148" s="67">
        <v>0.0</v>
      </c>
      <c r="BH148" s="67">
        <v>0.0</v>
      </c>
    </row>
    <row r="149" ht="15.75" customHeight="1">
      <c r="B149" s="65">
        <v>11.0</v>
      </c>
      <c r="C149" s="66">
        <v>0.0</v>
      </c>
      <c r="D149" s="66">
        <v>0.0</v>
      </c>
      <c r="E149" s="66">
        <v>0.0</v>
      </c>
      <c r="F149" s="66">
        <v>0.0</v>
      </c>
      <c r="G149" s="66">
        <v>0.0</v>
      </c>
      <c r="H149" s="66">
        <v>0.0</v>
      </c>
      <c r="I149" s="66">
        <v>0.0</v>
      </c>
      <c r="J149" s="66">
        <v>0.0</v>
      </c>
      <c r="K149" s="66">
        <v>0.0</v>
      </c>
      <c r="L149" s="66">
        <v>0.0</v>
      </c>
      <c r="M149" s="66">
        <v>1.0</v>
      </c>
      <c r="N149" s="66">
        <v>0.0</v>
      </c>
      <c r="O149" s="66">
        <v>0.0</v>
      </c>
      <c r="P149" s="66">
        <v>0.0</v>
      </c>
      <c r="Q149" s="66">
        <v>0.0</v>
      </c>
      <c r="R149" s="66">
        <v>0.0</v>
      </c>
      <c r="S149" s="66">
        <v>0.0</v>
      </c>
      <c r="T149" s="66">
        <v>0.0</v>
      </c>
      <c r="U149" s="66">
        <v>0.0</v>
      </c>
      <c r="V149" s="66">
        <v>0.0</v>
      </c>
      <c r="W149" s="66">
        <v>0.0</v>
      </c>
      <c r="X149" s="66">
        <v>0.0</v>
      </c>
      <c r="Y149" s="66">
        <v>0.0</v>
      </c>
      <c r="Z149" s="66">
        <v>0.0</v>
      </c>
      <c r="AA149" s="66">
        <v>0.0</v>
      </c>
      <c r="AB149" s="66">
        <v>0.0</v>
      </c>
      <c r="AC149" s="66">
        <v>0.0</v>
      </c>
      <c r="AD149" s="66">
        <v>0.0</v>
      </c>
      <c r="AF149" s="65">
        <v>11.0</v>
      </c>
      <c r="AG149" s="67">
        <v>0.0</v>
      </c>
      <c r="AH149" s="67">
        <v>0.0</v>
      </c>
      <c r="AI149" s="67">
        <v>0.0</v>
      </c>
      <c r="AJ149" s="67">
        <v>0.0</v>
      </c>
      <c r="AK149" s="67">
        <v>0.0</v>
      </c>
      <c r="AL149" s="67">
        <v>0.0</v>
      </c>
      <c r="AM149" s="67">
        <v>0.0</v>
      </c>
      <c r="AN149" s="67">
        <v>0.0</v>
      </c>
      <c r="AO149" s="67">
        <v>0.0</v>
      </c>
      <c r="AP149" s="67">
        <v>0.0</v>
      </c>
      <c r="AQ149" s="67">
        <f>M$67</f>
        <v>0</v>
      </c>
      <c r="AR149" s="67">
        <v>0.0</v>
      </c>
      <c r="AS149" s="67">
        <v>0.0</v>
      </c>
      <c r="AT149" s="67">
        <v>0.0</v>
      </c>
      <c r="AU149" s="67">
        <v>0.0</v>
      </c>
      <c r="AV149" s="67">
        <v>0.0</v>
      </c>
      <c r="AW149" s="67">
        <v>0.0</v>
      </c>
      <c r="AX149" s="67">
        <v>0.0</v>
      </c>
      <c r="AY149" s="67">
        <v>0.0</v>
      </c>
      <c r="AZ149" s="67">
        <v>0.0</v>
      </c>
      <c r="BA149" s="67">
        <v>0.0</v>
      </c>
      <c r="BB149" s="67">
        <v>0.0</v>
      </c>
      <c r="BC149" s="67">
        <v>0.0</v>
      </c>
      <c r="BD149" s="67">
        <v>0.0</v>
      </c>
      <c r="BE149" s="67">
        <v>0.0</v>
      </c>
      <c r="BF149" s="67">
        <v>0.0</v>
      </c>
      <c r="BG149" s="67">
        <v>0.0</v>
      </c>
      <c r="BH149" s="67">
        <v>0.0</v>
      </c>
    </row>
    <row r="150" ht="15.75" customHeight="1">
      <c r="B150" s="65">
        <v>12.0</v>
      </c>
      <c r="C150" s="66">
        <v>0.0</v>
      </c>
      <c r="D150" s="66">
        <v>0.0</v>
      </c>
      <c r="E150" s="66">
        <v>0.0</v>
      </c>
      <c r="F150" s="66">
        <v>0.0</v>
      </c>
      <c r="G150" s="66">
        <v>0.0</v>
      </c>
      <c r="H150" s="66">
        <v>0.0</v>
      </c>
      <c r="I150" s="66">
        <v>0.0</v>
      </c>
      <c r="J150" s="66">
        <v>0.0</v>
      </c>
      <c r="K150" s="66">
        <v>0.0</v>
      </c>
      <c r="L150" s="66">
        <v>0.0</v>
      </c>
      <c r="M150" s="66">
        <v>0.0</v>
      </c>
      <c r="N150" s="66">
        <v>1.0</v>
      </c>
      <c r="O150" s="66">
        <v>0.0</v>
      </c>
      <c r="P150" s="66">
        <v>0.0</v>
      </c>
      <c r="Q150" s="66">
        <v>0.0</v>
      </c>
      <c r="R150" s="66">
        <v>0.0</v>
      </c>
      <c r="S150" s="66">
        <v>0.0</v>
      </c>
      <c r="T150" s="66">
        <v>0.0</v>
      </c>
      <c r="U150" s="66">
        <v>0.0</v>
      </c>
      <c r="V150" s="66">
        <v>0.0</v>
      </c>
      <c r="W150" s="66">
        <v>0.0</v>
      </c>
      <c r="X150" s="66">
        <v>0.0</v>
      </c>
      <c r="Y150" s="66">
        <v>0.0</v>
      </c>
      <c r="Z150" s="66">
        <v>0.0</v>
      </c>
      <c r="AA150" s="66">
        <v>0.0</v>
      </c>
      <c r="AB150" s="66">
        <v>0.0</v>
      </c>
      <c r="AC150" s="66">
        <v>0.0</v>
      </c>
      <c r="AD150" s="66">
        <v>0.0</v>
      </c>
      <c r="AF150" s="65">
        <v>12.0</v>
      </c>
      <c r="AG150" s="67">
        <v>0.0</v>
      </c>
      <c r="AH150" s="67">
        <v>0.0</v>
      </c>
      <c r="AI150" s="67">
        <v>0.0</v>
      </c>
      <c r="AJ150" s="67">
        <v>0.0</v>
      </c>
      <c r="AK150" s="67">
        <v>0.0</v>
      </c>
      <c r="AL150" s="67">
        <v>0.0</v>
      </c>
      <c r="AM150" s="67">
        <v>0.0</v>
      </c>
      <c r="AN150" s="67">
        <v>0.0</v>
      </c>
      <c r="AO150" s="67">
        <v>0.0</v>
      </c>
      <c r="AP150" s="67">
        <v>0.0</v>
      </c>
      <c r="AQ150" s="67">
        <v>0.0</v>
      </c>
      <c r="AR150" s="67">
        <f>N$67</f>
        <v>0</v>
      </c>
      <c r="AS150" s="67">
        <v>0.0</v>
      </c>
      <c r="AT150" s="67">
        <v>0.0</v>
      </c>
      <c r="AU150" s="67">
        <v>0.0</v>
      </c>
      <c r="AV150" s="67">
        <v>0.0</v>
      </c>
      <c r="AW150" s="67">
        <v>0.0</v>
      </c>
      <c r="AX150" s="67">
        <v>0.0</v>
      </c>
      <c r="AY150" s="67">
        <v>0.0</v>
      </c>
      <c r="AZ150" s="67">
        <v>0.0</v>
      </c>
      <c r="BA150" s="67">
        <v>0.0</v>
      </c>
      <c r="BB150" s="67">
        <v>0.0</v>
      </c>
      <c r="BC150" s="67">
        <v>0.0</v>
      </c>
      <c r="BD150" s="67">
        <v>0.0</v>
      </c>
      <c r="BE150" s="67">
        <v>0.0</v>
      </c>
      <c r="BF150" s="67">
        <v>0.0</v>
      </c>
      <c r="BG150" s="67">
        <v>0.0</v>
      </c>
      <c r="BH150" s="67">
        <v>0.0</v>
      </c>
    </row>
    <row r="151" ht="15.75" customHeight="1">
      <c r="B151" s="65">
        <v>13.0</v>
      </c>
      <c r="C151" s="66">
        <v>0.0</v>
      </c>
      <c r="D151" s="66">
        <v>0.0</v>
      </c>
      <c r="E151" s="66">
        <v>0.0</v>
      </c>
      <c r="F151" s="66">
        <v>0.0</v>
      </c>
      <c r="G151" s="66">
        <v>0.0</v>
      </c>
      <c r="H151" s="66">
        <v>0.0</v>
      </c>
      <c r="I151" s="66">
        <v>0.0</v>
      </c>
      <c r="J151" s="66">
        <v>0.0</v>
      </c>
      <c r="K151" s="66">
        <v>0.0</v>
      </c>
      <c r="L151" s="66">
        <v>0.0</v>
      </c>
      <c r="M151" s="66">
        <v>0.0</v>
      </c>
      <c r="N151" s="66">
        <v>0.0</v>
      </c>
      <c r="O151" s="66">
        <v>1.0</v>
      </c>
      <c r="P151" s="66">
        <v>0.0</v>
      </c>
      <c r="Q151" s="66">
        <v>0.0</v>
      </c>
      <c r="R151" s="66">
        <v>0.0</v>
      </c>
      <c r="S151" s="66">
        <v>0.0</v>
      </c>
      <c r="T151" s="66">
        <v>0.0</v>
      </c>
      <c r="U151" s="66">
        <v>0.0</v>
      </c>
      <c r="V151" s="66">
        <v>0.0</v>
      </c>
      <c r="W151" s="66">
        <v>0.0</v>
      </c>
      <c r="X151" s="66">
        <v>0.0</v>
      </c>
      <c r="Y151" s="66">
        <v>0.0</v>
      </c>
      <c r="Z151" s="66">
        <v>0.0</v>
      </c>
      <c r="AA151" s="66">
        <v>0.0</v>
      </c>
      <c r="AB151" s="66">
        <v>0.0</v>
      </c>
      <c r="AC151" s="66">
        <v>0.0</v>
      </c>
      <c r="AD151" s="66">
        <v>0.0</v>
      </c>
      <c r="AF151" s="65">
        <v>13.0</v>
      </c>
      <c r="AG151" s="67">
        <v>0.0</v>
      </c>
      <c r="AH151" s="67">
        <v>0.0</v>
      </c>
      <c r="AI151" s="67">
        <v>0.0</v>
      </c>
      <c r="AJ151" s="67">
        <v>0.0</v>
      </c>
      <c r="AK151" s="67">
        <v>0.0</v>
      </c>
      <c r="AL151" s="67">
        <v>0.0</v>
      </c>
      <c r="AM151" s="67">
        <v>0.0</v>
      </c>
      <c r="AN151" s="67">
        <v>0.0</v>
      </c>
      <c r="AO151" s="67">
        <v>0.0</v>
      </c>
      <c r="AP151" s="67">
        <v>0.0</v>
      </c>
      <c r="AQ151" s="67">
        <v>0.0</v>
      </c>
      <c r="AR151" s="67">
        <v>0.0</v>
      </c>
      <c r="AS151" s="67">
        <f>O$67</f>
        <v>0</v>
      </c>
      <c r="AT151" s="67">
        <v>0.0</v>
      </c>
      <c r="AU151" s="67">
        <v>0.0</v>
      </c>
      <c r="AV151" s="67">
        <v>0.0</v>
      </c>
      <c r="AW151" s="67">
        <v>0.0</v>
      </c>
      <c r="AX151" s="67">
        <v>0.0</v>
      </c>
      <c r="AY151" s="67">
        <v>0.0</v>
      </c>
      <c r="AZ151" s="67">
        <v>0.0</v>
      </c>
      <c r="BA151" s="67">
        <v>0.0</v>
      </c>
      <c r="BB151" s="67">
        <v>0.0</v>
      </c>
      <c r="BC151" s="67">
        <v>0.0</v>
      </c>
      <c r="BD151" s="67">
        <v>0.0</v>
      </c>
      <c r="BE151" s="67">
        <v>0.0</v>
      </c>
      <c r="BF151" s="67">
        <v>0.0</v>
      </c>
      <c r="BG151" s="67">
        <v>0.0</v>
      </c>
      <c r="BH151" s="67">
        <v>0.0</v>
      </c>
    </row>
    <row r="152" ht="15.75" customHeight="1">
      <c r="B152" s="65">
        <v>14.0</v>
      </c>
      <c r="C152" s="66">
        <v>0.0</v>
      </c>
      <c r="D152" s="66">
        <v>0.0</v>
      </c>
      <c r="E152" s="66">
        <v>0.0</v>
      </c>
      <c r="F152" s="66">
        <v>0.0</v>
      </c>
      <c r="G152" s="66">
        <v>0.0</v>
      </c>
      <c r="H152" s="66">
        <v>0.0</v>
      </c>
      <c r="I152" s="66">
        <v>0.0</v>
      </c>
      <c r="J152" s="66">
        <v>0.0</v>
      </c>
      <c r="K152" s="66">
        <v>0.0</v>
      </c>
      <c r="L152" s="66">
        <v>0.0</v>
      </c>
      <c r="M152" s="66">
        <v>0.0</v>
      </c>
      <c r="N152" s="66">
        <v>0.0</v>
      </c>
      <c r="O152" s="66">
        <v>0.0</v>
      </c>
      <c r="P152" s="66">
        <v>1.0</v>
      </c>
      <c r="Q152" s="66">
        <v>0.0</v>
      </c>
      <c r="R152" s="66">
        <v>0.0</v>
      </c>
      <c r="S152" s="66">
        <v>0.0</v>
      </c>
      <c r="T152" s="66">
        <v>0.0</v>
      </c>
      <c r="U152" s="66">
        <v>0.0</v>
      </c>
      <c r="V152" s="66">
        <v>0.0</v>
      </c>
      <c r="W152" s="66">
        <v>0.0</v>
      </c>
      <c r="X152" s="66">
        <v>0.0</v>
      </c>
      <c r="Y152" s="66">
        <v>0.0</v>
      </c>
      <c r="Z152" s="66">
        <v>0.0</v>
      </c>
      <c r="AA152" s="66">
        <v>0.0</v>
      </c>
      <c r="AB152" s="66">
        <v>0.0</v>
      </c>
      <c r="AC152" s="66">
        <v>0.0</v>
      </c>
      <c r="AD152" s="66">
        <v>0.0</v>
      </c>
      <c r="AF152" s="65">
        <v>14.0</v>
      </c>
      <c r="AG152" s="67">
        <v>0.0</v>
      </c>
      <c r="AH152" s="67">
        <v>0.0</v>
      </c>
      <c r="AI152" s="67">
        <v>0.0</v>
      </c>
      <c r="AJ152" s="67">
        <v>0.0</v>
      </c>
      <c r="AK152" s="67">
        <v>0.0</v>
      </c>
      <c r="AL152" s="67">
        <v>0.0</v>
      </c>
      <c r="AM152" s="67">
        <v>0.0</v>
      </c>
      <c r="AN152" s="67">
        <v>0.0</v>
      </c>
      <c r="AO152" s="67">
        <v>0.0</v>
      </c>
      <c r="AP152" s="67">
        <v>0.0</v>
      </c>
      <c r="AQ152" s="67">
        <v>0.0</v>
      </c>
      <c r="AR152" s="67">
        <v>0.0</v>
      </c>
      <c r="AS152" s="67">
        <v>0.0</v>
      </c>
      <c r="AT152" s="67">
        <f>P$67</f>
        <v>0</v>
      </c>
      <c r="AU152" s="67">
        <v>0.0</v>
      </c>
      <c r="AV152" s="67">
        <v>0.0</v>
      </c>
      <c r="AW152" s="67">
        <v>0.0</v>
      </c>
      <c r="AX152" s="67">
        <v>0.0</v>
      </c>
      <c r="AY152" s="67">
        <v>0.0</v>
      </c>
      <c r="AZ152" s="67">
        <v>0.0</v>
      </c>
      <c r="BA152" s="67">
        <v>0.0</v>
      </c>
      <c r="BB152" s="67">
        <v>0.0</v>
      </c>
      <c r="BC152" s="67">
        <v>0.0</v>
      </c>
      <c r="BD152" s="67">
        <v>0.0</v>
      </c>
      <c r="BE152" s="67">
        <v>0.0</v>
      </c>
      <c r="BF152" s="67">
        <v>0.0</v>
      </c>
      <c r="BG152" s="67">
        <v>0.0</v>
      </c>
      <c r="BH152" s="67">
        <v>0.0</v>
      </c>
    </row>
    <row r="153" ht="15.75" customHeight="1">
      <c r="B153" s="65">
        <v>15.0</v>
      </c>
      <c r="C153" s="66">
        <v>0.0</v>
      </c>
      <c r="D153" s="66">
        <v>0.0</v>
      </c>
      <c r="E153" s="66">
        <v>0.0</v>
      </c>
      <c r="F153" s="66">
        <v>0.0</v>
      </c>
      <c r="G153" s="66">
        <v>0.0</v>
      </c>
      <c r="H153" s="66">
        <v>0.0</v>
      </c>
      <c r="I153" s="66">
        <v>0.0</v>
      </c>
      <c r="J153" s="66">
        <v>0.0</v>
      </c>
      <c r="K153" s="66">
        <v>0.0</v>
      </c>
      <c r="L153" s="66">
        <v>0.0</v>
      </c>
      <c r="M153" s="66">
        <v>0.0</v>
      </c>
      <c r="N153" s="66">
        <v>0.0</v>
      </c>
      <c r="O153" s="66">
        <v>0.0</v>
      </c>
      <c r="P153" s="66">
        <v>0.0</v>
      </c>
      <c r="Q153" s="66">
        <v>1.0</v>
      </c>
      <c r="R153" s="66">
        <v>0.0</v>
      </c>
      <c r="S153" s="66">
        <v>0.0</v>
      </c>
      <c r="T153" s="66">
        <v>0.0</v>
      </c>
      <c r="U153" s="66">
        <v>0.0</v>
      </c>
      <c r="V153" s="66">
        <v>0.0</v>
      </c>
      <c r="W153" s="66">
        <v>0.0</v>
      </c>
      <c r="X153" s="66">
        <v>0.0</v>
      </c>
      <c r="Y153" s="66">
        <v>0.0</v>
      </c>
      <c r="Z153" s="66">
        <v>0.0</v>
      </c>
      <c r="AA153" s="66">
        <v>0.0</v>
      </c>
      <c r="AB153" s="66">
        <v>0.0</v>
      </c>
      <c r="AC153" s="66">
        <v>0.0</v>
      </c>
      <c r="AD153" s="66">
        <v>0.0</v>
      </c>
      <c r="AF153" s="65">
        <v>15.0</v>
      </c>
      <c r="AG153" s="67">
        <v>0.0</v>
      </c>
      <c r="AH153" s="67">
        <v>0.0</v>
      </c>
      <c r="AI153" s="67">
        <v>0.0</v>
      </c>
      <c r="AJ153" s="67">
        <v>0.0</v>
      </c>
      <c r="AK153" s="67">
        <v>0.0</v>
      </c>
      <c r="AL153" s="67">
        <v>0.0</v>
      </c>
      <c r="AM153" s="67">
        <v>0.0</v>
      </c>
      <c r="AN153" s="67">
        <v>0.0</v>
      </c>
      <c r="AO153" s="67">
        <v>0.0</v>
      </c>
      <c r="AP153" s="67">
        <v>0.0</v>
      </c>
      <c r="AQ153" s="67">
        <v>0.0</v>
      </c>
      <c r="AR153" s="67">
        <v>0.0</v>
      </c>
      <c r="AS153" s="67">
        <v>0.0</v>
      </c>
      <c r="AT153" s="67">
        <v>0.0</v>
      </c>
      <c r="AU153" s="67">
        <f>Q$67</f>
        <v>0</v>
      </c>
      <c r="AV153" s="67">
        <v>0.0</v>
      </c>
      <c r="AW153" s="67">
        <v>0.0</v>
      </c>
      <c r="AX153" s="67">
        <v>0.0</v>
      </c>
      <c r="AY153" s="67">
        <v>0.0</v>
      </c>
      <c r="AZ153" s="67">
        <v>0.0</v>
      </c>
      <c r="BA153" s="67">
        <v>0.0</v>
      </c>
      <c r="BB153" s="67">
        <v>0.0</v>
      </c>
      <c r="BC153" s="67">
        <v>0.0</v>
      </c>
      <c r="BD153" s="67">
        <v>0.0</v>
      </c>
      <c r="BE153" s="67">
        <v>0.0</v>
      </c>
      <c r="BF153" s="67">
        <v>0.0</v>
      </c>
      <c r="BG153" s="67">
        <v>0.0</v>
      </c>
      <c r="BH153" s="67">
        <v>0.0</v>
      </c>
    </row>
    <row r="154" ht="15.75" customHeight="1">
      <c r="B154" s="65">
        <v>16.0</v>
      </c>
      <c r="C154" s="66">
        <v>0.0</v>
      </c>
      <c r="D154" s="66">
        <v>0.0</v>
      </c>
      <c r="E154" s="66">
        <v>0.0</v>
      </c>
      <c r="F154" s="66">
        <v>0.0</v>
      </c>
      <c r="G154" s="66">
        <v>0.0</v>
      </c>
      <c r="H154" s="66">
        <v>0.0</v>
      </c>
      <c r="I154" s="66">
        <v>0.0</v>
      </c>
      <c r="J154" s="66">
        <v>0.0</v>
      </c>
      <c r="K154" s="66">
        <v>0.0</v>
      </c>
      <c r="L154" s="66">
        <v>0.0</v>
      </c>
      <c r="M154" s="66">
        <v>0.0</v>
      </c>
      <c r="N154" s="66">
        <v>0.0</v>
      </c>
      <c r="O154" s="66">
        <v>0.0</v>
      </c>
      <c r="P154" s="66">
        <v>0.0</v>
      </c>
      <c r="Q154" s="66">
        <v>0.0</v>
      </c>
      <c r="R154" s="66">
        <v>1.0</v>
      </c>
      <c r="S154" s="66">
        <v>0.0</v>
      </c>
      <c r="T154" s="66">
        <v>0.0</v>
      </c>
      <c r="U154" s="66">
        <v>0.0</v>
      </c>
      <c r="V154" s="66">
        <v>0.0</v>
      </c>
      <c r="W154" s="66">
        <v>0.0</v>
      </c>
      <c r="X154" s="66">
        <v>0.0</v>
      </c>
      <c r="Y154" s="66">
        <v>0.0</v>
      </c>
      <c r="Z154" s="66">
        <v>0.0</v>
      </c>
      <c r="AA154" s="66">
        <v>0.0</v>
      </c>
      <c r="AB154" s="66">
        <v>0.0</v>
      </c>
      <c r="AC154" s="66">
        <v>0.0</v>
      </c>
      <c r="AD154" s="66">
        <v>0.0</v>
      </c>
      <c r="AF154" s="65">
        <v>16.0</v>
      </c>
      <c r="AG154" s="67">
        <v>0.0</v>
      </c>
      <c r="AH154" s="67">
        <v>0.0</v>
      </c>
      <c r="AI154" s="67">
        <v>0.0</v>
      </c>
      <c r="AJ154" s="67">
        <v>0.0</v>
      </c>
      <c r="AK154" s="67">
        <v>0.0</v>
      </c>
      <c r="AL154" s="67">
        <v>0.0</v>
      </c>
      <c r="AM154" s="67">
        <v>0.0</v>
      </c>
      <c r="AN154" s="67">
        <v>0.0</v>
      </c>
      <c r="AO154" s="67">
        <v>0.0</v>
      </c>
      <c r="AP154" s="67">
        <v>0.0</v>
      </c>
      <c r="AQ154" s="67">
        <v>0.0</v>
      </c>
      <c r="AR154" s="67">
        <v>0.0</v>
      </c>
      <c r="AS154" s="67">
        <v>0.0</v>
      </c>
      <c r="AT154" s="67">
        <v>0.0</v>
      </c>
      <c r="AU154" s="67">
        <v>0.0</v>
      </c>
      <c r="AV154" s="67">
        <f>R$67</f>
        <v>0</v>
      </c>
      <c r="AW154" s="67">
        <v>0.0</v>
      </c>
      <c r="AX154" s="67">
        <v>0.0</v>
      </c>
      <c r="AY154" s="67">
        <v>0.0</v>
      </c>
      <c r="AZ154" s="67">
        <v>0.0</v>
      </c>
      <c r="BA154" s="67">
        <v>0.0</v>
      </c>
      <c r="BB154" s="67">
        <v>0.0</v>
      </c>
      <c r="BC154" s="67">
        <v>0.0</v>
      </c>
      <c r="BD154" s="67">
        <v>0.0</v>
      </c>
      <c r="BE154" s="67">
        <v>0.0</v>
      </c>
      <c r="BF154" s="67">
        <v>0.0</v>
      </c>
      <c r="BG154" s="67">
        <v>0.0</v>
      </c>
      <c r="BH154" s="67">
        <v>0.0</v>
      </c>
    </row>
    <row r="155" ht="15.75" customHeight="1">
      <c r="B155" s="65">
        <v>17.0</v>
      </c>
      <c r="C155" s="66">
        <v>0.0</v>
      </c>
      <c r="D155" s="66">
        <v>0.0</v>
      </c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66">
        <v>0.0</v>
      </c>
      <c r="O155" s="66">
        <v>0.0</v>
      </c>
      <c r="P155" s="66">
        <v>0.0</v>
      </c>
      <c r="Q155" s="66">
        <v>0.0</v>
      </c>
      <c r="R155" s="66">
        <v>0.0</v>
      </c>
      <c r="S155" s="66">
        <v>1.0</v>
      </c>
      <c r="T155" s="66">
        <v>0.0</v>
      </c>
      <c r="U155" s="66">
        <v>0.0</v>
      </c>
      <c r="V155" s="66">
        <v>0.0</v>
      </c>
      <c r="W155" s="66">
        <v>0.0</v>
      </c>
      <c r="X155" s="66">
        <v>0.0</v>
      </c>
      <c r="Y155" s="66">
        <v>0.0</v>
      </c>
      <c r="Z155" s="66">
        <v>0.0</v>
      </c>
      <c r="AA155" s="66">
        <v>0.0</v>
      </c>
      <c r="AB155" s="66">
        <v>0.0</v>
      </c>
      <c r="AC155" s="66">
        <v>0.0</v>
      </c>
      <c r="AD155" s="66">
        <v>0.0</v>
      </c>
      <c r="AF155" s="65">
        <v>17.0</v>
      </c>
      <c r="AG155" s="67">
        <v>0.0</v>
      </c>
      <c r="AH155" s="67">
        <v>0.0</v>
      </c>
      <c r="AI155" s="67">
        <v>0.0</v>
      </c>
      <c r="AJ155" s="67">
        <v>0.0</v>
      </c>
      <c r="AK155" s="67">
        <v>0.0</v>
      </c>
      <c r="AL155" s="67">
        <v>0.0</v>
      </c>
      <c r="AM155" s="67">
        <v>0.0</v>
      </c>
      <c r="AN155" s="67">
        <v>0.0</v>
      </c>
      <c r="AO155" s="67">
        <v>0.0</v>
      </c>
      <c r="AP155" s="67">
        <v>0.0</v>
      </c>
      <c r="AQ155" s="67">
        <v>0.0</v>
      </c>
      <c r="AR155" s="67">
        <v>0.0</v>
      </c>
      <c r="AS155" s="67">
        <v>0.0</v>
      </c>
      <c r="AT155" s="67">
        <v>0.0</v>
      </c>
      <c r="AU155" s="67">
        <v>0.0</v>
      </c>
      <c r="AV155" s="67">
        <v>0.0</v>
      </c>
      <c r="AW155" s="67">
        <f>S$67</f>
        <v>6.597752347</v>
      </c>
      <c r="AX155" s="67">
        <v>0.0</v>
      </c>
      <c r="AY155" s="67">
        <v>0.0</v>
      </c>
      <c r="AZ155" s="67">
        <v>0.0</v>
      </c>
      <c r="BA155" s="67">
        <v>0.0</v>
      </c>
      <c r="BB155" s="67">
        <v>0.0</v>
      </c>
      <c r="BC155" s="67">
        <v>0.0</v>
      </c>
      <c r="BD155" s="67">
        <v>0.0</v>
      </c>
      <c r="BE155" s="67">
        <v>0.0</v>
      </c>
      <c r="BF155" s="67">
        <v>0.0</v>
      </c>
      <c r="BG155" s="67">
        <v>0.0</v>
      </c>
      <c r="BH155" s="67">
        <v>0.0</v>
      </c>
    </row>
    <row r="156" ht="15.75" customHeight="1">
      <c r="B156" s="65">
        <v>18.0</v>
      </c>
      <c r="C156" s="66">
        <v>0.0</v>
      </c>
      <c r="D156" s="66">
        <v>0.0</v>
      </c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6">
        <v>0.0</v>
      </c>
      <c r="P156" s="66">
        <v>0.0</v>
      </c>
      <c r="Q156" s="66">
        <v>0.0</v>
      </c>
      <c r="R156" s="66">
        <v>0.0</v>
      </c>
      <c r="S156" s="66">
        <v>0.0</v>
      </c>
      <c r="T156" s="66">
        <v>1.0</v>
      </c>
      <c r="U156" s="66">
        <v>0.0</v>
      </c>
      <c r="V156" s="66">
        <v>0.0</v>
      </c>
      <c r="W156" s="66">
        <v>0.0</v>
      </c>
      <c r="X156" s="66">
        <v>0.0</v>
      </c>
      <c r="Y156" s="66">
        <v>0.0</v>
      </c>
      <c r="Z156" s="66">
        <v>0.0</v>
      </c>
      <c r="AA156" s="66">
        <v>0.0</v>
      </c>
      <c r="AB156" s="66">
        <v>0.0</v>
      </c>
      <c r="AC156" s="66">
        <v>0.0</v>
      </c>
      <c r="AD156" s="66">
        <v>0.0</v>
      </c>
      <c r="AF156" s="65">
        <v>18.0</v>
      </c>
      <c r="AG156" s="67">
        <v>0.0</v>
      </c>
      <c r="AH156" s="67">
        <v>0.0</v>
      </c>
      <c r="AI156" s="67">
        <v>0.0</v>
      </c>
      <c r="AJ156" s="67">
        <v>0.0</v>
      </c>
      <c r="AK156" s="67">
        <v>0.0</v>
      </c>
      <c r="AL156" s="67">
        <v>0.0</v>
      </c>
      <c r="AM156" s="67">
        <v>0.0</v>
      </c>
      <c r="AN156" s="67">
        <v>0.0</v>
      </c>
      <c r="AO156" s="67">
        <v>0.0</v>
      </c>
      <c r="AP156" s="67">
        <v>0.0</v>
      </c>
      <c r="AQ156" s="67">
        <v>0.0</v>
      </c>
      <c r="AR156" s="67">
        <v>0.0</v>
      </c>
      <c r="AS156" s="67">
        <v>0.0</v>
      </c>
      <c r="AT156" s="67">
        <v>0.0</v>
      </c>
      <c r="AU156" s="67">
        <v>0.0</v>
      </c>
      <c r="AV156" s="67">
        <v>0.0</v>
      </c>
      <c r="AW156" s="67">
        <v>0.0</v>
      </c>
      <c r="AX156" s="67">
        <f>T$67</f>
        <v>0</v>
      </c>
      <c r="AY156" s="67">
        <v>0.0</v>
      </c>
      <c r="AZ156" s="67">
        <v>0.0</v>
      </c>
      <c r="BA156" s="67">
        <v>0.0</v>
      </c>
      <c r="BB156" s="67">
        <v>0.0</v>
      </c>
      <c r="BC156" s="67">
        <v>0.0</v>
      </c>
      <c r="BD156" s="67">
        <v>0.0</v>
      </c>
      <c r="BE156" s="67">
        <v>0.0</v>
      </c>
      <c r="BF156" s="67">
        <v>0.0</v>
      </c>
      <c r="BG156" s="67">
        <v>0.0</v>
      </c>
      <c r="BH156" s="67">
        <v>0.0</v>
      </c>
    </row>
    <row r="157" ht="15.75" customHeight="1">
      <c r="B157" s="65">
        <v>19.0</v>
      </c>
      <c r="C157" s="66">
        <v>0.0</v>
      </c>
      <c r="D157" s="66">
        <v>0.0</v>
      </c>
      <c r="E157" s="66">
        <v>0.0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6">
        <v>0.0</v>
      </c>
      <c r="T157" s="66">
        <v>0.0</v>
      </c>
      <c r="U157" s="66">
        <v>1.0</v>
      </c>
      <c r="V157" s="66">
        <v>0.0</v>
      </c>
      <c r="W157" s="66">
        <v>0.0</v>
      </c>
      <c r="X157" s="66">
        <v>0.0</v>
      </c>
      <c r="Y157" s="66">
        <v>0.0</v>
      </c>
      <c r="Z157" s="66">
        <v>0.0</v>
      </c>
      <c r="AA157" s="66">
        <v>0.0</v>
      </c>
      <c r="AB157" s="66">
        <v>0.0</v>
      </c>
      <c r="AC157" s="66">
        <v>0.0</v>
      </c>
      <c r="AD157" s="66">
        <v>0.0</v>
      </c>
      <c r="AF157" s="65">
        <v>19.0</v>
      </c>
      <c r="AG157" s="67">
        <v>0.0</v>
      </c>
      <c r="AH157" s="67">
        <v>0.0</v>
      </c>
      <c r="AI157" s="67">
        <v>0.0</v>
      </c>
      <c r="AJ157" s="67">
        <v>0.0</v>
      </c>
      <c r="AK157" s="67">
        <v>0.0</v>
      </c>
      <c r="AL157" s="67">
        <v>0.0</v>
      </c>
      <c r="AM157" s="67">
        <v>0.0</v>
      </c>
      <c r="AN157" s="67">
        <v>0.0</v>
      </c>
      <c r="AO157" s="67">
        <v>0.0</v>
      </c>
      <c r="AP157" s="67">
        <v>0.0</v>
      </c>
      <c r="AQ157" s="67">
        <v>0.0</v>
      </c>
      <c r="AR157" s="67">
        <v>0.0</v>
      </c>
      <c r="AS157" s="67">
        <v>0.0</v>
      </c>
      <c r="AT157" s="67">
        <v>0.0</v>
      </c>
      <c r="AU157" s="67">
        <v>0.0</v>
      </c>
      <c r="AV157" s="67">
        <v>0.0</v>
      </c>
      <c r="AW157" s="67">
        <v>0.0</v>
      </c>
      <c r="AX157" s="67">
        <v>0.0</v>
      </c>
      <c r="AY157" s="67">
        <f>U$67</f>
        <v>0</v>
      </c>
      <c r="AZ157" s="67">
        <v>0.0</v>
      </c>
      <c r="BA157" s="67">
        <v>0.0</v>
      </c>
      <c r="BB157" s="67">
        <v>0.0</v>
      </c>
      <c r="BC157" s="67">
        <v>0.0</v>
      </c>
      <c r="BD157" s="67">
        <v>0.0</v>
      </c>
      <c r="BE157" s="67">
        <v>0.0</v>
      </c>
      <c r="BF157" s="67">
        <v>0.0</v>
      </c>
      <c r="BG157" s="67">
        <v>0.0</v>
      </c>
      <c r="BH157" s="67">
        <v>0.0</v>
      </c>
    </row>
    <row r="158" ht="15.75" customHeight="1">
      <c r="B158" s="65">
        <v>20.0</v>
      </c>
      <c r="C158" s="66">
        <v>0.0</v>
      </c>
      <c r="D158" s="66">
        <v>0.0</v>
      </c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6">
        <v>0.0</v>
      </c>
      <c r="P158" s="66">
        <v>0.0</v>
      </c>
      <c r="Q158" s="66">
        <v>0.0</v>
      </c>
      <c r="R158" s="66">
        <v>0.0</v>
      </c>
      <c r="S158" s="66">
        <v>0.0</v>
      </c>
      <c r="T158" s="66">
        <v>0.0</v>
      </c>
      <c r="U158" s="66">
        <v>0.0</v>
      </c>
      <c r="V158" s="66">
        <v>1.0</v>
      </c>
      <c r="W158" s="66">
        <v>0.0</v>
      </c>
      <c r="X158" s="66">
        <v>0.0</v>
      </c>
      <c r="Y158" s="66">
        <v>0.0</v>
      </c>
      <c r="Z158" s="66">
        <v>0.0</v>
      </c>
      <c r="AA158" s="66">
        <v>0.0</v>
      </c>
      <c r="AB158" s="66">
        <v>0.0</v>
      </c>
      <c r="AC158" s="66">
        <v>0.0</v>
      </c>
      <c r="AD158" s="66">
        <v>0.0</v>
      </c>
      <c r="AF158" s="65">
        <v>20.0</v>
      </c>
      <c r="AG158" s="67">
        <v>0.0</v>
      </c>
      <c r="AH158" s="67">
        <v>0.0</v>
      </c>
      <c r="AI158" s="67">
        <v>0.0</v>
      </c>
      <c r="AJ158" s="67">
        <v>0.0</v>
      </c>
      <c r="AK158" s="67">
        <v>0.0</v>
      </c>
      <c r="AL158" s="67">
        <v>0.0</v>
      </c>
      <c r="AM158" s="67">
        <v>0.0</v>
      </c>
      <c r="AN158" s="67">
        <v>0.0</v>
      </c>
      <c r="AO158" s="67">
        <v>0.0</v>
      </c>
      <c r="AP158" s="67">
        <v>0.0</v>
      </c>
      <c r="AQ158" s="67">
        <v>0.0</v>
      </c>
      <c r="AR158" s="67">
        <v>0.0</v>
      </c>
      <c r="AS158" s="67">
        <v>0.0</v>
      </c>
      <c r="AT158" s="67">
        <v>0.0</v>
      </c>
      <c r="AU158" s="67">
        <v>0.0</v>
      </c>
      <c r="AV158" s="67">
        <v>0.0</v>
      </c>
      <c r="AW158" s="67">
        <v>0.0</v>
      </c>
      <c r="AX158" s="67">
        <v>0.0</v>
      </c>
      <c r="AY158" s="67">
        <v>0.0</v>
      </c>
      <c r="AZ158" s="67">
        <f>V$67</f>
        <v>0</v>
      </c>
      <c r="BA158" s="67">
        <v>0.0</v>
      </c>
      <c r="BB158" s="67">
        <v>0.0</v>
      </c>
      <c r="BC158" s="67">
        <v>0.0</v>
      </c>
      <c r="BD158" s="67">
        <v>0.0</v>
      </c>
      <c r="BE158" s="67">
        <v>0.0</v>
      </c>
      <c r="BF158" s="67">
        <v>0.0</v>
      </c>
      <c r="BG158" s="67">
        <v>0.0</v>
      </c>
      <c r="BH158" s="67">
        <v>0.0</v>
      </c>
    </row>
    <row r="159" ht="15.75" customHeight="1">
      <c r="B159" s="65">
        <v>21.0</v>
      </c>
      <c r="C159" s="66">
        <v>0.0</v>
      </c>
      <c r="D159" s="66">
        <v>0.0</v>
      </c>
      <c r="E159" s="66">
        <v>0.0</v>
      </c>
      <c r="F159" s="66">
        <v>0.0</v>
      </c>
      <c r="G159" s="66">
        <v>0.0</v>
      </c>
      <c r="H159" s="66">
        <v>0.0</v>
      </c>
      <c r="I159" s="66">
        <v>0.0</v>
      </c>
      <c r="J159" s="66">
        <v>0.0</v>
      </c>
      <c r="K159" s="66">
        <v>0.0</v>
      </c>
      <c r="L159" s="66">
        <v>0.0</v>
      </c>
      <c r="M159" s="66">
        <v>0.0</v>
      </c>
      <c r="N159" s="66">
        <v>0.0</v>
      </c>
      <c r="O159" s="66">
        <v>0.0</v>
      </c>
      <c r="P159" s="66">
        <v>0.0</v>
      </c>
      <c r="Q159" s="66">
        <v>0.0</v>
      </c>
      <c r="R159" s="66">
        <v>0.0</v>
      </c>
      <c r="S159" s="66">
        <v>0.0</v>
      </c>
      <c r="T159" s="66">
        <v>0.0</v>
      </c>
      <c r="U159" s="66">
        <v>0.0</v>
      </c>
      <c r="V159" s="66">
        <v>0.0</v>
      </c>
      <c r="W159" s="66">
        <v>1.0</v>
      </c>
      <c r="X159" s="66">
        <v>0.0</v>
      </c>
      <c r="Y159" s="66">
        <v>0.0</v>
      </c>
      <c r="Z159" s="66">
        <v>0.0</v>
      </c>
      <c r="AA159" s="66">
        <v>0.0</v>
      </c>
      <c r="AB159" s="66">
        <v>0.0</v>
      </c>
      <c r="AC159" s="66">
        <v>0.0</v>
      </c>
      <c r="AD159" s="66">
        <v>0.0</v>
      </c>
      <c r="AF159" s="65">
        <v>21.0</v>
      </c>
      <c r="AG159" s="67">
        <v>0.0</v>
      </c>
      <c r="AH159" s="67">
        <v>0.0</v>
      </c>
      <c r="AI159" s="67">
        <v>0.0</v>
      </c>
      <c r="AJ159" s="67">
        <v>0.0</v>
      </c>
      <c r="AK159" s="67">
        <v>0.0</v>
      </c>
      <c r="AL159" s="67">
        <v>0.0</v>
      </c>
      <c r="AM159" s="67">
        <v>0.0</v>
      </c>
      <c r="AN159" s="67">
        <v>0.0</v>
      </c>
      <c r="AO159" s="67">
        <v>0.0</v>
      </c>
      <c r="AP159" s="67">
        <v>0.0</v>
      </c>
      <c r="AQ159" s="67">
        <v>0.0</v>
      </c>
      <c r="AR159" s="67">
        <v>0.0</v>
      </c>
      <c r="AS159" s="67">
        <v>0.0</v>
      </c>
      <c r="AT159" s="67">
        <v>0.0</v>
      </c>
      <c r="AU159" s="67">
        <v>0.0</v>
      </c>
      <c r="AV159" s="67">
        <v>0.0</v>
      </c>
      <c r="AW159" s="67">
        <v>0.0</v>
      </c>
      <c r="AX159" s="67">
        <v>0.0</v>
      </c>
      <c r="AY159" s="67">
        <v>0.0</v>
      </c>
      <c r="AZ159" s="67">
        <v>0.0</v>
      </c>
      <c r="BA159" s="67">
        <f>W$67</f>
        <v>0</v>
      </c>
      <c r="BB159" s="67">
        <v>0.0</v>
      </c>
      <c r="BC159" s="67">
        <v>0.0</v>
      </c>
      <c r="BD159" s="67">
        <v>0.0</v>
      </c>
      <c r="BE159" s="67">
        <v>0.0</v>
      </c>
      <c r="BF159" s="67">
        <v>0.0</v>
      </c>
      <c r="BG159" s="67">
        <v>0.0</v>
      </c>
      <c r="BH159" s="67">
        <v>0.0</v>
      </c>
    </row>
    <row r="160" ht="15.75" customHeight="1">
      <c r="B160" s="65">
        <v>22.0</v>
      </c>
      <c r="C160" s="66">
        <v>0.0</v>
      </c>
      <c r="D160" s="66">
        <v>0.0</v>
      </c>
      <c r="E160" s="66">
        <v>0.0</v>
      </c>
      <c r="F160" s="66">
        <v>0.0</v>
      </c>
      <c r="G160" s="66">
        <v>0.0</v>
      </c>
      <c r="H160" s="66">
        <v>0.0</v>
      </c>
      <c r="I160" s="66">
        <v>0.0</v>
      </c>
      <c r="J160" s="66">
        <v>0.0</v>
      </c>
      <c r="K160" s="66">
        <v>0.0</v>
      </c>
      <c r="L160" s="66">
        <v>0.0</v>
      </c>
      <c r="M160" s="66">
        <v>0.0</v>
      </c>
      <c r="N160" s="66">
        <v>0.0</v>
      </c>
      <c r="O160" s="66">
        <v>0.0</v>
      </c>
      <c r="P160" s="66">
        <v>0.0</v>
      </c>
      <c r="Q160" s="66">
        <v>0.0</v>
      </c>
      <c r="R160" s="66">
        <v>0.0</v>
      </c>
      <c r="S160" s="66">
        <v>0.0</v>
      </c>
      <c r="T160" s="66">
        <v>0.0</v>
      </c>
      <c r="U160" s="66">
        <v>0.0</v>
      </c>
      <c r="V160" s="66">
        <v>0.0</v>
      </c>
      <c r="W160" s="66">
        <v>0.0</v>
      </c>
      <c r="X160" s="66">
        <v>1.0</v>
      </c>
      <c r="Y160" s="66">
        <v>0.0</v>
      </c>
      <c r="Z160" s="66">
        <v>0.0</v>
      </c>
      <c r="AA160" s="66">
        <v>0.0</v>
      </c>
      <c r="AB160" s="66">
        <v>0.0</v>
      </c>
      <c r="AC160" s="66">
        <v>0.0</v>
      </c>
      <c r="AD160" s="66">
        <v>0.0</v>
      </c>
      <c r="AF160" s="65">
        <v>22.0</v>
      </c>
      <c r="AG160" s="67">
        <v>0.0</v>
      </c>
      <c r="AH160" s="67">
        <v>0.0</v>
      </c>
      <c r="AI160" s="67">
        <v>0.0</v>
      </c>
      <c r="AJ160" s="67">
        <v>0.0</v>
      </c>
      <c r="AK160" s="67">
        <v>0.0</v>
      </c>
      <c r="AL160" s="67">
        <v>0.0</v>
      </c>
      <c r="AM160" s="67">
        <v>0.0</v>
      </c>
      <c r="AN160" s="67">
        <v>0.0</v>
      </c>
      <c r="AO160" s="67">
        <v>0.0</v>
      </c>
      <c r="AP160" s="67">
        <v>0.0</v>
      </c>
      <c r="AQ160" s="67">
        <v>0.0</v>
      </c>
      <c r="AR160" s="67">
        <v>0.0</v>
      </c>
      <c r="AS160" s="67">
        <v>0.0</v>
      </c>
      <c r="AT160" s="67">
        <v>0.0</v>
      </c>
      <c r="AU160" s="67">
        <v>0.0</v>
      </c>
      <c r="AV160" s="67">
        <v>0.0</v>
      </c>
      <c r="AW160" s="67">
        <v>0.0</v>
      </c>
      <c r="AX160" s="67">
        <v>0.0</v>
      </c>
      <c r="AY160" s="67">
        <v>0.0</v>
      </c>
      <c r="AZ160" s="67">
        <v>0.0</v>
      </c>
      <c r="BA160" s="67">
        <v>0.0</v>
      </c>
      <c r="BB160" s="67">
        <f>X$67</f>
        <v>0</v>
      </c>
      <c r="BC160" s="67">
        <v>0.0</v>
      </c>
      <c r="BD160" s="67">
        <v>0.0</v>
      </c>
      <c r="BE160" s="67">
        <v>0.0</v>
      </c>
      <c r="BF160" s="67">
        <v>0.0</v>
      </c>
      <c r="BG160" s="67">
        <v>0.0</v>
      </c>
      <c r="BH160" s="67">
        <v>0.0</v>
      </c>
    </row>
    <row r="161" ht="15.75" customHeight="1">
      <c r="B161" s="65">
        <v>23.0</v>
      </c>
      <c r="C161" s="66">
        <v>0.0</v>
      </c>
      <c r="D161" s="66">
        <v>0.0</v>
      </c>
      <c r="E161" s="66">
        <v>0.0</v>
      </c>
      <c r="F161" s="66">
        <v>0.0</v>
      </c>
      <c r="G161" s="66">
        <v>0.0</v>
      </c>
      <c r="H161" s="66">
        <v>0.0</v>
      </c>
      <c r="I161" s="66">
        <v>0.0</v>
      </c>
      <c r="J161" s="66">
        <v>0.0</v>
      </c>
      <c r="K161" s="66">
        <v>0.0</v>
      </c>
      <c r="L161" s="66">
        <v>0.0</v>
      </c>
      <c r="M161" s="66">
        <v>0.0</v>
      </c>
      <c r="N161" s="66">
        <v>0.0</v>
      </c>
      <c r="O161" s="66">
        <v>0.0</v>
      </c>
      <c r="P161" s="66">
        <v>0.0</v>
      </c>
      <c r="Q161" s="66">
        <v>0.0</v>
      </c>
      <c r="R161" s="66">
        <v>0.0</v>
      </c>
      <c r="S161" s="66">
        <v>0.0</v>
      </c>
      <c r="T161" s="66">
        <v>0.0</v>
      </c>
      <c r="U161" s="66">
        <v>0.0</v>
      </c>
      <c r="V161" s="66">
        <v>0.0</v>
      </c>
      <c r="W161" s="66">
        <v>0.0</v>
      </c>
      <c r="X161" s="66">
        <v>0.0</v>
      </c>
      <c r="Y161" s="66">
        <v>1.0</v>
      </c>
      <c r="Z161" s="66">
        <v>0.0</v>
      </c>
      <c r="AA161" s="66">
        <v>0.0</v>
      </c>
      <c r="AB161" s="66">
        <v>0.0</v>
      </c>
      <c r="AC161" s="66">
        <v>0.0</v>
      </c>
      <c r="AD161" s="66">
        <v>0.0</v>
      </c>
      <c r="AF161" s="65">
        <v>23.0</v>
      </c>
      <c r="AG161" s="67">
        <v>0.0</v>
      </c>
      <c r="AH161" s="67">
        <v>0.0</v>
      </c>
      <c r="AI161" s="67">
        <v>0.0</v>
      </c>
      <c r="AJ161" s="67">
        <v>0.0</v>
      </c>
      <c r="AK161" s="67">
        <v>0.0</v>
      </c>
      <c r="AL161" s="67">
        <v>0.0</v>
      </c>
      <c r="AM161" s="67">
        <v>0.0</v>
      </c>
      <c r="AN161" s="67">
        <v>0.0</v>
      </c>
      <c r="AO161" s="67">
        <v>0.0</v>
      </c>
      <c r="AP161" s="67">
        <v>0.0</v>
      </c>
      <c r="AQ161" s="67">
        <v>0.0</v>
      </c>
      <c r="AR161" s="67">
        <v>0.0</v>
      </c>
      <c r="AS161" s="67">
        <v>0.0</v>
      </c>
      <c r="AT161" s="67">
        <v>0.0</v>
      </c>
      <c r="AU161" s="67">
        <v>0.0</v>
      </c>
      <c r="AV161" s="67">
        <v>0.0</v>
      </c>
      <c r="AW161" s="67">
        <v>0.0</v>
      </c>
      <c r="AX161" s="67">
        <v>0.0</v>
      </c>
      <c r="AY161" s="67">
        <v>0.0</v>
      </c>
      <c r="AZ161" s="67">
        <v>0.0</v>
      </c>
      <c r="BA161" s="67">
        <v>0.0</v>
      </c>
      <c r="BB161" s="67">
        <v>0.0</v>
      </c>
      <c r="BC161" s="67">
        <f>Y$67</f>
        <v>0</v>
      </c>
      <c r="BD161" s="67">
        <v>0.0</v>
      </c>
      <c r="BE161" s="67">
        <v>0.0</v>
      </c>
      <c r="BF161" s="67">
        <v>0.0</v>
      </c>
      <c r="BG161" s="67">
        <v>0.0</v>
      </c>
      <c r="BH161" s="67">
        <v>0.0</v>
      </c>
    </row>
    <row r="162" ht="15.75" customHeight="1">
      <c r="B162" s="65">
        <v>24.0</v>
      </c>
      <c r="C162" s="66">
        <v>0.0</v>
      </c>
      <c r="D162" s="66">
        <v>0.0</v>
      </c>
      <c r="E162" s="66">
        <v>0.0</v>
      </c>
      <c r="F162" s="66">
        <v>0.0</v>
      </c>
      <c r="G162" s="66">
        <v>0.0</v>
      </c>
      <c r="H162" s="66">
        <v>0.0</v>
      </c>
      <c r="I162" s="66">
        <v>0.0</v>
      </c>
      <c r="J162" s="66">
        <v>0.0</v>
      </c>
      <c r="K162" s="66">
        <v>0.0</v>
      </c>
      <c r="L162" s="66">
        <v>0.0</v>
      </c>
      <c r="M162" s="66">
        <v>0.0</v>
      </c>
      <c r="N162" s="66">
        <v>0.0</v>
      </c>
      <c r="O162" s="66">
        <v>0.0</v>
      </c>
      <c r="P162" s="66">
        <v>0.0</v>
      </c>
      <c r="Q162" s="66">
        <v>0.0</v>
      </c>
      <c r="R162" s="66">
        <v>0.0</v>
      </c>
      <c r="S162" s="66">
        <v>0.0</v>
      </c>
      <c r="T162" s="66">
        <v>0.0</v>
      </c>
      <c r="U162" s="66">
        <v>0.0</v>
      </c>
      <c r="V162" s="66">
        <v>0.0</v>
      </c>
      <c r="W162" s="66">
        <v>0.0</v>
      </c>
      <c r="X162" s="66">
        <v>0.0</v>
      </c>
      <c r="Y162" s="66">
        <v>0.0</v>
      </c>
      <c r="Z162" s="66">
        <v>1.0</v>
      </c>
      <c r="AA162" s="66">
        <v>0.0</v>
      </c>
      <c r="AB162" s="66">
        <v>0.0</v>
      </c>
      <c r="AC162" s="66">
        <v>0.0</v>
      </c>
      <c r="AD162" s="66">
        <v>0.0</v>
      </c>
      <c r="AF162" s="65">
        <v>24.0</v>
      </c>
      <c r="AG162" s="67">
        <v>0.0</v>
      </c>
      <c r="AH162" s="67">
        <v>0.0</v>
      </c>
      <c r="AI162" s="67">
        <v>0.0</v>
      </c>
      <c r="AJ162" s="67">
        <v>0.0</v>
      </c>
      <c r="AK162" s="67">
        <v>0.0</v>
      </c>
      <c r="AL162" s="67">
        <v>0.0</v>
      </c>
      <c r="AM162" s="67">
        <v>0.0</v>
      </c>
      <c r="AN162" s="67">
        <v>0.0</v>
      </c>
      <c r="AO162" s="67">
        <v>0.0</v>
      </c>
      <c r="AP162" s="67">
        <v>0.0</v>
      </c>
      <c r="AQ162" s="67">
        <v>0.0</v>
      </c>
      <c r="AR162" s="67">
        <v>0.0</v>
      </c>
      <c r="AS162" s="67">
        <v>0.0</v>
      </c>
      <c r="AT162" s="67">
        <v>0.0</v>
      </c>
      <c r="AU162" s="67">
        <v>0.0</v>
      </c>
      <c r="AV162" s="67">
        <v>0.0</v>
      </c>
      <c r="AW162" s="67">
        <v>0.0</v>
      </c>
      <c r="AX162" s="67">
        <v>0.0</v>
      </c>
      <c r="AY162" s="67">
        <v>0.0</v>
      </c>
      <c r="AZ162" s="67">
        <v>0.0</v>
      </c>
      <c r="BA162" s="67">
        <v>0.0</v>
      </c>
      <c r="BB162" s="67">
        <v>0.0</v>
      </c>
      <c r="BC162" s="67">
        <v>0.0</v>
      </c>
      <c r="BD162" s="67">
        <f>Z$67</f>
        <v>0</v>
      </c>
      <c r="BE162" s="67">
        <v>0.0</v>
      </c>
      <c r="BF162" s="67">
        <v>0.0</v>
      </c>
      <c r="BG162" s="67">
        <v>0.0</v>
      </c>
      <c r="BH162" s="67">
        <v>0.0</v>
      </c>
    </row>
    <row r="163" ht="15.75" customHeight="1">
      <c r="B163" s="65">
        <v>25.0</v>
      </c>
      <c r="C163" s="66">
        <v>0.0</v>
      </c>
      <c r="D163" s="66">
        <v>0.0</v>
      </c>
      <c r="E163" s="66">
        <v>0.0</v>
      </c>
      <c r="F163" s="66">
        <v>0.0</v>
      </c>
      <c r="G163" s="66">
        <v>0.0</v>
      </c>
      <c r="H163" s="66">
        <v>0.0</v>
      </c>
      <c r="I163" s="66">
        <v>0.0</v>
      </c>
      <c r="J163" s="66">
        <v>0.0</v>
      </c>
      <c r="K163" s="66">
        <v>0.0</v>
      </c>
      <c r="L163" s="66">
        <v>0.0</v>
      </c>
      <c r="M163" s="66">
        <v>0.0</v>
      </c>
      <c r="N163" s="66">
        <v>0.0</v>
      </c>
      <c r="O163" s="66">
        <v>0.0</v>
      </c>
      <c r="P163" s="66">
        <v>0.0</v>
      </c>
      <c r="Q163" s="66">
        <v>0.0</v>
      </c>
      <c r="R163" s="66">
        <v>0.0</v>
      </c>
      <c r="S163" s="66">
        <v>0.0</v>
      </c>
      <c r="T163" s="66">
        <v>0.0</v>
      </c>
      <c r="U163" s="66">
        <v>0.0</v>
      </c>
      <c r="V163" s="66">
        <v>0.0</v>
      </c>
      <c r="W163" s="66">
        <v>0.0</v>
      </c>
      <c r="X163" s="66">
        <v>0.0</v>
      </c>
      <c r="Y163" s="66">
        <v>0.0</v>
      </c>
      <c r="Z163" s="66">
        <v>0.0</v>
      </c>
      <c r="AA163" s="66">
        <v>1.0</v>
      </c>
      <c r="AB163" s="66">
        <v>0.0</v>
      </c>
      <c r="AC163" s="66">
        <v>0.0</v>
      </c>
      <c r="AD163" s="66">
        <v>0.0</v>
      </c>
      <c r="AF163" s="65">
        <v>25.0</v>
      </c>
      <c r="AG163" s="67">
        <v>0.0</v>
      </c>
      <c r="AH163" s="67">
        <v>0.0</v>
      </c>
      <c r="AI163" s="67">
        <v>0.0</v>
      </c>
      <c r="AJ163" s="67">
        <v>0.0</v>
      </c>
      <c r="AK163" s="67">
        <v>0.0</v>
      </c>
      <c r="AL163" s="67">
        <v>0.0</v>
      </c>
      <c r="AM163" s="67">
        <v>0.0</v>
      </c>
      <c r="AN163" s="67">
        <v>0.0</v>
      </c>
      <c r="AO163" s="67">
        <v>0.0</v>
      </c>
      <c r="AP163" s="67">
        <v>0.0</v>
      </c>
      <c r="AQ163" s="67">
        <v>0.0</v>
      </c>
      <c r="AR163" s="67">
        <v>0.0</v>
      </c>
      <c r="AS163" s="67">
        <v>0.0</v>
      </c>
      <c r="AT163" s="67">
        <v>0.0</v>
      </c>
      <c r="AU163" s="67">
        <v>0.0</v>
      </c>
      <c r="AV163" s="67">
        <v>0.0</v>
      </c>
      <c r="AW163" s="67">
        <v>0.0</v>
      </c>
      <c r="AX163" s="67">
        <v>0.0</v>
      </c>
      <c r="AY163" s="67">
        <v>0.0</v>
      </c>
      <c r="AZ163" s="67">
        <v>0.0</v>
      </c>
      <c r="BA163" s="67">
        <v>0.0</v>
      </c>
      <c r="BB163" s="67">
        <v>0.0</v>
      </c>
      <c r="BC163" s="67">
        <v>0.0</v>
      </c>
      <c r="BD163" s="67">
        <v>0.0</v>
      </c>
      <c r="BE163" s="67">
        <f>AA$67</f>
        <v>0</v>
      </c>
      <c r="BF163" s="67">
        <v>0.0</v>
      </c>
      <c r="BG163" s="67">
        <v>0.0</v>
      </c>
      <c r="BH163" s="67">
        <v>0.0</v>
      </c>
    </row>
    <row r="164" ht="15.75" customHeight="1">
      <c r="B164" s="65">
        <v>26.0</v>
      </c>
      <c r="C164" s="66">
        <v>0.0</v>
      </c>
      <c r="D164" s="66">
        <v>0.0</v>
      </c>
      <c r="E164" s="66">
        <v>0.0</v>
      </c>
      <c r="F164" s="66">
        <v>0.0</v>
      </c>
      <c r="G164" s="66">
        <v>0.0</v>
      </c>
      <c r="H164" s="66">
        <v>0.0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6">
        <v>0.0</v>
      </c>
      <c r="T164" s="66">
        <v>0.0</v>
      </c>
      <c r="U164" s="66">
        <v>0.0</v>
      </c>
      <c r="V164" s="66">
        <v>0.0</v>
      </c>
      <c r="W164" s="66">
        <v>0.0</v>
      </c>
      <c r="X164" s="66">
        <v>0.0</v>
      </c>
      <c r="Y164" s="66">
        <v>0.0</v>
      </c>
      <c r="Z164" s="66">
        <v>0.0</v>
      </c>
      <c r="AA164" s="66">
        <v>0.0</v>
      </c>
      <c r="AB164" s="66">
        <v>1.0</v>
      </c>
      <c r="AC164" s="66">
        <v>0.0</v>
      </c>
      <c r="AD164" s="66">
        <v>0.0</v>
      </c>
      <c r="AF164" s="65">
        <v>26.0</v>
      </c>
      <c r="AG164" s="67">
        <v>0.0</v>
      </c>
      <c r="AH164" s="67">
        <v>0.0</v>
      </c>
      <c r="AI164" s="67">
        <v>0.0</v>
      </c>
      <c r="AJ164" s="67">
        <v>0.0</v>
      </c>
      <c r="AK164" s="67">
        <v>0.0</v>
      </c>
      <c r="AL164" s="67">
        <v>0.0</v>
      </c>
      <c r="AM164" s="67">
        <v>0.0</v>
      </c>
      <c r="AN164" s="67">
        <v>0.0</v>
      </c>
      <c r="AO164" s="67">
        <v>0.0</v>
      </c>
      <c r="AP164" s="67">
        <v>0.0</v>
      </c>
      <c r="AQ164" s="67">
        <v>0.0</v>
      </c>
      <c r="AR164" s="67">
        <v>0.0</v>
      </c>
      <c r="AS164" s="67">
        <v>0.0</v>
      </c>
      <c r="AT164" s="67">
        <v>0.0</v>
      </c>
      <c r="AU164" s="67">
        <v>0.0</v>
      </c>
      <c r="AV164" s="67">
        <v>0.0</v>
      </c>
      <c r="AW164" s="67">
        <v>0.0</v>
      </c>
      <c r="AX164" s="67">
        <v>0.0</v>
      </c>
      <c r="AY164" s="67">
        <v>0.0</v>
      </c>
      <c r="AZ164" s="67">
        <v>0.0</v>
      </c>
      <c r="BA164" s="67">
        <v>0.0</v>
      </c>
      <c r="BB164" s="67">
        <v>0.0</v>
      </c>
      <c r="BC164" s="67">
        <v>0.0</v>
      </c>
      <c r="BD164" s="67">
        <v>0.0</v>
      </c>
      <c r="BE164" s="67">
        <v>0.0</v>
      </c>
      <c r="BF164" s="67">
        <f>AB$67</f>
        <v>0</v>
      </c>
      <c r="BG164" s="67">
        <v>0.0</v>
      </c>
      <c r="BH164" s="67">
        <v>0.0</v>
      </c>
    </row>
    <row r="165" ht="15.75" customHeight="1">
      <c r="B165" s="65">
        <v>27.0</v>
      </c>
      <c r="C165" s="66">
        <v>0.0</v>
      </c>
      <c r="D165" s="66">
        <v>0.0</v>
      </c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6">
        <v>0.0</v>
      </c>
      <c r="T165" s="66">
        <v>0.0</v>
      </c>
      <c r="U165" s="66">
        <v>0.0</v>
      </c>
      <c r="V165" s="66">
        <v>0.0</v>
      </c>
      <c r="W165" s="66">
        <v>0.0</v>
      </c>
      <c r="X165" s="66">
        <v>0.0</v>
      </c>
      <c r="Y165" s="66">
        <v>0.0</v>
      </c>
      <c r="Z165" s="66">
        <v>0.0</v>
      </c>
      <c r="AA165" s="66">
        <v>0.0</v>
      </c>
      <c r="AB165" s="66">
        <v>0.0</v>
      </c>
      <c r="AC165" s="66">
        <v>1.0</v>
      </c>
      <c r="AD165" s="66">
        <v>0.0</v>
      </c>
      <c r="AF165" s="65">
        <v>27.0</v>
      </c>
      <c r="AG165" s="67">
        <v>0.0</v>
      </c>
      <c r="AH165" s="67">
        <v>0.0</v>
      </c>
      <c r="AI165" s="67">
        <v>0.0</v>
      </c>
      <c r="AJ165" s="67">
        <v>0.0</v>
      </c>
      <c r="AK165" s="67">
        <v>0.0</v>
      </c>
      <c r="AL165" s="67">
        <v>0.0</v>
      </c>
      <c r="AM165" s="67">
        <v>0.0</v>
      </c>
      <c r="AN165" s="67">
        <v>0.0</v>
      </c>
      <c r="AO165" s="67">
        <v>0.0</v>
      </c>
      <c r="AP165" s="67">
        <v>0.0</v>
      </c>
      <c r="AQ165" s="67">
        <v>0.0</v>
      </c>
      <c r="AR165" s="67">
        <v>0.0</v>
      </c>
      <c r="AS165" s="67">
        <v>0.0</v>
      </c>
      <c r="AT165" s="67">
        <v>0.0</v>
      </c>
      <c r="AU165" s="67">
        <v>0.0</v>
      </c>
      <c r="AV165" s="67">
        <v>0.0</v>
      </c>
      <c r="AW165" s="67">
        <v>0.0</v>
      </c>
      <c r="AX165" s="67">
        <v>0.0</v>
      </c>
      <c r="AY165" s="67">
        <v>0.0</v>
      </c>
      <c r="AZ165" s="67">
        <v>0.0</v>
      </c>
      <c r="BA165" s="67">
        <v>0.0</v>
      </c>
      <c r="BB165" s="67">
        <v>0.0</v>
      </c>
      <c r="BC165" s="67">
        <v>0.0</v>
      </c>
      <c r="BD165" s="67">
        <v>0.0</v>
      </c>
      <c r="BE165" s="67">
        <v>0.0</v>
      </c>
      <c r="BF165" s="67">
        <v>0.0</v>
      </c>
      <c r="BG165" s="67">
        <f>AC$67</f>
        <v>0</v>
      </c>
      <c r="BH165" s="67">
        <v>0.0</v>
      </c>
    </row>
    <row r="166" ht="15.75" customHeight="1">
      <c r="B166" s="65">
        <v>28.0</v>
      </c>
      <c r="C166" s="66">
        <v>0.0</v>
      </c>
      <c r="D166" s="66">
        <v>0.0</v>
      </c>
      <c r="E166" s="66">
        <v>0.0</v>
      </c>
      <c r="F166" s="66">
        <v>0.0</v>
      </c>
      <c r="G166" s="66">
        <v>0.0</v>
      </c>
      <c r="H166" s="66">
        <v>0.0</v>
      </c>
      <c r="I166" s="66">
        <v>0.0</v>
      </c>
      <c r="J166" s="66">
        <v>0.0</v>
      </c>
      <c r="K166" s="66">
        <v>0.0</v>
      </c>
      <c r="L166" s="66">
        <v>0.0</v>
      </c>
      <c r="M166" s="66">
        <v>0.0</v>
      </c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6">
        <v>0.0</v>
      </c>
      <c r="T166" s="66">
        <v>0.0</v>
      </c>
      <c r="U166" s="66">
        <v>0.0</v>
      </c>
      <c r="V166" s="66">
        <v>0.0</v>
      </c>
      <c r="W166" s="66">
        <v>0.0</v>
      </c>
      <c r="X166" s="66">
        <v>0.0</v>
      </c>
      <c r="Y166" s="66">
        <v>0.0</v>
      </c>
      <c r="Z166" s="66">
        <v>0.0</v>
      </c>
      <c r="AA166" s="66">
        <v>0.0</v>
      </c>
      <c r="AB166" s="66">
        <v>0.0</v>
      </c>
      <c r="AC166" s="66">
        <v>0.0</v>
      </c>
      <c r="AD166" s="66">
        <v>1.0</v>
      </c>
      <c r="AF166" s="65">
        <v>28.0</v>
      </c>
      <c r="AG166" s="67">
        <v>0.0</v>
      </c>
      <c r="AH166" s="67">
        <v>0.0</v>
      </c>
      <c r="AI166" s="67">
        <v>0.0</v>
      </c>
      <c r="AJ166" s="67">
        <v>0.0</v>
      </c>
      <c r="AK166" s="67">
        <v>0.0</v>
      </c>
      <c r="AL166" s="67">
        <v>0.0</v>
      </c>
      <c r="AM166" s="67">
        <v>0.0</v>
      </c>
      <c r="AN166" s="67">
        <v>0.0</v>
      </c>
      <c r="AO166" s="67">
        <v>0.0</v>
      </c>
      <c r="AP166" s="67">
        <v>0.0</v>
      </c>
      <c r="AQ166" s="67">
        <v>0.0</v>
      </c>
      <c r="AR166" s="67">
        <v>0.0</v>
      </c>
      <c r="AS166" s="67">
        <v>0.0</v>
      </c>
      <c r="AT166" s="67">
        <v>0.0</v>
      </c>
      <c r="AU166" s="67">
        <v>0.0</v>
      </c>
      <c r="AV166" s="67">
        <v>0.0</v>
      </c>
      <c r="AW166" s="67">
        <v>0.0</v>
      </c>
      <c r="AX166" s="67">
        <v>0.0</v>
      </c>
      <c r="AY166" s="67">
        <v>0.0</v>
      </c>
      <c r="AZ166" s="67">
        <v>0.0</v>
      </c>
      <c r="BA166" s="67">
        <v>0.0</v>
      </c>
      <c r="BB166" s="67">
        <v>0.0</v>
      </c>
      <c r="BC166" s="67">
        <v>0.0</v>
      </c>
      <c r="BD166" s="67">
        <v>0.0</v>
      </c>
      <c r="BE166" s="67">
        <v>0.0</v>
      </c>
      <c r="BF166" s="67">
        <v>0.0</v>
      </c>
      <c r="BG166" s="67">
        <v>0.0</v>
      </c>
      <c r="BH166" s="67">
        <f>AD$67</f>
        <v>0</v>
      </c>
    </row>
    <row r="167" ht="15.75" customHeight="1"/>
    <row r="168" ht="15.75" customHeight="1">
      <c r="B168" s="60" t="s">
        <v>58</v>
      </c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F168" s="71" t="s">
        <v>59</v>
      </c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</row>
    <row r="169" ht="15.75" customHeight="1">
      <c r="B169" s="64"/>
      <c r="C169" s="65">
        <v>1.0</v>
      </c>
      <c r="D169" s="65">
        <v>2.0</v>
      </c>
      <c r="E169" s="65">
        <v>3.0</v>
      </c>
      <c r="F169" s="65">
        <v>4.0</v>
      </c>
      <c r="G169" s="65">
        <v>5.0</v>
      </c>
      <c r="H169" s="65">
        <v>6.0</v>
      </c>
      <c r="I169" s="65">
        <v>7.0</v>
      </c>
      <c r="J169" s="65">
        <v>8.0</v>
      </c>
      <c r="K169" s="65">
        <v>9.0</v>
      </c>
      <c r="L169" s="65">
        <v>10.0</v>
      </c>
      <c r="M169" s="65">
        <v>11.0</v>
      </c>
      <c r="N169" s="65">
        <v>12.0</v>
      </c>
      <c r="O169" s="65">
        <v>13.0</v>
      </c>
      <c r="P169" s="65">
        <v>14.0</v>
      </c>
      <c r="Q169" s="65">
        <v>15.0</v>
      </c>
      <c r="R169" s="65">
        <v>16.0</v>
      </c>
      <c r="S169" s="65">
        <v>17.0</v>
      </c>
      <c r="T169" s="65">
        <v>18.0</v>
      </c>
      <c r="U169" s="65">
        <v>19.0</v>
      </c>
      <c r="V169" s="65">
        <v>20.0</v>
      </c>
      <c r="W169" s="65">
        <v>21.0</v>
      </c>
      <c r="X169" s="65">
        <v>22.0</v>
      </c>
      <c r="Y169" s="65">
        <v>23.0</v>
      </c>
      <c r="Z169" s="65">
        <v>24.0</v>
      </c>
      <c r="AA169" s="65">
        <v>25.0</v>
      </c>
      <c r="AB169" s="65">
        <v>26.0</v>
      </c>
      <c r="AC169" s="65">
        <v>27.0</v>
      </c>
      <c r="AD169" s="65">
        <v>28.0</v>
      </c>
      <c r="AF169" s="64"/>
      <c r="AG169" s="65">
        <v>1.0</v>
      </c>
      <c r="AH169" s="65">
        <v>2.0</v>
      </c>
      <c r="AI169" s="65">
        <v>3.0</v>
      </c>
      <c r="AJ169" s="65">
        <v>4.0</v>
      </c>
      <c r="AK169" s="65">
        <v>5.0</v>
      </c>
      <c r="AL169" s="65">
        <v>6.0</v>
      </c>
      <c r="AM169" s="65">
        <v>7.0</v>
      </c>
      <c r="AN169" s="65">
        <v>8.0</v>
      </c>
      <c r="AO169" s="65">
        <v>9.0</v>
      </c>
      <c r="AP169" s="65">
        <v>10.0</v>
      </c>
      <c r="AQ169" s="65">
        <v>11.0</v>
      </c>
      <c r="AR169" s="65">
        <v>12.0</v>
      </c>
      <c r="AS169" s="65">
        <v>13.0</v>
      </c>
      <c r="AT169" s="65">
        <v>14.0</v>
      </c>
      <c r="AU169" s="65">
        <v>15.0</v>
      </c>
      <c r="AV169" s="65">
        <v>16.0</v>
      </c>
      <c r="AW169" s="65">
        <v>17.0</v>
      </c>
      <c r="AX169" s="65">
        <v>18.0</v>
      </c>
      <c r="AY169" s="65">
        <v>19.0</v>
      </c>
      <c r="AZ169" s="65">
        <v>20.0</v>
      </c>
      <c r="BA169" s="65">
        <v>21.0</v>
      </c>
      <c r="BB169" s="65">
        <v>22.0</v>
      </c>
      <c r="BC169" s="65">
        <v>23.0</v>
      </c>
      <c r="BD169" s="65">
        <v>24.0</v>
      </c>
      <c r="BE169" s="65">
        <v>25.0</v>
      </c>
      <c r="BF169" s="65">
        <v>26.0</v>
      </c>
      <c r="BG169" s="65">
        <v>27.0</v>
      </c>
      <c r="BH169" s="65">
        <v>28.0</v>
      </c>
      <c r="BI169" s="73" t="s">
        <v>60</v>
      </c>
    </row>
    <row r="170" ht="15.75" customHeight="1">
      <c r="B170" s="65">
        <v>1.0</v>
      </c>
      <c r="C170" s="66">
        <f t="shared" ref="C170:AD170" si="24">C139-C108</f>
        <v>0.9430924161</v>
      </c>
      <c r="D170" s="66">
        <f t="shared" si="24"/>
        <v>-0.11536348</v>
      </c>
      <c r="E170" s="66">
        <f t="shared" si="24"/>
        <v>-0.07601809045</v>
      </c>
      <c r="F170" s="66">
        <f t="shared" si="24"/>
        <v>-0.00000589112668</v>
      </c>
      <c r="G170" s="66">
        <f t="shared" si="24"/>
        <v>-0.003403666362</v>
      </c>
      <c r="H170" s="66">
        <f t="shared" si="24"/>
        <v>-0.000001261407713</v>
      </c>
      <c r="I170" s="66">
        <f t="shared" si="24"/>
        <v>-0.00001597356529</v>
      </c>
      <c r="J170" s="66">
        <f t="shared" si="24"/>
        <v>-0.0002336400361</v>
      </c>
      <c r="K170" s="66">
        <f t="shared" si="24"/>
        <v>-0.00005055879104</v>
      </c>
      <c r="L170" s="66">
        <f t="shared" si="24"/>
        <v>-0.0001668841904</v>
      </c>
      <c r="M170" s="66">
        <f t="shared" si="24"/>
        <v>-0.0001128275771</v>
      </c>
      <c r="N170" s="66">
        <f t="shared" si="24"/>
        <v>-0.000001188093559</v>
      </c>
      <c r="O170" s="66">
        <f t="shared" si="24"/>
        <v>-0.000007400836702</v>
      </c>
      <c r="P170" s="66">
        <f t="shared" si="24"/>
        <v>-0.002558972397</v>
      </c>
      <c r="Q170" s="66">
        <f t="shared" si="24"/>
        <v>-0.00001127646458</v>
      </c>
      <c r="R170" s="66">
        <f t="shared" si="24"/>
        <v>-0.00006282956252</v>
      </c>
      <c r="S170" s="66">
        <f t="shared" si="24"/>
        <v>-0.00009966039384</v>
      </c>
      <c r="T170" s="66">
        <f t="shared" si="24"/>
        <v>-0.000002034563788</v>
      </c>
      <c r="U170" s="66">
        <f t="shared" si="24"/>
        <v>-0.0001541638405</v>
      </c>
      <c r="V170" s="66">
        <f t="shared" si="24"/>
        <v>-0.000004513101785</v>
      </c>
      <c r="W170" s="66">
        <f t="shared" si="24"/>
        <v>-0.000003979193557</v>
      </c>
      <c r="X170" s="66">
        <f t="shared" si="24"/>
        <v>-0.000003262491472</v>
      </c>
      <c r="Y170" s="66">
        <f t="shared" si="24"/>
        <v>-0.000005563816669</v>
      </c>
      <c r="Z170" s="66">
        <f t="shared" si="24"/>
        <v>-0.00000245672302</v>
      </c>
      <c r="AA170" s="66">
        <f t="shared" si="24"/>
        <v>-0.00000352497636</v>
      </c>
      <c r="AB170" s="66">
        <f t="shared" si="24"/>
        <v>-0.000004385627006</v>
      </c>
      <c r="AC170" s="66">
        <f t="shared" si="24"/>
        <v>-0.0000001836342816</v>
      </c>
      <c r="AD170" s="66">
        <f t="shared" si="24"/>
        <v>-0.00001525625862</v>
      </c>
      <c r="AF170" s="65">
        <v>1.0</v>
      </c>
      <c r="AG170" s="74">
        <f t="array" ref="AG170:BH197">MMULT(MMULT(AG77:BH104,C201:AD228),C232:AD259)</f>
        <v>577918270</v>
      </c>
      <c r="AH170" s="74">
        <v>1.783868244269821E8</v>
      </c>
      <c r="AI170" s="74">
        <v>7.925430738173267E7</v>
      </c>
      <c r="AJ170" s="74">
        <v>1.6594099048840642E7</v>
      </c>
      <c r="AK170" s="74">
        <v>3.522296687231136E7</v>
      </c>
      <c r="AL170" s="74">
        <v>7993.44803253118</v>
      </c>
      <c r="AM170" s="74">
        <v>89044.82714500296</v>
      </c>
      <c r="AN170" s="74">
        <v>1.6716150338549152E7</v>
      </c>
      <c r="AO170" s="74">
        <v>40791.24626096779</v>
      </c>
      <c r="AP170" s="74">
        <v>1.8741131041659974E7</v>
      </c>
      <c r="AQ170" s="74">
        <v>2.3886231015482977E7</v>
      </c>
      <c r="AR170" s="74">
        <v>11315.342019422555</v>
      </c>
      <c r="AS170" s="74">
        <v>1116.4898685006424</v>
      </c>
      <c r="AT170" s="74">
        <v>2.118226331123402E7</v>
      </c>
      <c r="AU170" s="74">
        <v>1.0156524008468067E7</v>
      </c>
      <c r="AV170" s="74">
        <v>2.6078643991862934E7</v>
      </c>
      <c r="AW170" s="74">
        <v>5.851588432967777E7</v>
      </c>
      <c r="AX170" s="74">
        <v>4.467906719499541E7</v>
      </c>
      <c r="AY170" s="74">
        <v>1.5146706639369777E8</v>
      </c>
      <c r="AZ170" s="74">
        <v>343854.43514641165</v>
      </c>
      <c r="BA170" s="74">
        <v>1307507.378840816</v>
      </c>
      <c r="BB170" s="74">
        <v>1.3445097482465595E8</v>
      </c>
      <c r="BC170" s="74">
        <v>3156624.146449278</v>
      </c>
      <c r="BD170" s="74">
        <v>5.34182679684526E7</v>
      </c>
      <c r="BE170" s="74">
        <v>1.5299191815594047E8</v>
      </c>
      <c r="BF170" s="74">
        <v>617404.6657883846</v>
      </c>
      <c r="BG170" s="74">
        <v>344013.4149832949</v>
      </c>
      <c r="BH170" s="74">
        <v>6.338182927472414E7</v>
      </c>
      <c r="BI170" s="9">
        <f t="shared" ref="BI170:BI197" si="26">SUM(AG170:BH170)</f>
        <v>1668962085</v>
      </c>
    </row>
    <row r="171" ht="15.75" customHeight="1">
      <c r="B171" s="65">
        <v>2.0</v>
      </c>
      <c r="C171" s="66">
        <f t="shared" ref="C171:AD171" si="25">C140-C109</f>
        <v>-0.00005223176539</v>
      </c>
      <c r="D171" s="66">
        <f t="shared" si="25"/>
        <v>0.9950881875</v>
      </c>
      <c r="E171" s="66">
        <f t="shared" si="25"/>
        <v>-0.02491194625</v>
      </c>
      <c r="F171" s="66">
        <f t="shared" si="25"/>
        <v>-0.0005003274363</v>
      </c>
      <c r="G171" s="66">
        <f t="shared" si="25"/>
        <v>-0.008664165361</v>
      </c>
      <c r="H171" s="66">
        <f t="shared" si="25"/>
        <v>-0.0005641716561</v>
      </c>
      <c r="I171" s="66">
        <f t="shared" si="25"/>
        <v>-0.00003087240177</v>
      </c>
      <c r="J171" s="66">
        <f t="shared" si="25"/>
        <v>-0.0001358998201</v>
      </c>
      <c r="K171" s="66">
        <f t="shared" si="25"/>
        <v>-0.00004750040376</v>
      </c>
      <c r="L171" s="66">
        <f t="shared" si="25"/>
        <v>-0.0002709961546</v>
      </c>
      <c r="M171" s="66">
        <f t="shared" si="25"/>
        <v>-0.0003065772712</v>
      </c>
      <c r="N171" s="66">
        <f t="shared" si="25"/>
        <v>-0.0005594184782</v>
      </c>
      <c r="O171" s="66">
        <f t="shared" si="25"/>
        <v>-0.00003983814171</v>
      </c>
      <c r="P171" s="66">
        <f t="shared" si="25"/>
        <v>-0.009438475164</v>
      </c>
      <c r="Q171" s="66">
        <f t="shared" si="25"/>
        <v>-0.00000137104786</v>
      </c>
      <c r="R171" s="66">
        <f t="shared" si="25"/>
        <v>-0.0000669110028</v>
      </c>
      <c r="S171" s="66">
        <f t="shared" si="25"/>
        <v>-0.00003901176072</v>
      </c>
      <c r="T171" s="66">
        <f t="shared" si="25"/>
        <v>-0.00001335952127</v>
      </c>
      <c r="U171" s="66">
        <f t="shared" si="25"/>
        <v>-0.00008273621305</v>
      </c>
      <c r="V171" s="66">
        <f t="shared" si="25"/>
        <v>-0.000001862256568</v>
      </c>
      <c r="W171" s="66">
        <f t="shared" si="25"/>
        <v>-0.000005912409252</v>
      </c>
      <c r="X171" s="66">
        <f t="shared" si="25"/>
        <v>-0.000002396656712</v>
      </c>
      <c r="Y171" s="66">
        <f t="shared" si="25"/>
        <v>-0.00001237422965</v>
      </c>
      <c r="Z171" s="66">
        <f t="shared" si="25"/>
        <v>-0.000005474405504</v>
      </c>
      <c r="AA171" s="66">
        <f t="shared" si="25"/>
        <v>-0.000003663766753</v>
      </c>
      <c r="AB171" s="66">
        <f t="shared" si="25"/>
        <v>-0.00001598960588</v>
      </c>
      <c r="AC171" s="66">
        <f t="shared" si="25"/>
        <v>-0.000001501934363</v>
      </c>
      <c r="AD171" s="66">
        <f t="shared" si="25"/>
        <v>-0.0001078260925</v>
      </c>
      <c r="AF171" s="65">
        <v>2.0</v>
      </c>
      <c r="AG171" s="74">
        <v>17795.050044195315</v>
      </c>
      <c r="AH171" s="74">
        <v>2.306006394938762E8</v>
      </c>
      <c r="AI171" s="74">
        <v>3866214.4928899636</v>
      </c>
      <c r="AJ171" s="74">
        <v>1002929.2009312724</v>
      </c>
      <c r="AK171" s="74">
        <v>8520463.209434666</v>
      </c>
      <c r="AL171" s="74">
        <v>4769.935703951513</v>
      </c>
      <c r="AM171" s="74">
        <v>15285.088144738287</v>
      </c>
      <c r="AN171" s="74">
        <v>1816900.809084483</v>
      </c>
      <c r="AO171" s="74">
        <v>2605.8738924327176</v>
      </c>
      <c r="AP171" s="74">
        <v>2739976.626860584</v>
      </c>
      <c r="AQ171" s="74">
        <v>6003582.558174166</v>
      </c>
      <c r="AR171" s="74">
        <v>6851.230531504828</v>
      </c>
      <c r="AS171" s="74">
        <v>188.01171419430256</v>
      </c>
      <c r="AT171" s="74">
        <v>7530490.299174767</v>
      </c>
      <c r="AU171" s="74">
        <v>660086.767357409</v>
      </c>
      <c r="AV171" s="74">
        <v>3579591.9601651975</v>
      </c>
      <c r="AW171" s="74">
        <v>3804834.2706024414</v>
      </c>
      <c r="AX171" s="74">
        <v>4670572.707314979</v>
      </c>
      <c r="AY171" s="74">
        <v>1.2190209983391821E7</v>
      </c>
      <c r="AZ171" s="74">
        <v>46947.94368751551</v>
      </c>
      <c r="BA171" s="74">
        <v>237469.36371183713</v>
      </c>
      <c r="BB171" s="74">
        <v>1.9778648119946025E7</v>
      </c>
      <c r="BC171" s="74">
        <v>566347.1546501574</v>
      </c>
      <c r="BD171" s="74">
        <v>1.237621481820063E7</v>
      </c>
      <c r="BE171" s="74">
        <v>2.611408291516833E7</v>
      </c>
      <c r="BF171" s="74">
        <v>160569.28640171263</v>
      </c>
      <c r="BG171" s="74">
        <v>66102.11517578897</v>
      </c>
      <c r="BH171" s="74">
        <v>2.361992766776912E7</v>
      </c>
      <c r="BI171" s="9">
        <f t="shared" si="26"/>
        <v>370000297</v>
      </c>
    </row>
    <row r="172" ht="15.75" customHeight="1">
      <c r="B172" s="65">
        <v>3.0</v>
      </c>
      <c r="C172" s="66">
        <f t="shared" ref="C172:AD172" si="27">C141-C110</f>
        <v>-0.00004181688883</v>
      </c>
      <c r="D172" s="66">
        <f t="shared" si="27"/>
        <v>-0.0002546634897</v>
      </c>
      <c r="E172" s="66">
        <f t="shared" si="27"/>
        <v>0.9972837201</v>
      </c>
      <c r="F172" s="66">
        <f t="shared" si="27"/>
        <v>-0.106916595</v>
      </c>
      <c r="G172" s="66">
        <f t="shared" si="27"/>
        <v>-0.01409774168</v>
      </c>
      <c r="H172" s="66">
        <f t="shared" si="27"/>
        <v>-0.00008151404029</v>
      </c>
      <c r="I172" s="66">
        <f t="shared" si="27"/>
        <v>-0.00003631722376</v>
      </c>
      <c r="J172" s="66">
        <f t="shared" si="27"/>
        <v>-0.0001257376993</v>
      </c>
      <c r="K172" s="66">
        <f t="shared" si="27"/>
        <v>-0.008573226512</v>
      </c>
      <c r="L172" s="66">
        <f t="shared" si="27"/>
        <v>-0.002684155406</v>
      </c>
      <c r="M172" s="66">
        <f t="shared" si="27"/>
        <v>-0.000110677935</v>
      </c>
      <c r="N172" s="66">
        <f t="shared" si="27"/>
        <v>-0.00008162872267</v>
      </c>
      <c r="O172" s="66">
        <f t="shared" si="27"/>
        <v>-0.0001417421048</v>
      </c>
      <c r="P172" s="66">
        <f t="shared" si="27"/>
        <v>-0.00187816532</v>
      </c>
      <c r="Q172" s="66">
        <f t="shared" si="27"/>
        <v>-0.0000001394611702</v>
      </c>
      <c r="R172" s="66">
        <f t="shared" si="27"/>
        <v>-0.000002723029005</v>
      </c>
      <c r="S172" s="66">
        <f t="shared" si="27"/>
        <v>-0.000005645477762</v>
      </c>
      <c r="T172" s="66">
        <f t="shared" si="27"/>
        <v>-0.0000355158498</v>
      </c>
      <c r="U172" s="66">
        <f t="shared" si="27"/>
        <v>-0.000009261811621</v>
      </c>
      <c r="V172" s="66">
        <f t="shared" si="27"/>
        <v>-0.000005671737923</v>
      </c>
      <c r="W172" s="66">
        <f t="shared" si="27"/>
        <v>-0.0000004225472813</v>
      </c>
      <c r="X172" s="66">
        <f t="shared" si="27"/>
        <v>-0.000002287147642</v>
      </c>
      <c r="Y172" s="66">
        <f t="shared" si="27"/>
        <v>-0.00001158188717</v>
      </c>
      <c r="Z172" s="66">
        <f t="shared" si="27"/>
        <v>-0.000002302906357</v>
      </c>
      <c r="AA172" s="66">
        <f t="shared" si="27"/>
        <v>-0.000000978057291</v>
      </c>
      <c r="AB172" s="66">
        <f t="shared" si="27"/>
        <v>-0.000009361467751</v>
      </c>
      <c r="AC172" s="66">
        <f t="shared" si="27"/>
        <v>-0.0000001832615669</v>
      </c>
      <c r="AD172" s="66">
        <f t="shared" si="27"/>
        <v>-0.000002953003616</v>
      </c>
      <c r="AF172" s="65">
        <v>3.0</v>
      </c>
      <c r="AG172" s="74">
        <v>1052856.247374512</v>
      </c>
      <c r="AH172" s="74">
        <v>5997760.903287507</v>
      </c>
      <c r="AI172" s="74">
        <v>3.7402436448219695E9</v>
      </c>
      <c r="AJ172" s="74">
        <v>7.646603174621884E8</v>
      </c>
      <c r="AK172" s="74">
        <v>3.559670140959285E8</v>
      </c>
      <c r="AL172" s="74">
        <v>74015.90117881744</v>
      </c>
      <c r="AM172" s="74">
        <v>1088868.0859609281</v>
      </c>
      <c r="AN172" s="74">
        <v>8.046005014663453E7</v>
      </c>
      <c r="AO172" s="74">
        <v>1687357.4818728177</v>
      </c>
      <c r="AP172" s="74">
        <v>3.998188383247721E8</v>
      </c>
      <c r="AQ172" s="74">
        <v>1.7367775007378957E8</v>
      </c>
      <c r="AR172" s="74">
        <v>103480.69216780795</v>
      </c>
      <c r="AS172" s="74">
        <v>11843.274385154926</v>
      </c>
      <c r="AT172" s="74">
        <v>8.147779498058398E7</v>
      </c>
      <c r="AU172" s="74">
        <v>1.2144621894786377E7</v>
      </c>
      <c r="AV172" s="74">
        <v>1.6513244062179722E7</v>
      </c>
      <c r="AW172" s="74">
        <v>3.1434538737304255E7</v>
      </c>
      <c r="AX172" s="74">
        <v>2.0626223041926694E8</v>
      </c>
      <c r="AY172" s="74">
        <v>1.1208838150375018E8</v>
      </c>
      <c r="AZ172" s="74">
        <v>1538626.0512009826</v>
      </c>
      <c r="BA172" s="74">
        <v>2540155.403094561</v>
      </c>
      <c r="BB172" s="74">
        <v>4.136152275132354E8</v>
      </c>
      <c r="BC172" s="74">
        <v>1.1423471833595756E7</v>
      </c>
      <c r="BD172" s="74">
        <v>1.8584541807726687E8</v>
      </c>
      <c r="BE172" s="74">
        <v>3.322996640740787E8</v>
      </c>
      <c r="BF172" s="74">
        <v>2772112.2933584265</v>
      </c>
      <c r="BG172" s="74">
        <v>1050433.6826250474</v>
      </c>
      <c r="BH172" s="74">
        <v>1.0902767286516106E8</v>
      </c>
      <c r="BI172" s="9">
        <f t="shared" si="26"/>
        <v>7044877391</v>
      </c>
    </row>
    <row r="173" ht="15.75" customHeight="1">
      <c r="B173" s="65">
        <v>4.0</v>
      </c>
      <c r="C173" s="66">
        <f t="shared" ref="C173:AD173" si="28">C142-C111</f>
        <v>-0.0006984953446</v>
      </c>
      <c r="D173" s="66">
        <f t="shared" si="28"/>
        <v>-0.0009291311917</v>
      </c>
      <c r="E173" s="66">
        <f t="shared" si="28"/>
        <v>-0.01233393802</v>
      </c>
      <c r="F173" s="66">
        <f t="shared" si="28"/>
        <v>0.9458892125</v>
      </c>
      <c r="G173" s="66">
        <f t="shared" si="28"/>
        <v>-0.008123711591</v>
      </c>
      <c r="H173" s="66">
        <f t="shared" si="28"/>
        <v>-0.0004521009923</v>
      </c>
      <c r="I173" s="66">
        <f t="shared" si="28"/>
        <v>-0.0002526531666</v>
      </c>
      <c r="J173" s="66">
        <f t="shared" si="28"/>
        <v>-0.0005344544921</v>
      </c>
      <c r="K173" s="66">
        <f t="shared" si="28"/>
        <v>-0.0007855598074</v>
      </c>
      <c r="L173" s="66">
        <f t="shared" si="28"/>
        <v>-0.0007678407695</v>
      </c>
      <c r="M173" s="66">
        <f t="shared" si="28"/>
        <v>-0.001455620296</v>
      </c>
      <c r="N173" s="66">
        <f t="shared" si="28"/>
        <v>-0.0004562758519</v>
      </c>
      <c r="O173" s="66">
        <f t="shared" si="28"/>
        <v>-0.0003735711325</v>
      </c>
      <c r="P173" s="66">
        <f t="shared" si="28"/>
        <v>-0.01501988697</v>
      </c>
      <c r="Q173" s="66">
        <f t="shared" si="28"/>
        <v>-0.000005803955161</v>
      </c>
      <c r="R173" s="66">
        <f t="shared" si="28"/>
        <v>-0.000007629205055</v>
      </c>
      <c r="S173" s="66">
        <f t="shared" si="28"/>
        <v>-0.00002125835934</v>
      </c>
      <c r="T173" s="66">
        <f t="shared" si="28"/>
        <v>-0.0002586537831</v>
      </c>
      <c r="U173" s="66">
        <f t="shared" si="28"/>
        <v>-0.00009950778522</v>
      </c>
      <c r="V173" s="66">
        <f t="shared" si="28"/>
        <v>-0.00000876647524</v>
      </c>
      <c r="W173" s="66">
        <f t="shared" si="28"/>
        <v>-0.000006877960069</v>
      </c>
      <c r="X173" s="66">
        <f t="shared" si="28"/>
        <v>-0.000005286827472</v>
      </c>
      <c r="Y173" s="66">
        <f t="shared" si="28"/>
        <v>-0.00000633711578</v>
      </c>
      <c r="Z173" s="66">
        <f t="shared" si="28"/>
        <v>-0.000006245021383</v>
      </c>
      <c r="AA173" s="66">
        <f t="shared" si="28"/>
        <v>-0.000005475878807</v>
      </c>
      <c r="AB173" s="66">
        <f t="shared" si="28"/>
        <v>-0.000007114442719</v>
      </c>
      <c r="AC173" s="66">
        <f t="shared" si="28"/>
        <v>-0.000002292921331</v>
      </c>
      <c r="AD173" s="66">
        <f t="shared" si="28"/>
        <v>-0.00007565496139</v>
      </c>
      <c r="AF173" s="65">
        <v>4.0</v>
      </c>
      <c r="AG173" s="74">
        <v>94607.30995007744</v>
      </c>
      <c r="AH173" s="74">
        <v>381955.47038592823</v>
      </c>
      <c r="AI173" s="74">
        <v>1894082.8421785298</v>
      </c>
      <c r="AJ173" s="74">
        <v>2.5109429274354532E8</v>
      </c>
      <c r="AK173" s="74">
        <v>7454989.987916336</v>
      </c>
      <c r="AL173" s="74">
        <v>5226.108906827175</v>
      </c>
      <c r="AM173" s="74">
        <v>59102.2684633074</v>
      </c>
      <c r="AN173" s="74">
        <v>5644998.333485562</v>
      </c>
      <c r="AO173" s="74">
        <v>7634.676031388029</v>
      </c>
      <c r="AP173" s="74">
        <v>6379361.830715621</v>
      </c>
      <c r="AQ173" s="74">
        <v>2.2370790022530627E7</v>
      </c>
      <c r="AR173" s="74">
        <v>7545.271287027306</v>
      </c>
      <c r="AS173" s="74">
        <v>722.618949110077</v>
      </c>
      <c r="AT173" s="74">
        <v>1.1101415465903984E7</v>
      </c>
      <c r="AU173" s="74">
        <v>1200114.4823422097</v>
      </c>
      <c r="AV173" s="74">
        <v>1290812.0669124355</v>
      </c>
      <c r="AW173" s="74">
        <v>2934866.299688674</v>
      </c>
      <c r="AX173" s="74">
        <v>2.83587245289885E7</v>
      </c>
      <c r="AY173" s="74">
        <v>1.4931065886407254E7</v>
      </c>
      <c r="AZ173" s="74">
        <v>85002.24382257464</v>
      </c>
      <c r="BA173" s="74">
        <v>291089.440532372</v>
      </c>
      <c r="BB173" s="74">
        <v>3.1626948762065444E7</v>
      </c>
      <c r="BC173" s="74">
        <v>555234.2820069925</v>
      </c>
      <c r="BD173" s="74">
        <v>1.5696770362350784E7</v>
      </c>
      <c r="BE173" s="74">
        <v>3.523620710223876E7</v>
      </c>
      <c r="BF173" s="74">
        <v>128911.9400859378</v>
      </c>
      <c r="BG173" s="74">
        <v>93463.87182411726</v>
      </c>
      <c r="BH173" s="74">
        <v>1.8692091828484192E7</v>
      </c>
      <c r="BI173" s="9">
        <f t="shared" si="26"/>
        <v>457618028</v>
      </c>
    </row>
    <row r="174" ht="15.75" customHeight="1">
      <c r="B174" s="65">
        <v>5.0</v>
      </c>
      <c r="C174" s="66">
        <f t="shared" ref="C174:AD174" si="29">C143-C112</f>
        <v>-0.0001217449221</v>
      </c>
      <c r="D174" s="66">
        <f t="shared" si="29"/>
        <v>-0.009604948661</v>
      </c>
      <c r="E174" s="66">
        <f t="shared" si="29"/>
        <v>-0.07893907873</v>
      </c>
      <c r="F174" s="66">
        <f t="shared" si="29"/>
        <v>-0.005549330603</v>
      </c>
      <c r="G174" s="66">
        <f t="shared" si="29"/>
        <v>0.9357500261</v>
      </c>
      <c r="H174" s="66">
        <f t="shared" si="29"/>
        <v>-0.0002313717055</v>
      </c>
      <c r="I174" s="66">
        <f t="shared" si="29"/>
        <v>-0.00008441044218</v>
      </c>
      <c r="J174" s="66">
        <f t="shared" si="29"/>
        <v>-0.0004544118767</v>
      </c>
      <c r="K174" s="66">
        <f t="shared" si="29"/>
        <v>-0.00009521899385</v>
      </c>
      <c r="L174" s="66">
        <f t="shared" si="29"/>
        <v>-0.000496115035</v>
      </c>
      <c r="M174" s="66">
        <f t="shared" si="29"/>
        <v>-0.00093092023</v>
      </c>
      <c r="N174" s="66">
        <f t="shared" si="29"/>
        <v>-0.0002334356856</v>
      </c>
      <c r="O174" s="66">
        <f t="shared" si="29"/>
        <v>-0.000108379026</v>
      </c>
      <c r="P174" s="66">
        <f t="shared" si="29"/>
        <v>-0.02450160066</v>
      </c>
      <c r="Q174" s="66">
        <f t="shared" si="29"/>
        <v>-0.000002900889899</v>
      </c>
      <c r="R174" s="66">
        <f t="shared" si="29"/>
        <v>-0.0001352227961</v>
      </c>
      <c r="S174" s="66">
        <f t="shared" si="29"/>
        <v>-0.0001238110225</v>
      </c>
      <c r="T174" s="66">
        <f t="shared" si="29"/>
        <v>-0.00009362261222</v>
      </c>
      <c r="U174" s="66">
        <f t="shared" si="29"/>
        <v>-0.0003833785024</v>
      </c>
      <c r="V174" s="66">
        <f t="shared" si="29"/>
        <v>-0.000005053172637</v>
      </c>
      <c r="W174" s="66">
        <f t="shared" si="29"/>
        <v>-0.000008073980648</v>
      </c>
      <c r="X174" s="66">
        <f t="shared" si="29"/>
        <v>-0.00000934937878</v>
      </c>
      <c r="Y174" s="66">
        <f t="shared" si="29"/>
        <v>-0.00002174412291</v>
      </c>
      <c r="Z174" s="66">
        <f t="shared" si="29"/>
        <v>-0.000008563267468</v>
      </c>
      <c r="AA174" s="66">
        <f t="shared" si="29"/>
        <v>-0.000008669540364</v>
      </c>
      <c r="AB174" s="66">
        <f t="shared" si="29"/>
        <v>-0.00001397888984</v>
      </c>
      <c r="AC174" s="66">
        <f t="shared" si="29"/>
        <v>-0.000002081904599</v>
      </c>
      <c r="AD174" s="66">
        <f t="shared" si="29"/>
        <v>-0.0001343223171</v>
      </c>
      <c r="AF174" s="65">
        <v>5.0</v>
      </c>
      <c r="AG174" s="74">
        <v>20550.894054231267</v>
      </c>
      <c r="AH174" s="74">
        <v>1113929.9447728915</v>
      </c>
      <c r="AI174" s="74">
        <v>5573746.7288991</v>
      </c>
      <c r="AJ174" s="74">
        <v>1941172.9386090217</v>
      </c>
      <c r="AK174" s="74">
        <v>4.0787038158064765E8</v>
      </c>
      <c r="AL174" s="74">
        <v>1786.4009229121623</v>
      </c>
      <c r="AM174" s="74">
        <v>18534.366876240154</v>
      </c>
      <c r="AN174" s="74">
        <v>2507952.436970518</v>
      </c>
      <c r="AO174" s="74">
        <v>3385.8651627167633</v>
      </c>
      <c r="AP174" s="74">
        <v>2900694.7812154414</v>
      </c>
      <c r="AQ174" s="74">
        <v>7976590.211410947</v>
      </c>
      <c r="AR174" s="74">
        <v>2568.094866740257</v>
      </c>
      <c r="AS174" s="74">
        <v>238.636414638553</v>
      </c>
      <c r="AT174" s="74">
        <v>8992237.41774857</v>
      </c>
      <c r="AU174" s="74">
        <v>713789.9290598531</v>
      </c>
      <c r="AV174" s="74">
        <v>3624956.3567469823</v>
      </c>
      <c r="AW174" s="74">
        <v>5635533.624728779</v>
      </c>
      <c r="AX174" s="74">
        <v>9212050.68158498</v>
      </c>
      <c r="AY174" s="74">
        <v>2.4193801907487378E7</v>
      </c>
      <c r="AZ174" s="74">
        <v>49773.20541196229</v>
      </c>
      <c r="BA174" s="74">
        <v>201833.54267888752</v>
      </c>
      <c r="BB174" s="74">
        <v>2.4907070210318897E7</v>
      </c>
      <c r="BC174" s="74">
        <v>580090.7729543726</v>
      </c>
      <c r="BD174" s="74">
        <v>1.1881158817427818E7</v>
      </c>
      <c r="BE174" s="74">
        <v>2.7780665490313966E7</v>
      </c>
      <c r="BF174" s="74">
        <v>105654.1689330643</v>
      </c>
      <c r="BG174" s="74">
        <v>67169.72215318408</v>
      </c>
      <c r="BH174" s="74">
        <v>1.6421612042628186E7</v>
      </c>
      <c r="BI174" s="9">
        <f t="shared" si="26"/>
        <v>564298930.8</v>
      </c>
    </row>
    <row r="175" ht="15.75" customHeight="1">
      <c r="B175" s="65">
        <v>6.0</v>
      </c>
      <c r="C175" s="66">
        <f t="shared" ref="C175:AD175" si="30">C144-C113</f>
        <v>-0.008284143753</v>
      </c>
      <c r="D175" s="66">
        <f t="shared" si="30"/>
        <v>-0.0005318991936</v>
      </c>
      <c r="E175" s="66">
        <f t="shared" si="30"/>
        <v>-0.0003493500584</v>
      </c>
      <c r="F175" s="66">
        <f t="shared" si="30"/>
        <v>-0.001463534456</v>
      </c>
      <c r="G175" s="66">
        <f t="shared" si="30"/>
        <v>-0.0002707628894</v>
      </c>
      <c r="H175" s="66">
        <f t="shared" si="30"/>
        <v>0.8831875994</v>
      </c>
      <c r="I175" s="66">
        <f t="shared" si="30"/>
        <v>-0.0004784396923</v>
      </c>
      <c r="J175" s="66">
        <f t="shared" si="30"/>
        <v>-0.001088890017</v>
      </c>
      <c r="K175" s="66">
        <f t="shared" si="30"/>
        <v>-0.0005432974908</v>
      </c>
      <c r="L175" s="66">
        <f t="shared" si="30"/>
        <v>-0.001275448994</v>
      </c>
      <c r="M175" s="66">
        <f t="shared" si="30"/>
        <v>-0.003178641506</v>
      </c>
      <c r="N175" s="66">
        <f t="shared" si="30"/>
        <v>-0.1176442688</v>
      </c>
      <c r="O175" s="66">
        <f t="shared" si="30"/>
        <v>-0.0009629858831</v>
      </c>
      <c r="P175" s="66">
        <f t="shared" si="30"/>
        <v>-0.0007404438202</v>
      </c>
      <c r="Q175" s="66">
        <f t="shared" si="30"/>
        <v>-0.0000003979556871</v>
      </c>
      <c r="R175" s="66">
        <f t="shared" si="30"/>
        <v>-0.0000007069906092</v>
      </c>
      <c r="S175" s="66">
        <f t="shared" si="30"/>
        <v>-0.000001202087092</v>
      </c>
      <c r="T175" s="66">
        <f t="shared" si="30"/>
        <v>-0.000001725973993</v>
      </c>
      <c r="U175" s="66">
        <f t="shared" si="30"/>
        <v>-0.0000003409264829</v>
      </c>
      <c r="V175" s="66">
        <f t="shared" si="30"/>
        <v>-0.000009502297926</v>
      </c>
      <c r="W175" s="66">
        <f t="shared" si="30"/>
        <v>-0.0000002610553992</v>
      </c>
      <c r="X175" s="66">
        <f t="shared" si="30"/>
        <v>-0.000000558685746</v>
      </c>
      <c r="Y175" s="66">
        <f t="shared" si="30"/>
        <v>-0.0000004733111172</v>
      </c>
      <c r="Z175" s="66">
        <f t="shared" si="30"/>
        <v>-0.0000004068935369</v>
      </c>
      <c r="AA175" s="66">
        <f t="shared" si="30"/>
        <v>-0.0000002110993509</v>
      </c>
      <c r="AB175" s="66">
        <f t="shared" si="30"/>
        <v>-0.00001272012088</v>
      </c>
      <c r="AC175" s="66">
        <f t="shared" si="30"/>
        <v>-0.0000008312442376</v>
      </c>
      <c r="AD175" s="66">
        <f t="shared" si="30"/>
        <v>-0.0000002051007055</v>
      </c>
      <c r="AF175" s="65">
        <v>6.0</v>
      </c>
      <c r="AG175" s="74">
        <v>9327096.716130674</v>
      </c>
      <c r="AH175" s="74">
        <v>7489413.513389324</v>
      </c>
      <c r="AI175" s="74">
        <v>3491089.8529969524</v>
      </c>
      <c r="AJ175" s="74">
        <v>1.0744749138587214E7</v>
      </c>
      <c r="AK175" s="74">
        <v>8608407.744365064</v>
      </c>
      <c r="AL175" s="74">
        <v>4.81117401484964E7</v>
      </c>
      <c r="AM175" s="74">
        <v>1544114.4579378276</v>
      </c>
      <c r="AN175" s="74">
        <v>1.599370493561438E8</v>
      </c>
      <c r="AO175" s="74">
        <v>84757.9129282543</v>
      </c>
      <c r="AP175" s="74">
        <v>1.4656394366447863E8</v>
      </c>
      <c r="AQ175" s="74">
        <v>6.587560471188586E8</v>
      </c>
      <c r="AR175" s="74">
        <v>1.0654754078224974E7</v>
      </c>
      <c r="AS175" s="74">
        <v>21609.977235480936</v>
      </c>
      <c r="AT175" s="74">
        <v>1.3288064822683487E7</v>
      </c>
      <c r="AU175" s="74">
        <v>3472080.943416327</v>
      </c>
      <c r="AV175" s="74">
        <v>3965455.061799998</v>
      </c>
      <c r="AW175" s="74">
        <v>4969106.30554971</v>
      </c>
      <c r="AX175" s="74">
        <v>1.1259013233389517E7</v>
      </c>
      <c r="AY175" s="74">
        <v>1.0171708219688674E7</v>
      </c>
      <c r="AZ175" s="74">
        <v>937322.7025686654</v>
      </c>
      <c r="BA175" s="74">
        <v>723542.486495152</v>
      </c>
      <c r="BB175" s="74">
        <v>1.4587614536259288E8</v>
      </c>
      <c r="BC175" s="74">
        <v>1629265.106735153</v>
      </c>
      <c r="BD175" s="74">
        <v>4.259480070497876E7</v>
      </c>
      <c r="BE175" s="74">
        <v>8.093148843069245E7</v>
      </c>
      <c r="BF175" s="74">
        <v>1698895.529496524</v>
      </c>
      <c r="BG175" s="74">
        <v>442977.4471601063</v>
      </c>
      <c r="BH175" s="74">
        <v>9104719.373979669</v>
      </c>
      <c r="BI175" s="9">
        <f t="shared" si="26"/>
        <v>1396399359</v>
      </c>
    </row>
    <row r="176" ht="15.75" customHeight="1">
      <c r="B176" s="65">
        <v>7.0</v>
      </c>
      <c r="C176" s="66">
        <f t="shared" ref="C176:AD176" si="31">C145-C114</f>
        <v>-0.01119028126</v>
      </c>
      <c r="D176" s="66">
        <f t="shared" si="31"/>
        <v>-0.00398957399</v>
      </c>
      <c r="E176" s="66">
        <f t="shared" si="31"/>
        <v>-0.004117118719</v>
      </c>
      <c r="F176" s="66">
        <f t="shared" si="31"/>
        <v>-0.002080568989</v>
      </c>
      <c r="G176" s="66">
        <f t="shared" si="31"/>
        <v>-0.0007304179932</v>
      </c>
      <c r="H176" s="66">
        <f t="shared" si="31"/>
        <v>-0.00962998526</v>
      </c>
      <c r="I176" s="66">
        <f t="shared" si="31"/>
        <v>0.8520161584</v>
      </c>
      <c r="J176" s="66">
        <f t="shared" si="31"/>
        <v>-0.00851525761</v>
      </c>
      <c r="K176" s="66">
        <f t="shared" si="31"/>
        <v>-0.03577682475</v>
      </c>
      <c r="L176" s="66">
        <f t="shared" si="31"/>
        <v>-0.003533482337</v>
      </c>
      <c r="M176" s="66">
        <f t="shared" si="31"/>
        <v>-0.00102889746</v>
      </c>
      <c r="N176" s="66">
        <f t="shared" si="31"/>
        <v>-0.009194256168</v>
      </c>
      <c r="O176" s="66">
        <f t="shared" si="31"/>
        <v>-0.001512689652</v>
      </c>
      <c r="P176" s="66">
        <f t="shared" si="31"/>
        <v>-0.005177985887</v>
      </c>
      <c r="Q176" s="66">
        <f t="shared" si="31"/>
        <v>-0.00002698646091</v>
      </c>
      <c r="R176" s="66">
        <f t="shared" si="31"/>
        <v>-0.00001515704962</v>
      </c>
      <c r="S176" s="66">
        <f t="shared" si="31"/>
        <v>-0.000009383902673</v>
      </c>
      <c r="T176" s="66">
        <f t="shared" si="31"/>
        <v>-0.00001651818035</v>
      </c>
      <c r="U176" s="66">
        <f t="shared" si="31"/>
        <v>-0.00001081581036</v>
      </c>
      <c r="V176" s="66">
        <f t="shared" si="31"/>
        <v>-0.00001585999963</v>
      </c>
      <c r="W176" s="66">
        <f t="shared" si="31"/>
        <v>-0.00000465460952</v>
      </c>
      <c r="X176" s="66">
        <f t="shared" si="31"/>
        <v>-0.00001144233266</v>
      </c>
      <c r="Y176" s="66">
        <f t="shared" si="31"/>
        <v>-0.000009702573279</v>
      </c>
      <c r="Z176" s="66">
        <f t="shared" si="31"/>
        <v>-0.00000713019244</v>
      </c>
      <c r="AA176" s="66">
        <f t="shared" si="31"/>
        <v>-0.000001506222733</v>
      </c>
      <c r="AB176" s="66">
        <f t="shared" si="31"/>
        <v>-0.00002251525592</v>
      </c>
      <c r="AC176" s="66">
        <f t="shared" si="31"/>
        <v>-0.00001186122907</v>
      </c>
      <c r="AD176" s="66">
        <f t="shared" si="31"/>
        <v>-0.0000140155166</v>
      </c>
      <c r="AF176" s="65">
        <v>7.0</v>
      </c>
      <c r="AG176" s="74">
        <v>4699730.689163627</v>
      </c>
      <c r="AH176" s="74">
        <v>6712233.416539458</v>
      </c>
      <c r="AI176" s="74">
        <v>4264138.183532137</v>
      </c>
      <c r="AJ176" s="74">
        <v>4949225.904610608</v>
      </c>
      <c r="AK176" s="74">
        <v>5964834.613357349</v>
      </c>
      <c r="AL176" s="74">
        <v>293409.2827852263</v>
      </c>
      <c r="AM176" s="74">
        <v>4.039892644273135E8</v>
      </c>
      <c r="AN176" s="74">
        <v>2.644994832831522E8</v>
      </c>
      <c r="AO176" s="74">
        <v>1065081.4115573782</v>
      </c>
      <c r="AP176" s="74">
        <v>9.836827520671625E7</v>
      </c>
      <c r="AQ176" s="74">
        <v>1.2626611280015424E8</v>
      </c>
      <c r="AR176" s="74">
        <v>411020.5917840113</v>
      </c>
      <c r="AS176" s="74">
        <v>16049.555086007795</v>
      </c>
      <c r="AT176" s="74">
        <v>1.903573160623163E7</v>
      </c>
      <c r="AU176" s="74">
        <v>1.4080575232339816E7</v>
      </c>
      <c r="AV176" s="74">
        <v>7952241.176503667</v>
      </c>
      <c r="AW176" s="74">
        <v>7810779.647996434</v>
      </c>
      <c r="AX176" s="74">
        <v>1.8260378718775347E7</v>
      </c>
      <c r="AY176" s="74">
        <v>2.0330019491439298E7</v>
      </c>
      <c r="AZ176" s="74">
        <v>627027.7235095814</v>
      </c>
      <c r="BA176" s="74">
        <v>1380887.2515482537</v>
      </c>
      <c r="BB176" s="74">
        <v>2.84622913892599E8</v>
      </c>
      <c r="BC176" s="74">
        <v>3187460.390519006</v>
      </c>
      <c r="BD176" s="74">
        <v>7.147485657073207E7</v>
      </c>
      <c r="BE176" s="74">
        <v>1.115319747963099E8</v>
      </c>
      <c r="BF176" s="74">
        <v>1135965.8049938644</v>
      </c>
      <c r="BG176" s="74">
        <v>835107.9151544591</v>
      </c>
      <c r="BH176" s="74">
        <v>2.2366657075596433E7</v>
      </c>
      <c r="BI176" s="9">
        <f t="shared" si="26"/>
        <v>1506131437</v>
      </c>
    </row>
    <row r="177" ht="15.75" customHeight="1">
      <c r="B177" s="65">
        <v>8.0</v>
      </c>
      <c r="C177" s="66">
        <f t="shared" ref="C177:AD177" si="32">C146-C115</f>
        <v>-0.1033839698</v>
      </c>
      <c r="D177" s="66">
        <f t="shared" si="32"/>
        <v>-0.07898955508</v>
      </c>
      <c r="E177" s="66">
        <f t="shared" si="32"/>
        <v>-0.07654402043</v>
      </c>
      <c r="F177" s="66">
        <f t="shared" si="32"/>
        <v>-0.05264155731</v>
      </c>
      <c r="G177" s="66">
        <f t="shared" si="32"/>
        <v>-0.01689777701</v>
      </c>
      <c r="H177" s="66">
        <f t="shared" si="32"/>
        <v>-0.06152725518</v>
      </c>
      <c r="I177" s="66">
        <f t="shared" si="32"/>
        <v>-0.06117672938</v>
      </c>
      <c r="J177" s="66">
        <f t="shared" si="32"/>
        <v>0.7854318672</v>
      </c>
      <c r="K177" s="66">
        <f t="shared" si="32"/>
        <v>-0.01416511115</v>
      </c>
      <c r="L177" s="66">
        <f t="shared" si="32"/>
        <v>-0.05189795929</v>
      </c>
      <c r="M177" s="66">
        <f t="shared" si="32"/>
        <v>-0.07317529979</v>
      </c>
      <c r="N177" s="66">
        <f t="shared" si="32"/>
        <v>-0.055150236</v>
      </c>
      <c r="O177" s="66">
        <f t="shared" si="32"/>
        <v>-0.2347645061</v>
      </c>
      <c r="P177" s="66">
        <f t="shared" si="32"/>
        <v>-0.03986965314</v>
      </c>
      <c r="Q177" s="66">
        <f t="shared" si="32"/>
        <v>-0.0001444953256</v>
      </c>
      <c r="R177" s="66">
        <f t="shared" si="32"/>
        <v>-0.0003943667703</v>
      </c>
      <c r="S177" s="66">
        <f t="shared" si="32"/>
        <v>-0.000160572855</v>
      </c>
      <c r="T177" s="66">
        <f t="shared" si="32"/>
        <v>-0.0002760582184</v>
      </c>
      <c r="U177" s="66">
        <f t="shared" si="32"/>
        <v>-0.0001780859859</v>
      </c>
      <c r="V177" s="66">
        <f t="shared" si="32"/>
        <v>-0.000328689134</v>
      </c>
      <c r="W177" s="66">
        <f t="shared" si="32"/>
        <v>-0.0001187175615</v>
      </c>
      <c r="X177" s="66">
        <f t="shared" si="32"/>
        <v>-0.0009988308393</v>
      </c>
      <c r="Y177" s="66">
        <f t="shared" si="32"/>
        <v>-0.0003314528152</v>
      </c>
      <c r="Z177" s="66">
        <f t="shared" si="32"/>
        <v>-0.0001576300669</v>
      </c>
      <c r="AA177" s="66">
        <f t="shared" si="32"/>
        <v>-0.00008563723393</v>
      </c>
      <c r="AB177" s="66">
        <f t="shared" si="32"/>
        <v>-0.0004364229789</v>
      </c>
      <c r="AC177" s="66">
        <f t="shared" si="32"/>
        <v>-0.0001639265803</v>
      </c>
      <c r="AD177" s="66">
        <f t="shared" si="32"/>
        <v>-0.00006354847507</v>
      </c>
      <c r="AF177" s="65">
        <v>8.0</v>
      </c>
      <c r="AG177" s="74">
        <v>2.4733007600961488E7</v>
      </c>
      <c r="AH177" s="74">
        <v>6.047685752430796E7</v>
      </c>
      <c r="AI177" s="74">
        <v>3.550179368236113E7</v>
      </c>
      <c r="AJ177" s="74">
        <v>5.4472922436103776E7</v>
      </c>
      <c r="AK177" s="74">
        <v>5.9582018275697924E7</v>
      </c>
      <c r="AL177" s="74">
        <v>1169073.4960196898</v>
      </c>
      <c r="AM177" s="74">
        <v>1.9615111148512725E7</v>
      </c>
      <c r="AN177" s="74">
        <v>1.3410653841255445E10</v>
      </c>
      <c r="AO177" s="74">
        <v>424219.65441913204</v>
      </c>
      <c r="AP177" s="74">
        <v>8.265215419073013E8</v>
      </c>
      <c r="AQ177" s="74">
        <v>2.540817809039661E9</v>
      </c>
      <c r="AR177" s="74">
        <v>1593895.5018051497</v>
      </c>
      <c r="AS177" s="74">
        <v>485667.1626673891</v>
      </c>
      <c r="AT177" s="74">
        <v>9.382422402881496E7</v>
      </c>
      <c r="AU177" s="74">
        <v>9.528800643953991E7</v>
      </c>
      <c r="AV177" s="74">
        <v>9.833003586821261E7</v>
      </c>
      <c r="AW177" s="74">
        <v>8.494352118721846E7</v>
      </c>
      <c r="AX177" s="74">
        <v>2.0265493993621793E8</v>
      </c>
      <c r="AY177" s="74">
        <v>1.9045072492803517E8</v>
      </c>
      <c r="AZ177" s="74">
        <v>7708996.973654362</v>
      </c>
      <c r="BA177" s="74">
        <v>2.1937449254520226E7</v>
      </c>
      <c r="BB177" s="74">
        <v>6.330962506895463E9</v>
      </c>
      <c r="BC177" s="74">
        <v>5.0371106748453826E7</v>
      </c>
      <c r="BD177" s="74">
        <v>9.189407731584666E8</v>
      </c>
      <c r="BE177" s="74">
        <v>1.9363052314177818E9</v>
      </c>
      <c r="BF177" s="74">
        <v>1.3436038615812685E7</v>
      </c>
      <c r="BG177" s="74">
        <v>9899115.971325526</v>
      </c>
      <c r="BH177" s="74">
        <v>1.762037367912311E8</v>
      </c>
      <c r="BI177" s="9">
        <f t="shared" si="26"/>
        <v>27267304167</v>
      </c>
    </row>
    <row r="178" ht="15.75" customHeight="1">
      <c r="B178" s="65">
        <v>9.0</v>
      </c>
      <c r="C178" s="66">
        <f t="shared" ref="C178:AD178" si="33">C147-C116</f>
        <v>-0.001095243022</v>
      </c>
      <c r="D178" s="66">
        <f t="shared" si="33"/>
        <v>-0.00002533643022</v>
      </c>
      <c r="E178" s="66">
        <f t="shared" si="33"/>
        <v>-0.0109373251</v>
      </c>
      <c r="F178" s="66">
        <f t="shared" si="33"/>
        <v>-0.00002306210151</v>
      </c>
      <c r="G178" s="66">
        <f t="shared" si="33"/>
        <v>-0.003544593375</v>
      </c>
      <c r="H178" s="66">
        <f t="shared" si="33"/>
        <v>-0.0008495480386</v>
      </c>
      <c r="I178" s="66">
        <f t="shared" si="33"/>
        <v>-0.00004407525639</v>
      </c>
      <c r="J178" s="66">
        <f t="shared" si="33"/>
        <v>-0.00005693668942</v>
      </c>
      <c r="K178" s="66">
        <f t="shared" si="33"/>
        <v>0.9999903398</v>
      </c>
      <c r="L178" s="66">
        <f t="shared" si="33"/>
        <v>-0.00003392850934</v>
      </c>
      <c r="M178" s="66">
        <f t="shared" si="33"/>
        <v>-0.00007818999809</v>
      </c>
      <c r="N178" s="66">
        <f t="shared" si="33"/>
        <v>-0.0008408567475</v>
      </c>
      <c r="O178" s="66">
        <f t="shared" si="33"/>
        <v>-0.00002844300108</v>
      </c>
      <c r="P178" s="66">
        <f t="shared" si="33"/>
        <v>-0.002007898539</v>
      </c>
      <c r="Q178" s="66">
        <f t="shared" si="33"/>
        <v>-0.000006872153649</v>
      </c>
      <c r="R178" s="66">
        <f t="shared" si="33"/>
        <v>-0.000001347622351</v>
      </c>
      <c r="S178" s="66">
        <f t="shared" si="33"/>
        <v>-0.00000628860881</v>
      </c>
      <c r="T178" s="66">
        <f t="shared" si="33"/>
        <v>-0.000002126624423</v>
      </c>
      <c r="U178" s="66">
        <f t="shared" si="33"/>
        <v>-0.0000255790716</v>
      </c>
      <c r="V178" s="66">
        <f t="shared" si="33"/>
        <v>-0.0000004998051968</v>
      </c>
      <c r="W178" s="66">
        <f t="shared" si="33"/>
        <v>-0.0000001335893958</v>
      </c>
      <c r="X178" s="66">
        <f t="shared" si="33"/>
        <v>-0.0000008697865054</v>
      </c>
      <c r="Y178" s="66">
        <f t="shared" si="33"/>
        <v>-0.0000007979205431</v>
      </c>
      <c r="Z178" s="66">
        <f t="shared" si="33"/>
        <v>-0.0000002390440643</v>
      </c>
      <c r="AA178" s="66">
        <f t="shared" si="33"/>
        <v>-0.0000002200517112</v>
      </c>
      <c r="AB178" s="66">
        <f t="shared" si="33"/>
        <v>-0.000000369093157</v>
      </c>
      <c r="AC178" s="66">
        <f t="shared" si="33"/>
        <v>-0.00000005419565401</v>
      </c>
      <c r="AD178" s="66">
        <f t="shared" si="33"/>
        <v>-0.000003137712843</v>
      </c>
      <c r="AF178" s="65">
        <v>9.0</v>
      </c>
      <c r="AG178" s="74">
        <v>80829.20052535902</v>
      </c>
      <c r="AH178" s="74">
        <v>47520.59216887911</v>
      </c>
      <c r="AI178" s="74">
        <v>1303879.007197266</v>
      </c>
      <c r="AJ178" s="74">
        <v>288125.7582848826</v>
      </c>
      <c r="AK178" s="74">
        <v>2669820.1042112983</v>
      </c>
      <c r="AL178" s="74">
        <v>4722.836821016315</v>
      </c>
      <c r="AM178" s="74">
        <v>6660.211652674876</v>
      </c>
      <c r="AN178" s="74">
        <v>513377.1732853761</v>
      </c>
      <c r="AO178" s="74">
        <v>5771018.098528871</v>
      </c>
      <c r="AP178" s="74">
        <v>471573.86325200245</v>
      </c>
      <c r="AQ178" s="74">
        <v>1309015.1527068128</v>
      </c>
      <c r="AR178" s="74">
        <v>6788.006329662698</v>
      </c>
      <c r="AS178" s="74">
        <v>56.393177933690204</v>
      </c>
      <c r="AT178" s="74">
        <v>1271867.484131325</v>
      </c>
      <c r="AU178" s="74">
        <v>550329.8154531313</v>
      </c>
      <c r="AV178" s="74">
        <v>211547.1165865098</v>
      </c>
      <c r="AW178" s="74">
        <v>570719.3493556555</v>
      </c>
      <c r="AX178" s="74">
        <v>714607.0792659448</v>
      </c>
      <c r="AY178" s="74">
        <v>2995567.650183833</v>
      </c>
      <c r="AZ178" s="74">
        <v>6358.550924036265</v>
      </c>
      <c r="BA178" s="74">
        <v>17189.515884989658</v>
      </c>
      <c r="BB178" s="74">
        <v>3410881.739841361</v>
      </c>
      <c r="BC178" s="74">
        <v>62483.78371320615</v>
      </c>
      <c r="BD178" s="74">
        <v>1213454.2381007764</v>
      </c>
      <c r="BE178" s="74">
        <v>2373787.5829045665</v>
      </c>
      <c r="BF178" s="74">
        <v>9902.772927955994</v>
      </c>
      <c r="BG178" s="74">
        <v>7060.64520229082</v>
      </c>
      <c r="BH178" s="74">
        <v>1016474.6728823747</v>
      </c>
      <c r="BI178" s="9">
        <f t="shared" si="26"/>
        <v>26905618.4</v>
      </c>
    </row>
    <row r="179" ht="15.75" customHeight="1">
      <c r="B179" s="65">
        <v>10.0</v>
      </c>
      <c r="C179" s="66">
        <f t="shared" ref="C179:AD179" si="34">C148-C117</f>
        <v>-0.06012214579</v>
      </c>
      <c r="D179" s="66">
        <f t="shared" si="34"/>
        <v>-0.090145024</v>
      </c>
      <c r="E179" s="66">
        <f t="shared" si="34"/>
        <v>-0.04932078171</v>
      </c>
      <c r="F179" s="66">
        <f t="shared" si="34"/>
        <v>-0.09649298683</v>
      </c>
      <c r="G179" s="66">
        <f t="shared" si="34"/>
        <v>-0.03261731903</v>
      </c>
      <c r="H179" s="66">
        <f t="shared" si="34"/>
        <v>-0.05636567406</v>
      </c>
      <c r="I179" s="66">
        <f t="shared" si="34"/>
        <v>-0.06723091595</v>
      </c>
      <c r="J179" s="66">
        <f t="shared" si="34"/>
        <v>-0.05221220656</v>
      </c>
      <c r="K179" s="66">
        <f t="shared" si="34"/>
        <v>-0.06350246279</v>
      </c>
      <c r="L179" s="66">
        <f t="shared" si="34"/>
        <v>0.8757431109</v>
      </c>
      <c r="M179" s="66">
        <f t="shared" si="34"/>
        <v>-0.03825379817</v>
      </c>
      <c r="N179" s="66">
        <f t="shared" si="34"/>
        <v>-0.0499726769</v>
      </c>
      <c r="O179" s="66">
        <f t="shared" si="34"/>
        <v>-0.05150614985</v>
      </c>
      <c r="P179" s="66">
        <f t="shared" si="34"/>
        <v>-0.05433464672</v>
      </c>
      <c r="Q179" s="66">
        <f t="shared" si="34"/>
        <v>-0.0001106797917</v>
      </c>
      <c r="R179" s="66">
        <f t="shared" si="34"/>
        <v>-0.0003641035176</v>
      </c>
      <c r="S179" s="66">
        <f t="shared" si="34"/>
        <v>-0.0001545946942</v>
      </c>
      <c r="T179" s="66">
        <f t="shared" si="34"/>
        <v>-0.0002768770885</v>
      </c>
      <c r="U179" s="66">
        <f t="shared" si="34"/>
        <v>-0.0001584387748</v>
      </c>
      <c r="V179" s="66">
        <f t="shared" si="34"/>
        <v>-0.001010162258</v>
      </c>
      <c r="W179" s="66">
        <f t="shared" si="34"/>
        <v>-0.00006282344138</v>
      </c>
      <c r="X179" s="66">
        <f t="shared" si="34"/>
        <v>-0.000193193337</v>
      </c>
      <c r="Y179" s="66">
        <f t="shared" si="34"/>
        <v>-0.0001557314124</v>
      </c>
      <c r="Z179" s="66">
        <f t="shared" si="34"/>
        <v>-0.0003704039724</v>
      </c>
      <c r="AA179" s="66">
        <f t="shared" si="34"/>
        <v>-0.0000697185469</v>
      </c>
      <c r="AB179" s="66">
        <f t="shared" si="34"/>
        <v>-0.0004049090441</v>
      </c>
      <c r="AC179" s="66">
        <f t="shared" si="34"/>
        <v>-0.0001982779716</v>
      </c>
      <c r="AD179" s="66">
        <f t="shared" si="34"/>
        <v>-0.00006229997938</v>
      </c>
      <c r="AF179" s="65">
        <v>10.0</v>
      </c>
      <c r="AG179" s="74">
        <v>2.091374253518927E7</v>
      </c>
      <c r="AH179" s="74">
        <v>8.061685932610804E7</v>
      </c>
      <c r="AI179" s="74">
        <v>3.38763315617011E7</v>
      </c>
      <c r="AJ179" s="74">
        <v>1.0091474267312895E8</v>
      </c>
      <c r="AK179" s="74">
        <v>1.1491967298807362E8</v>
      </c>
      <c r="AL179" s="74">
        <v>1389663.913497274</v>
      </c>
      <c r="AM179" s="74">
        <v>2.7708643473945145E7</v>
      </c>
      <c r="AN179" s="74">
        <v>1.3161696797013843E9</v>
      </c>
      <c r="AO179" s="74">
        <v>1598743.2650735104</v>
      </c>
      <c r="AP179" s="74">
        <v>1.456526975029428E10</v>
      </c>
      <c r="AQ179" s="74">
        <v>1.9737623223742409E9</v>
      </c>
      <c r="AR179" s="74">
        <v>1876294.5534865786</v>
      </c>
      <c r="AS179" s="74">
        <v>194298.37676325286</v>
      </c>
      <c r="AT179" s="74">
        <v>1.526306109931485E8</v>
      </c>
      <c r="AU179" s="74">
        <v>7.841832872641699E7</v>
      </c>
      <c r="AV179" s="74">
        <v>9.827858363745493E7</v>
      </c>
      <c r="AW179" s="74">
        <v>8.537494528704043E7</v>
      </c>
      <c r="AX179" s="74">
        <v>2.153556878337968E8</v>
      </c>
      <c r="AY179" s="74">
        <v>1.8689314155898625E8</v>
      </c>
      <c r="AZ179" s="74">
        <v>1.5187387708481882E7</v>
      </c>
      <c r="BA179" s="74">
        <v>1.5280354520008603E7</v>
      </c>
      <c r="BB179" s="74">
        <v>2.845889483987345E9</v>
      </c>
      <c r="BC179" s="74">
        <v>3.558321189383081E7</v>
      </c>
      <c r="BD179" s="74">
        <v>1.390962392302834E9</v>
      </c>
      <c r="BE179" s="74">
        <v>1.6377344360928602E9</v>
      </c>
      <c r="BF179" s="74">
        <v>1.387891234936056E7</v>
      </c>
      <c r="BG179" s="74">
        <v>1.0001116742918354E7</v>
      </c>
      <c r="BH179" s="74">
        <v>1.82764334618634E8</v>
      </c>
      <c r="BI179" s="9">
        <f t="shared" si="26"/>
        <v>25203443673</v>
      </c>
    </row>
    <row r="180" ht="15.75" customHeight="1">
      <c r="B180" s="65">
        <v>11.0</v>
      </c>
      <c r="C180" s="66">
        <f t="shared" ref="C180:AD180" si="35">C149-C118</f>
        <v>-0.07679356412</v>
      </c>
      <c r="D180" s="66">
        <f t="shared" si="35"/>
        <v>-0.1308244563</v>
      </c>
      <c r="E180" s="66">
        <f t="shared" si="35"/>
        <v>-0.07312237208</v>
      </c>
      <c r="F180" s="66">
        <f t="shared" si="35"/>
        <v>-0.1197412986</v>
      </c>
      <c r="G180" s="66">
        <f t="shared" si="35"/>
        <v>-0.04719229538</v>
      </c>
      <c r="H180" s="66">
        <f t="shared" si="35"/>
        <v>-0.07769508321</v>
      </c>
      <c r="I180" s="66">
        <f t="shared" si="35"/>
        <v>-0.04081763574</v>
      </c>
      <c r="J180" s="66">
        <f t="shared" si="35"/>
        <v>-0.06476973875</v>
      </c>
      <c r="K180" s="66">
        <f t="shared" si="35"/>
        <v>-0.01120212383</v>
      </c>
      <c r="L180" s="66">
        <f t="shared" si="35"/>
        <v>-0.1359269324</v>
      </c>
      <c r="M180" s="66">
        <f t="shared" si="35"/>
        <v>0.8101802146</v>
      </c>
      <c r="N180" s="66">
        <f t="shared" si="35"/>
        <v>-0.08158478485</v>
      </c>
      <c r="O180" s="66">
        <f t="shared" si="35"/>
        <v>-0.07353022571</v>
      </c>
      <c r="P180" s="66">
        <f t="shared" si="35"/>
        <v>-0.05443894454</v>
      </c>
      <c r="Q180" s="66">
        <f t="shared" si="35"/>
        <v>-0.0000401458187</v>
      </c>
      <c r="R180" s="66">
        <f t="shared" si="35"/>
        <v>-0.0001040323138</v>
      </c>
      <c r="S180" s="66">
        <f t="shared" si="35"/>
        <v>-0.00004725245576</v>
      </c>
      <c r="T180" s="66">
        <f t="shared" si="35"/>
        <v>-0.00008561844871</v>
      </c>
      <c r="U180" s="66">
        <f t="shared" si="35"/>
        <v>-0.00007749956193</v>
      </c>
      <c r="V180" s="66">
        <f t="shared" si="35"/>
        <v>-0.0002365022202</v>
      </c>
      <c r="W180" s="66">
        <f t="shared" si="35"/>
        <v>-0.0000461531892</v>
      </c>
      <c r="X180" s="66">
        <f t="shared" si="35"/>
        <v>-0.00008534064437</v>
      </c>
      <c r="Y180" s="66">
        <f t="shared" si="35"/>
        <v>-0.00006651594914</v>
      </c>
      <c r="Z180" s="66">
        <f t="shared" si="35"/>
        <v>-0.00007505419715</v>
      </c>
      <c r="AA180" s="66">
        <f t="shared" si="35"/>
        <v>-0.00009539101371</v>
      </c>
      <c r="AB180" s="66">
        <f t="shared" si="35"/>
        <v>-0.0003150456431</v>
      </c>
      <c r="AC180" s="66">
        <f t="shared" si="35"/>
        <v>-0.00006888721892</v>
      </c>
      <c r="AD180" s="66">
        <f t="shared" si="35"/>
        <v>-0.00003641662681</v>
      </c>
      <c r="AF180" s="65">
        <v>11.0</v>
      </c>
      <c r="AG180" s="74">
        <v>3624356.781440331</v>
      </c>
      <c r="AH180" s="74">
        <v>1.5364761457952997E7</v>
      </c>
      <c r="AI180" s="74">
        <v>6442616.684048518</v>
      </c>
      <c r="AJ180" s="74">
        <v>1.7346635073690657E7</v>
      </c>
      <c r="AK180" s="74">
        <v>2.191363960969799E7</v>
      </c>
      <c r="AL180" s="74">
        <v>262544.29060665634</v>
      </c>
      <c r="AM180" s="74">
        <v>2812577.5812360724</v>
      </c>
      <c r="AN180" s="74">
        <v>2.2331194203383437E8</v>
      </c>
      <c r="AO180" s="74">
        <v>80525.99886161025</v>
      </c>
      <c r="AP180" s="74">
        <v>3.0863570455389816E8</v>
      </c>
      <c r="AQ180" s="74">
        <v>4.587141920237031E9</v>
      </c>
      <c r="AR180" s="74">
        <v>385913.55541878706</v>
      </c>
      <c r="AS180" s="74">
        <v>36160.302110160796</v>
      </c>
      <c r="AT180" s="74">
        <v>2.241408165460718E7</v>
      </c>
      <c r="AU180" s="74">
        <v>6562635.640909278</v>
      </c>
      <c r="AV180" s="74">
        <v>7599965.569959741</v>
      </c>
      <c r="AW180" s="74">
        <v>7091661.210070666</v>
      </c>
      <c r="AX180" s="74">
        <v>1.7736865100739613E7</v>
      </c>
      <c r="AY180" s="74">
        <v>1.794233840748656E7</v>
      </c>
      <c r="AZ180" s="74">
        <v>959608.9369805021</v>
      </c>
      <c r="BA180" s="74">
        <v>1534966.4013000056</v>
      </c>
      <c r="BB180" s="74">
        <v>2.770166286457764E8</v>
      </c>
      <c r="BC180" s="74">
        <v>3159920.491537298</v>
      </c>
      <c r="BD180" s="74">
        <v>9.200758232645793E7</v>
      </c>
      <c r="BE180" s="74">
        <v>2.1438570638297704E8</v>
      </c>
      <c r="BF180" s="74">
        <v>1537557.795399508</v>
      </c>
      <c r="BG180" s="74">
        <v>810572.4397196885</v>
      </c>
      <c r="BH180" s="74">
        <v>1.8030942026251696E7</v>
      </c>
      <c r="BI180" s="9">
        <f t="shared" si="26"/>
        <v>5876150331</v>
      </c>
    </row>
    <row r="181" ht="15.75" customHeight="1">
      <c r="B181" s="65">
        <v>12.0</v>
      </c>
      <c r="C181" s="66">
        <f t="shared" ref="C181:AD181" si="36">C150-C119</f>
        <v>-0.003391091162</v>
      </c>
      <c r="D181" s="66">
        <f t="shared" si="36"/>
        <v>-0.001011730245</v>
      </c>
      <c r="E181" s="66">
        <f t="shared" si="36"/>
        <v>-0.0009010509439</v>
      </c>
      <c r="F181" s="66">
        <f t="shared" si="36"/>
        <v>-0.005380387347</v>
      </c>
      <c r="G181" s="66">
        <f t="shared" si="36"/>
        <v>-0.0005274715542</v>
      </c>
      <c r="H181" s="66">
        <f t="shared" si="36"/>
        <v>-0.2260004233</v>
      </c>
      <c r="I181" s="66">
        <f t="shared" si="36"/>
        <v>-0.0009548248365</v>
      </c>
      <c r="J181" s="66">
        <f t="shared" si="36"/>
        <v>-0.002699126617</v>
      </c>
      <c r="K181" s="66">
        <f t="shared" si="36"/>
        <v>-0.001095696749</v>
      </c>
      <c r="L181" s="66">
        <f t="shared" si="36"/>
        <v>-0.002541511302</v>
      </c>
      <c r="M181" s="66">
        <f t="shared" si="36"/>
        <v>-0.005900005107</v>
      </c>
      <c r="N181" s="66">
        <f t="shared" si="36"/>
        <v>0.7711556645</v>
      </c>
      <c r="O181" s="66">
        <f t="shared" si="36"/>
        <v>-0.001625422528</v>
      </c>
      <c r="P181" s="66">
        <f t="shared" si="36"/>
        <v>-0.001372403087</v>
      </c>
      <c r="Q181" s="66">
        <f t="shared" si="36"/>
        <v>-0.0000009471934774</v>
      </c>
      <c r="R181" s="66">
        <f t="shared" si="36"/>
        <v>-0.000002007883666</v>
      </c>
      <c r="S181" s="66">
        <f t="shared" si="36"/>
        <v>-0.000002595110281</v>
      </c>
      <c r="T181" s="66">
        <f t="shared" si="36"/>
        <v>-0.000003732732316</v>
      </c>
      <c r="U181" s="66">
        <f t="shared" si="36"/>
        <v>-0.0000006926110217</v>
      </c>
      <c r="V181" s="66">
        <f t="shared" si="36"/>
        <v>-0.00002686272475</v>
      </c>
      <c r="W181" s="66">
        <f t="shared" si="36"/>
        <v>-0.0000004982253164</v>
      </c>
      <c r="X181" s="66">
        <f t="shared" si="36"/>
        <v>-0.000001294061839</v>
      </c>
      <c r="Y181" s="66">
        <f t="shared" si="36"/>
        <v>-0.000002202677695</v>
      </c>
      <c r="Z181" s="66">
        <f t="shared" si="36"/>
        <v>-0.0000007560667588</v>
      </c>
      <c r="AA181" s="66">
        <f t="shared" si="36"/>
        <v>-0.0000004892726266</v>
      </c>
      <c r="AB181" s="66">
        <f t="shared" si="36"/>
        <v>-0.00003126912507</v>
      </c>
      <c r="AC181" s="66">
        <f t="shared" si="36"/>
        <v>-0.000001956391514</v>
      </c>
      <c r="AD181" s="66">
        <f t="shared" si="36"/>
        <v>-0.000000415374663</v>
      </c>
      <c r="AF181" s="65">
        <v>12.0</v>
      </c>
      <c r="AG181" s="74">
        <v>5848540.661508002</v>
      </c>
      <c r="AH181" s="74">
        <v>8535693.336634172</v>
      </c>
      <c r="AI181" s="74">
        <v>4321018.527254112</v>
      </c>
      <c r="AJ181" s="74">
        <v>2.02924751409336E7</v>
      </c>
      <c r="AK181" s="74">
        <v>1.2252479439334651E7</v>
      </c>
      <c r="AL181" s="74">
        <v>1.0639680373528007E7</v>
      </c>
      <c r="AM181" s="74">
        <v>2299953.342009008</v>
      </c>
      <c r="AN181" s="74">
        <v>2.6128197581814155E8</v>
      </c>
      <c r="AO181" s="74">
        <v>125884.88854071609</v>
      </c>
      <c r="AP181" s="74">
        <v>2.1562815291348222E8</v>
      </c>
      <c r="AQ181" s="74">
        <v>9.383899367654251E8</v>
      </c>
      <c r="AR181" s="74">
        <v>5.961908496211851E7</v>
      </c>
      <c r="AS181" s="74">
        <v>30938.245608904163</v>
      </c>
      <c r="AT181" s="74">
        <v>1.9041976990882587E7</v>
      </c>
      <c r="AU181" s="74">
        <v>5333010.451031137</v>
      </c>
      <c r="AV181" s="74">
        <v>5868887.859699633</v>
      </c>
      <c r="AW181" s="74">
        <v>6841084.713648663</v>
      </c>
      <c r="AX181" s="74">
        <v>1.714590998594518E7</v>
      </c>
      <c r="AY181" s="74">
        <v>1.3611096141845753E7</v>
      </c>
      <c r="AZ181" s="74">
        <v>1605119.0673951912</v>
      </c>
      <c r="BA181" s="74">
        <v>1094836.6617671505</v>
      </c>
      <c r="BB181" s="74">
        <v>2.2803933506952617E8</v>
      </c>
      <c r="BC181" s="74">
        <v>2645313.471269065</v>
      </c>
      <c r="BD181" s="74">
        <v>6.342837447001072E7</v>
      </c>
      <c r="BE181" s="74">
        <v>1.2225849500602081E8</v>
      </c>
      <c r="BF181" s="74">
        <v>2789845.634962928</v>
      </c>
      <c r="BG181" s="74">
        <v>691351.7859450785</v>
      </c>
      <c r="BH181" s="74">
        <v>1.3264657885531958E7</v>
      </c>
      <c r="BI181" s="9">
        <f t="shared" si="26"/>
        <v>2042925110</v>
      </c>
    </row>
    <row r="182" ht="15.75" customHeight="1">
      <c r="B182" s="65">
        <v>13.0</v>
      </c>
      <c r="C182" s="66">
        <f t="shared" ref="C182:AD182" si="37">C151-C120</f>
        <v>-0.001158193698</v>
      </c>
      <c r="D182" s="66">
        <f t="shared" si="37"/>
        <v>-0.001898991131</v>
      </c>
      <c r="E182" s="66">
        <f t="shared" si="37"/>
        <v>-0.00125664343</v>
      </c>
      <c r="F182" s="66">
        <f t="shared" si="37"/>
        <v>-0.0003952017422</v>
      </c>
      <c r="G182" s="66">
        <f t="shared" si="37"/>
        <v>-0.0004458927297</v>
      </c>
      <c r="H182" s="66">
        <f t="shared" si="37"/>
        <v>-0.002112298029</v>
      </c>
      <c r="I182" s="66">
        <f t="shared" si="37"/>
        <v>-0.0002218520931</v>
      </c>
      <c r="J182" s="66">
        <f t="shared" si="37"/>
        <v>-0.0004235436939</v>
      </c>
      <c r="K182" s="66">
        <f t="shared" si="37"/>
        <v>-0.0003426631766</v>
      </c>
      <c r="L182" s="66">
        <f t="shared" si="37"/>
        <v>-0.0006404430695</v>
      </c>
      <c r="M182" s="66">
        <f t="shared" si="37"/>
        <v>-0.002754398992</v>
      </c>
      <c r="N182" s="66">
        <f t="shared" si="37"/>
        <v>-0.002133816097</v>
      </c>
      <c r="O182" s="66">
        <f t="shared" si="37"/>
        <v>0.9801096446</v>
      </c>
      <c r="P182" s="66">
        <f t="shared" si="37"/>
        <v>-0.001608366322</v>
      </c>
      <c r="Q182" s="66">
        <f t="shared" si="37"/>
        <v>-0.00000004952609676</v>
      </c>
      <c r="R182" s="66">
        <f t="shared" si="37"/>
        <v>-0.00000004699453164</v>
      </c>
      <c r="S182" s="66">
        <f t="shared" si="37"/>
        <v>-0.00000001617907105</v>
      </c>
      <c r="T182" s="66">
        <f t="shared" si="37"/>
        <v>-0.00000002911650879</v>
      </c>
      <c r="U182" s="66">
        <f t="shared" si="37"/>
        <v>-0.00000001549033689</v>
      </c>
      <c r="V182" s="66">
        <f t="shared" si="37"/>
        <v>-0.00000009975263019</v>
      </c>
      <c r="W182" s="66">
        <f t="shared" si="37"/>
        <v>-0.000000007923923991</v>
      </c>
      <c r="X182" s="66">
        <f t="shared" si="37"/>
        <v>-0.00000003010402726</v>
      </c>
      <c r="Y182" s="66">
        <f t="shared" si="37"/>
        <v>-0.00000001238783637</v>
      </c>
      <c r="Z182" s="66">
        <f t="shared" si="37"/>
        <v>-0.00000003800876456</v>
      </c>
      <c r="AA182" s="66">
        <f t="shared" si="37"/>
        <v>-0.00000002386332294</v>
      </c>
      <c r="AB182" s="66">
        <f t="shared" si="37"/>
        <v>-0.0000001171450976</v>
      </c>
      <c r="AC182" s="66">
        <f t="shared" si="37"/>
        <v>-0.000000130151296</v>
      </c>
      <c r="AD182" s="66">
        <f t="shared" si="37"/>
        <v>-0.000000008999155442</v>
      </c>
      <c r="AF182" s="65">
        <v>13.0</v>
      </c>
      <c r="AG182" s="74">
        <v>13533.898127062477</v>
      </c>
      <c r="AH182" s="74">
        <v>57152.532269766816</v>
      </c>
      <c r="AI182" s="74">
        <v>25778.606791412563</v>
      </c>
      <c r="AJ182" s="74">
        <v>31612.800038370468</v>
      </c>
      <c r="AK182" s="74">
        <v>61949.27881289506</v>
      </c>
      <c r="AL182" s="74">
        <v>1566.9518599921769</v>
      </c>
      <c r="AM182" s="74">
        <v>5691.763263301335</v>
      </c>
      <c r="AN182" s="74">
        <v>500063.91853485757</v>
      </c>
      <c r="AO182" s="74">
        <v>354.0860853394588</v>
      </c>
      <c r="AP182" s="74">
        <v>583328.29799182</v>
      </c>
      <c r="AQ182" s="74">
        <v>3667102.634527354</v>
      </c>
      <c r="AR182" s="74">
        <v>2280.251150897876</v>
      </c>
      <c r="AS182" s="74">
        <v>74634.1864658637</v>
      </c>
      <c r="AT182" s="74">
        <v>134405.2114876918</v>
      </c>
      <c r="AU182" s="74">
        <v>11196.867972910111</v>
      </c>
      <c r="AV182" s="74">
        <v>13356.735354285534</v>
      </c>
      <c r="AW182" s="74">
        <v>13161.500359391837</v>
      </c>
      <c r="AX182" s="74">
        <v>30619.010179684512</v>
      </c>
      <c r="AY182" s="74">
        <v>33271.36674980711</v>
      </c>
      <c r="AZ182" s="74">
        <v>1468.8401272371548</v>
      </c>
      <c r="BA182" s="74">
        <v>2455.228671235019</v>
      </c>
      <c r="BB182" s="74">
        <v>484000.9240898195</v>
      </c>
      <c r="BC182" s="74">
        <v>5615.92822179511</v>
      </c>
      <c r="BD182" s="74">
        <v>181467.2439571057</v>
      </c>
      <c r="BE182" s="74">
        <v>314563.75386976125</v>
      </c>
      <c r="BF182" s="74">
        <v>2189.2937490237773</v>
      </c>
      <c r="BG182" s="74">
        <v>1349.1879185429955</v>
      </c>
      <c r="BH182" s="74">
        <v>34225.781552779124</v>
      </c>
      <c r="BI182" s="9">
        <f t="shared" si="26"/>
        <v>6288396.08</v>
      </c>
    </row>
    <row r="183" ht="15.75" customHeight="1">
      <c r="B183" s="65">
        <v>14.0</v>
      </c>
      <c r="C183" s="66">
        <f t="shared" ref="C183:AD183" si="38">C152-C121</f>
        <v>-0.00131082684</v>
      </c>
      <c r="D183" s="66">
        <f t="shared" si="38"/>
        <v>-0.007415972687</v>
      </c>
      <c r="E183" s="66">
        <f t="shared" si="38"/>
        <v>-0.001299425329</v>
      </c>
      <c r="F183" s="66">
        <f t="shared" si="38"/>
        <v>-0.006091870711</v>
      </c>
      <c r="G183" s="66">
        <f t="shared" si="38"/>
        <v>-0.002242227636</v>
      </c>
      <c r="H183" s="66">
        <f t="shared" si="38"/>
        <v>-0.001775225417</v>
      </c>
      <c r="I183" s="66">
        <f t="shared" si="38"/>
        <v>-0.0009914529127</v>
      </c>
      <c r="J183" s="66">
        <f t="shared" si="38"/>
        <v>-0.002314097177</v>
      </c>
      <c r="K183" s="66">
        <f t="shared" si="38"/>
        <v>-0.0007899339281</v>
      </c>
      <c r="L183" s="66">
        <f t="shared" si="38"/>
        <v>-0.006033425029</v>
      </c>
      <c r="M183" s="66">
        <f t="shared" si="38"/>
        <v>-0.003774402691</v>
      </c>
      <c r="N183" s="66">
        <f t="shared" si="38"/>
        <v>-0.001799711334</v>
      </c>
      <c r="O183" s="66">
        <f t="shared" si="38"/>
        <v>-0.002744107295</v>
      </c>
      <c r="P183" s="66">
        <f t="shared" si="38"/>
        <v>0.9900987304</v>
      </c>
      <c r="Q183" s="66">
        <f t="shared" si="38"/>
        <v>-0.000009121527182</v>
      </c>
      <c r="R183" s="66">
        <f t="shared" si="38"/>
        <v>-0.00002921391599</v>
      </c>
      <c r="S183" s="66">
        <f t="shared" si="38"/>
        <v>-0.0000126975959</v>
      </c>
      <c r="T183" s="66">
        <f t="shared" si="38"/>
        <v>-0.000009755379525</v>
      </c>
      <c r="U183" s="66">
        <f t="shared" si="38"/>
        <v>-0.00001409415247</v>
      </c>
      <c r="V183" s="66">
        <f t="shared" si="38"/>
        <v>-0.00006454966833</v>
      </c>
      <c r="W183" s="66">
        <f t="shared" si="38"/>
        <v>-0.00001023593901</v>
      </c>
      <c r="X183" s="66">
        <f t="shared" si="38"/>
        <v>-0.00005634733288</v>
      </c>
      <c r="Y183" s="66">
        <f t="shared" si="38"/>
        <v>-0.0001049474608</v>
      </c>
      <c r="Z183" s="66">
        <f t="shared" si="38"/>
        <v>-0.0003406577963</v>
      </c>
      <c r="AA183" s="66">
        <f t="shared" si="38"/>
        <v>-0.00006322089127</v>
      </c>
      <c r="AB183" s="66">
        <f t="shared" si="38"/>
        <v>-0.00006389716645</v>
      </c>
      <c r="AC183" s="66">
        <f t="shared" si="38"/>
        <v>-0.00001736037385</v>
      </c>
      <c r="AD183" s="66">
        <f t="shared" si="38"/>
        <v>-0.00003654581355</v>
      </c>
      <c r="AF183" s="65">
        <v>14.0</v>
      </c>
      <c r="AG183" s="74">
        <v>167150.18108415388</v>
      </c>
      <c r="AH183" s="74">
        <v>1460377.8578133162</v>
      </c>
      <c r="AI183" s="74">
        <v>325194.3040132543</v>
      </c>
      <c r="AJ183" s="74">
        <v>1527543.8217428853</v>
      </c>
      <c r="AK183" s="74">
        <v>1880518.2145989956</v>
      </c>
      <c r="AL183" s="74">
        <v>13549.524671656129</v>
      </c>
      <c r="AM183" s="74">
        <v>163268.19830809033</v>
      </c>
      <c r="AN183" s="74">
        <v>1.5752402628002917E7</v>
      </c>
      <c r="AO183" s="74">
        <v>8232.342747854613</v>
      </c>
      <c r="AP183" s="74">
        <v>2.5228274167261846E7</v>
      </c>
      <c r="AQ183" s="74">
        <v>4.1776229458146885E7</v>
      </c>
      <c r="AR183" s="74">
        <v>19475.83899870834</v>
      </c>
      <c r="AS183" s="74">
        <v>2583.4892219124727</v>
      </c>
      <c r="AT183" s="74">
        <v>4.9423955489949113E8</v>
      </c>
      <c r="AU183" s="74">
        <v>5384281.235248352</v>
      </c>
      <c r="AV183" s="74">
        <v>5675173.479513433</v>
      </c>
      <c r="AW183" s="74">
        <v>5245741.538225403</v>
      </c>
      <c r="AX183" s="74">
        <v>1.0687219790304212E7</v>
      </c>
      <c r="AY183" s="74">
        <v>1.0597546266082827E7</v>
      </c>
      <c r="AZ183" s="74">
        <v>473979.36629008513</v>
      </c>
      <c r="BA183" s="74">
        <v>1291460.2032531907</v>
      </c>
      <c r="BB183" s="74">
        <v>2.0945804875549534E8</v>
      </c>
      <c r="BC183" s="74">
        <v>3978417.971119293</v>
      </c>
      <c r="BD183" s="74">
        <v>2.2555493188520932E8</v>
      </c>
      <c r="BE183" s="74">
        <v>2.1706076625915775E8</v>
      </c>
      <c r="BF183" s="74">
        <v>743907.3012810583</v>
      </c>
      <c r="BG183" s="74">
        <v>598081.6872052473</v>
      </c>
      <c r="BH183" s="74">
        <v>1.7412544655510787E7</v>
      </c>
      <c r="BI183" s="9">
        <f t="shared" si="26"/>
        <v>1296726455</v>
      </c>
    </row>
    <row r="184" ht="15.75" customHeight="1">
      <c r="B184" s="65">
        <v>15.0</v>
      </c>
      <c r="C184" s="66">
        <f t="shared" ref="C184:AD184" si="39">C153-C122</f>
        <v>-0.01550837378</v>
      </c>
      <c r="D184" s="66">
        <f t="shared" si="39"/>
        <v>-0.03073130953</v>
      </c>
      <c r="E184" s="66">
        <f t="shared" si="39"/>
        <v>-0.1088281615</v>
      </c>
      <c r="F184" s="66">
        <f t="shared" si="39"/>
        <v>-0.00008014600877</v>
      </c>
      <c r="G184" s="66">
        <f t="shared" si="39"/>
        <v>-0.02786634596</v>
      </c>
      <c r="H184" s="66">
        <f t="shared" si="39"/>
        <v>-0.00003183061603</v>
      </c>
      <c r="I184" s="66">
        <f t="shared" si="39"/>
        <v>-0.00006631147079</v>
      </c>
      <c r="J184" s="66">
        <f t="shared" si="39"/>
        <v>-0.0007175740932</v>
      </c>
      <c r="K184" s="66">
        <f t="shared" si="39"/>
        <v>-0.0002278280375</v>
      </c>
      <c r="L184" s="66">
        <f t="shared" si="39"/>
        <v>-0.0001299898067</v>
      </c>
      <c r="M184" s="66">
        <f t="shared" si="39"/>
        <v>-0.0001644527783</v>
      </c>
      <c r="N184" s="66">
        <f t="shared" si="39"/>
        <v>-0.00004086041522</v>
      </c>
      <c r="O184" s="66">
        <f t="shared" si="39"/>
        <v>-0.00000521317311</v>
      </c>
      <c r="P184" s="66">
        <f t="shared" si="39"/>
        <v>-0.005692333816</v>
      </c>
      <c r="Q184" s="66">
        <f t="shared" si="39"/>
        <v>0.7996750996</v>
      </c>
      <c r="R184" s="66">
        <f t="shared" si="39"/>
        <v>-0.151392266</v>
      </c>
      <c r="S184" s="66">
        <f t="shared" si="39"/>
        <v>-0.04112155266</v>
      </c>
      <c r="T184" s="66">
        <f t="shared" si="39"/>
        <v>-0.002613946747</v>
      </c>
      <c r="U184" s="66">
        <f t="shared" si="39"/>
        <v>-0.2640351226</v>
      </c>
      <c r="V184" s="66">
        <f t="shared" si="39"/>
        <v>-0.001346256164</v>
      </c>
      <c r="W184" s="66">
        <f t="shared" si="39"/>
        <v>-0.004973638231</v>
      </c>
      <c r="X184" s="66">
        <f t="shared" si="39"/>
        <v>-0.009165985803</v>
      </c>
      <c r="Y184" s="66">
        <f t="shared" si="39"/>
        <v>-0.0394525096</v>
      </c>
      <c r="Z184" s="66">
        <f t="shared" si="39"/>
        <v>-0.001779586559</v>
      </c>
      <c r="AA184" s="66">
        <f t="shared" si="39"/>
        <v>-0.002709128619</v>
      </c>
      <c r="AB184" s="66">
        <f t="shared" si="39"/>
        <v>-0.002522918518</v>
      </c>
      <c r="AC184" s="66">
        <f t="shared" si="39"/>
        <v>-0.002911466934</v>
      </c>
      <c r="AD184" s="66">
        <f t="shared" si="39"/>
        <v>-0.01103695104</v>
      </c>
      <c r="AF184" s="65">
        <v>15.0</v>
      </c>
      <c r="AG184" s="74">
        <v>1.944744262501778E7</v>
      </c>
      <c r="AH184" s="74">
        <v>9.30975887101209E7</v>
      </c>
      <c r="AI184" s="74">
        <v>1.907459196753783E8</v>
      </c>
      <c r="AJ184" s="74">
        <v>6.714885502227685E7</v>
      </c>
      <c r="AK184" s="74">
        <v>4.257269757524453E8</v>
      </c>
      <c r="AL184" s="74">
        <v>105748.58749060833</v>
      </c>
      <c r="AM184" s="74">
        <v>2634269.179901521</v>
      </c>
      <c r="AN184" s="74">
        <v>4.7998430633124465E8</v>
      </c>
      <c r="AO184" s="74">
        <v>782248.7130464064</v>
      </c>
      <c r="AP184" s="74">
        <v>1.8124154031180167E8</v>
      </c>
      <c r="AQ184" s="74">
        <v>4.161406312091273E8</v>
      </c>
      <c r="AR184" s="74">
        <v>147866.47297007035</v>
      </c>
      <c r="AS184" s="74">
        <v>24460.082576695673</v>
      </c>
      <c r="AT184" s="74">
        <v>1.0238493145080326E8</v>
      </c>
      <c r="AU184" s="74">
        <v>7.555278218175905E11</v>
      </c>
      <c r="AV184" s="74">
        <v>7.59968591601825E10</v>
      </c>
      <c r="AW184" s="74">
        <v>4.891857118047524E10</v>
      </c>
      <c r="AX184" s="74">
        <v>4.39335587078532E10</v>
      </c>
      <c r="AY184" s="74">
        <v>3.504830445667656E11</v>
      </c>
      <c r="AZ184" s="74">
        <v>3.212007220498482E8</v>
      </c>
      <c r="BA184" s="74">
        <v>2.0876689655763116E9</v>
      </c>
      <c r="BB184" s="74">
        <v>3.038116763359922E11</v>
      </c>
      <c r="BC184" s="74">
        <v>1.17388214983614E10</v>
      </c>
      <c r="BD184" s="74">
        <v>5.5408373371901924E10</v>
      </c>
      <c r="BE184" s="74">
        <v>1.8846199207331116E11</v>
      </c>
      <c r="BF184" s="74">
        <v>6.004924162187446E8</v>
      </c>
      <c r="BG184" s="74">
        <v>7.162379473448652E8</v>
      </c>
      <c r="BH184" s="74">
        <v>7.020809788925218E10</v>
      </c>
      <c r="BI184" s="9">
        <f t="shared" si="26"/>
        <v>1910194029437</v>
      </c>
    </row>
    <row r="185" ht="15.75" customHeight="1">
      <c r="B185" s="65">
        <v>16.0</v>
      </c>
      <c r="C185" s="66">
        <f t="shared" ref="C185:AD185" si="40">C154-C123</f>
        <v>-0.0002093046928</v>
      </c>
      <c r="D185" s="66">
        <f t="shared" si="40"/>
        <v>-0.001867255963</v>
      </c>
      <c r="E185" s="66">
        <f t="shared" si="40"/>
        <v>-0.003891826899</v>
      </c>
      <c r="F185" s="66">
        <f t="shared" si="40"/>
        <v>-0.000381220363</v>
      </c>
      <c r="G185" s="66">
        <f t="shared" si="40"/>
        <v>-0.01081561714</v>
      </c>
      <c r="H185" s="66">
        <f t="shared" si="40"/>
        <v>-0.000003399731434</v>
      </c>
      <c r="I185" s="66">
        <f t="shared" si="40"/>
        <v>-0.00002926320554</v>
      </c>
      <c r="J185" s="66">
        <f t="shared" si="40"/>
        <v>-0.001060047746</v>
      </c>
      <c r="K185" s="66">
        <f t="shared" si="40"/>
        <v>-0.00008820696252</v>
      </c>
      <c r="L185" s="66">
        <f t="shared" si="40"/>
        <v>-0.00005582765026</v>
      </c>
      <c r="M185" s="66">
        <f t="shared" si="40"/>
        <v>-0.0001069673675</v>
      </c>
      <c r="N185" s="66">
        <f t="shared" si="40"/>
        <v>-0.000003452984856</v>
      </c>
      <c r="O185" s="66">
        <f t="shared" si="40"/>
        <v>-0.000008928674313</v>
      </c>
      <c r="P185" s="66">
        <f t="shared" si="40"/>
        <v>-0.003988568068</v>
      </c>
      <c r="Q185" s="66">
        <f t="shared" si="40"/>
        <v>-0.00102973482</v>
      </c>
      <c r="R185" s="66">
        <f t="shared" si="40"/>
        <v>0.9634468749</v>
      </c>
      <c r="S185" s="66">
        <f t="shared" si="40"/>
        <v>-0.0146194046</v>
      </c>
      <c r="T185" s="66">
        <f t="shared" si="40"/>
        <v>-0.01169554095</v>
      </c>
      <c r="U185" s="66">
        <f t="shared" si="40"/>
        <v>-0.0216807217</v>
      </c>
      <c r="V185" s="66">
        <f t="shared" si="40"/>
        <v>-0.001382303773</v>
      </c>
      <c r="W185" s="66">
        <f t="shared" si="40"/>
        <v>-0.0004345803353</v>
      </c>
      <c r="X185" s="66">
        <f t="shared" si="40"/>
        <v>-0.0009116516691</v>
      </c>
      <c r="Y185" s="66">
        <f t="shared" si="40"/>
        <v>-0.004248198245</v>
      </c>
      <c r="Z185" s="66">
        <f t="shared" si="40"/>
        <v>-0.001741882932</v>
      </c>
      <c r="AA185" s="66">
        <f t="shared" si="40"/>
        <v>-0.001018061908</v>
      </c>
      <c r="AB185" s="66">
        <f t="shared" si="40"/>
        <v>-0.002612283949</v>
      </c>
      <c r="AC185" s="66">
        <f t="shared" si="40"/>
        <v>-0.001103165091</v>
      </c>
      <c r="AD185" s="66">
        <f t="shared" si="40"/>
        <v>-0.02931165868</v>
      </c>
      <c r="AF185" s="65">
        <v>16.0</v>
      </c>
      <c r="AG185" s="74">
        <v>386881.7606737562</v>
      </c>
      <c r="AH185" s="74">
        <v>2490287.4766600775</v>
      </c>
      <c r="AI185" s="74">
        <v>3220372.0874907053</v>
      </c>
      <c r="AJ185" s="74">
        <v>3387157.0706607862</v>
      </c>
      <c r="AK185" s="74">
        <v>3.555033914690489E7</v>
      </c>
      <c r="AL185" s="74">
        <v>11145.793953053146</v>
      </c>
      <c r="AM185" s="74">
        <v>231960.2853406419</v>
      </c>
      <c r="AN185" s="74">
        <v>4.9501482270582125E7</v>
      </c>
      <c r="AO185" s="74">
        <v>44033.35642067613</v>
      </c>
      <c r="AP185" s="74">
        <v>1.9420969404020038E7</v>
      </c>
      <c r="AQ185" s="74">
        <v>6.223630439873313E7</v>
      </c>
      <c r="AR185" s="74">
        <v>15832.52514367634</v>
      </c>
      <c r="AS185" s="74">
        <v>2598.402538575475</v>
      </c>
      <c r="AT185" s="74">
        <v>1.245385648592661E7</v>
      </c>
      <c r="AU185" s="74">
        <v>6.620781129580636E8</v>
      </c>
      <c r="AV185" s="74">
        <v>1.2667004801480247E11</v>
      </c>
      <c r="AW185" s="74">
        <v>3.781973078463009E9</v>
      </c>
      <c r="AX185" s="74">
        <v>6.312661442344737E9</v>
      </c>
      <c r="AY185" s="74">
        <v>9.23014961790356E9</v>
      </c>
      <c r="AZ185" s="74">
        <v>3.8068236090768404E7</v>
      </c>
      <c r="BA185" s="74">
        <v>1.0185000247776195E8</v>
      </c>
      <c r="BB185" s="74">
        <v>1.3964930232885416E10</v>
      </c>
      <c r="BC185" s="74">
        <v>4.618972061036758E8</v>
      </c>
      <c r="BD185" s="74">
        <v>7.612744536898414E9</v>
      </c>
      <c r="BE185" s="74">
        <v>1.8465142560976467E10</v>
      </c>
      <c r="BF185" s="74">
        <v>8.431231764873666E7</v>
      </c>
      <c r="BG185" s="74">
        <v>6.242924318359006E7</v>
      </c>
      <c r="BH185" s="74">
        <v>1.8876348173398228E10</v>
      </c>
      <c r="BI185" s="9">
        <f t="shared" si="26"/>
        <v>206513585997</v>
      </c>
    </row>
    <row r="186" ht="15.75" customHeight="1">
      <c r="B186" s="65">
        <v>17.0</v>
      </c>
      <c r="C186" s="66">
        <f t="shared" ref="C186:AD186" si="41">C155-C124</f>
        <v>-0.00002542894</v>
      </c>
      <c r="D186" s="66">
        <f t="shared" si="41"/>
        <v>-0.00008924895389</v>
      </c>
      <c r="E186" s="66">
        <f t="shared" si="41"/>
        <v>-0.0005740287339</v>
      </c>
      <c r="F186" s="66">
        <f t="shared" si="41"/>
        <v>-0.01599422767</v>
      </c>
      <c r="G186" s="66">
        <f t="shared" si="41"/>
        <v>-0.0002300752906</v>
      </c>
      <c r="H186" s="66">
        <f t="shared" si="41"/>
        <v>-0.00001276265471</v>
      </c>
      <c r="I186" s="66">
        <f t="shared" si="41"/>
        <v>-0.0001227038878</v>
      </c>
      <c r="J186" s="66">
        <f t="shared" si="41"/>
        <v>-0.000148088927</v>
      </c>
      <c r="K186" s="66">
        <f t="shared" si="41"/>
        <v>-0.00005893933918</v>
      </c>
      <c r="L186" s="66">
        <f t="shared" si="41"/>
        <v>-0.0002538629188</v>
      </c>
      <c r="M186" s="66">
        <f t="shared" si="41"/>
        <v>-0.0001101633711</v>
      </c>
      <c r="N186" s="66">
        <f t="shared" si="41"/>
        <v>-0.00001460664523</v>
      </c>
      <c r="O186" s="66">
        <f t="shared" si="41"/>
        <v>-0.000006476257245</v>
      </c>
      <c r="P186" s="66">
        <f t="shared" si="41"/>
        <v>-0.0005695619744</v>
      </c>
      <c r="Q186" s="66">
        <f t="shared" si="41"/>
        <v>-0.001070858166</v>
      </c>
      <c r="R186" s="66">
        <f t="shared" si="41"/>
        <v>-0.000969730399</v>
      </c>
      <c r="S186" s="66">
        <f t="shared" si="41"/>
        <v>0.927838692</v>
      </c>
      <c r="T186" s="66">
        <f t="shared" si="41"/>
        <v>-0.3191939758</v>
      </c>
      <c r="U186" s="66">
        <f t="shared" si="41"/>
        <v>-0.009103250853</v>
      </c>
      <c r="V186" s="66">
        <f t="shared" si="41"/>
        <v>-0.003120813838</v>
      </c>
      <c r="W186" s="66">
        <f t="shared" si="41"/>
        <v>-0.00125778832</v>
      </c>
      <c r="X186" s="66">
        <f t="shared" si="41"/>
        <v>-0.001624883164</v>
      </c>
      <c r="Y186" s="66">
        <f t="shared" si="41"/>
        <v>-0.01258954118</v>
      </c>
      <c r="Z186" s="66">
        <f t="shared" si="41"/>
        <v>-0.0009647252237</v>
      </c>
      <c r="AA186" s="66">
        <f t="shared" si="41"/>
        <v>-0.000643984119</v>
      </c>
      <c r="AB186" s="66">
        <f t="shared" si="41"/>
        <v>-0.001136260119</v>
      </c>
      <c r="AC186" s="66">
        <f t="shared" si="41"/>
        <v>-0.003843195891</v>
      </c>
      <c r="AD186" s="66">
        <f t="shared" si="41"/>
        <v>-0.01512559481</v>
      </c>
      <c r="AF186" s="65">
        <v>17.0</v>
      </c>
      <c r="AG186" s="74">
        <v>4577823.641082121</v>
      </c>
      <c r="AH186" s="74">
        <v>1.4744429011154287E7</v>
      </c>
      <c r="AI186" s="74">
        <v>4.161172821172716E7</v>
      </c>
      <c r="AJ186" s="74">
        <v>2.5517343746662864E8</v>
      </c>
      <c r="AK186" s="74">
        <v>1.0516240234582627E8</v>
      </c>
      <c r="AL186" s="74">
        <v>133567.32220573587</v>
      </c>
      <c r="AM186" s="74">
        <v>3276186.0346702924</v>
      </c>
      <c r="AN186" s="74">
        <v>4.260743047938068E8</v>
      </c>
      <c r="AO186" s="74">
        <v>670157.3426835372</v>
      </c>
      <c r="AP186" s="74">
        <v>3.9954220317268336E8</v>
      </c>
      <c r="AQ186" s="74">
        <v>6.618126833265419E8</v>
      </c>
      <c r="AR186" s="74">
        <v>188483.98568913995</v>
      </c>
      <c r="AS186" s="74">
        <v>26299.207894595515</v>
      </c>
      <c r="AT186" s="74">
        <v>1.1049180728363717E8</v>
      </c>
      <c r="AU186" s="74">
        <v>1.0083229238173555E10</v>
      </c>
      <c r="AV186" s="74">
        <v>8.1858756823855915E9</v>
      </c>
      <c r="AW186" s="74">
        <v>1.68210423963943E12</v>
      </c>
      <c r="AX186" s="74">
        <v>8.800826420746486E11</v>
      </c>
      <c r="AY186" s="74">
        <v>8.455580846046205E10</v>
      </c>
      <c r="AZ186" s="74">
        <v>6.244954825185475E8</v>
      </c>
      <c r="BA186" s="74">
        <v>1.69092775696216E9</v>
      </c>
      <c r="BB186" s="74">
        <v>2.1028171572133798E11</v>
      </c>
      <c r="BC186" s="74">
        <v>1.0316916170913443E10</v>
      </c>
      <c r="BD186" s="74">
        <v>6.7371532216543816E10</v>
      </c>
      <c r="BE186" s="74">
        <v>2.0894515016563373E11</v>
      </c>
      <c r="BF186" s="74">
        <v>8.126722155116683E8</v>
      </c>
      <c r="BG186" s="74">
        <v>1.3634033817443326E9</v>
      </c>
      <c r="BH186" s="74">
        <v>1.6121545509258807E11</v>
      </c>
      <c r="BI186" s="9">
        <f t="shared" si="26"/>
        <v>3329657548812</v>
      </c>
    </row>
    <row r="187" ht="15.75" customHeight="1">
      <c r="B187" s="65">
        <v>18.0</v>
      </c>
      <c r="C187" s="66">
        <f t="shared" ref="C187:AD187" si="42">C156-C125</f>
        <v>-0.0002155323627</v>
      </c>
      <c r="D187" s="66">
        <f t="shared" si="42"/>
        <v>-0.0004642548179</v>
      </c>
      <c r="E187" s="66">
        <f t="shared" si="42"/>
        <v>-0.02025192085</v>
      </c>
      <c r="F187" s="66">
        <f t="shared" si="42"/>
        <v>-0.04443934019</v>
      </c>
      <c r="G187" s="66">
        <f t="shared" si="42"/>
        <v>-0.005312159059</v>
      </c>
      <c r="H187" s="66">
        <f t="shared" si="42"/>
        <v>-0.00002891100358</v>
      </c>
      <c r="I187" s="66">
        <f t="shared" si="42"/>
        <v>-0.0001034578522</v>
      </c>
      <c r="J187" s="66">
        <f t="shared" si="42"/>
        <v>-0.0008348776859</v>
      </c>
      <c r="K187" s="66">
        <f t="shared" si="42"/>
        <v>-0.0005178653381</v>
      </c>
      <c r="L187" s="66">
        <f t="shared" si="42"/>
        <v>-0.003917697575</v>
      </c>
      <c r="M187" s="66">
        <f t="shared" si="42"/>
        <v>-0.0004714195927</v>
      </c>
      <c r="N187" s="66">
        <f t="shared" si="42"/>
        <v>-0.000030659835</v>
      </c>
      <c r="O187" s="66">
        <f t="shared" si="42"/>
        <v>-0.00002838204154</v>
      </c>
      <c r="P187" s="66">
        <f t="shared" si="42"/>
        <v>-0.009583324118</v>
      </c>
      <c r="Q187" s="66">
        <f t="shared" si="42"/>
        <v>-0.00213670219</v>
      </c>
      <c r="R187" s="66">
        <f t="shared" si="42"/>
        <v>-0.006144864587</v>
      </c>
      <c r="S187" s="66">
        <f t="shared" si="42"/>
        <v>-0.01653424764</v>
      </c>
      <c r="T187" s="66">
        <f t="shared" si="42"/>
        <v>0.9216006174</v>
      </c>
      <c r="U187" s="66">
        <f t="shared" si="42"/>
        <v>-0.041265935</v>
      </c>
      <c r="V187" s="66">
        <f t="shared" si="42"/>
        <v>-0.002345727052</v>
      </c>
      <c r="W187" s="66">
        <f t="shared" si="42"/>
        <v>-0.0007742545602</v>
      </c>
      <c r="X187" s="66">
        <f t="shared" si="42"/>
        <v>-0.001662954574</v>
      </c>
      <c r="Y187" s="66">
        <f t="shared" si="42"/>
        <v>-0.007388326637</v>
      </c>
      <c r="Z187" s="66">
        <f t="shared" si="42"/>
        <v>-0.001588004229</v>
      </c>
      <c r="AA187" s="66">
        <f t="shared" si="42"/>
        <v>-0.00259330706</v>
      </c>
      <c r="AB187" s="66">
        <f t="shared" si="42"/>
        <v>-0.004328494393</v>
      </c>
      <c r="AC187" s="66">
        <f t="shared" si="42"/>
        <v>-0.002414626402</v>
      </c>
      <c r="AD187" s="66">
        <f t="shared" si="42"/>
        <v>-0.04252483401</v>
      </c>
      <c r="AF187" s="65">
        <v>18.0</v>
      </c>
      <c r="AG187" s="74">
        <v>866835.5268857315</v>
      </c>
      <c r="AH187" s="74">
        <v>3234380.9848353616</v>
      </c>
      <c r="AI187" s="74">
        <v>1.4751537258576928E7</v>
      </c>
      <c r="AJ187" s="74">
        <v>5.7191677983480446E7</v>
      </c>
      <c r="AK187" s="74">
        <v>3.3269548875932354E7</v>
      </c>
      <c r="AL187" s="74">
        <v>30721.007788163624</v>
      </c>
      <c r="AM187" s="74">
        <v>631667.4854298079</v>
      </c>
      <c r="AN187" s="74">
        <v>8.575605140323259E7</v>
      </c>
      <c r="AO187" s="74">
        <v>113274.94016893224</v>
      </c>
      <c r="AP187" s="74">
        <v>1.2228632393502481E8</v>
      </c>
      <c r="AQ187" s="74">
        <v>1.5105540838244975E8</v>
      </c>
      <c r="AR187" s="74">
        <v>43248.39822304445</v>
      </c>
      <c r="AS187" s="74">
        <v>5787.145587197578</v>
      </c>
      <c r="AT187" s="74">
        <v>3.727423367153993E7</v>
      </c>
      <c r="AU187" s="74">
        <v>1.5390960041044328E9</v>
      </c>
      <c r="AV187" s="74">
        <v>1.997885917380392E9</v>
      </c>
      <c r="AW187" s="74">
        <v>6.0286148827308655E9</v>
      </c>
      <c r="AX187" s="74">
        <v>3.893079570135729E11</v>
      </c>
      <c r="AY187" s="74">
        <v>2.2156928861476326E10</v>
      </c>
      <c r="AZ187" s="74">
        <v>8.153161231054182E7</v>
      </c>
      <c r="BA187" s="74">
        <v>2.1469881523526394E8</v>
      </c>
      <c r="BB187" s="74">
        <v>2.9920706614690903E10</v>
      </c>
      <c r="BC187" s="74">
        <v>9.893779863585861E8</v>
      </c>
      <c r="BD187" s="74">
        <v>1.1842372442568687E10</v>
      </c>
      <c r="BE187" s="74">
        <v>4.768948062544106E10</v>
      </c>
      <c r="BF187" s="74">
        <v>1.7850665465085486E8</v>
      </c>
      <c r="BG187" s="74">
        <v>1.4921605477297276E8</v>
      </c>
      <c r="BH187" s="74">
        <v>3.570671060560719E10</v>
      </c>
      <c r="BI187" s="9">
        <f t="shared" si="26"/>
        <v>548309594788</v>
      </c>
    </row>
    <row r="188" ht="15.75" customHeight="1">
      <c r="B188" s="65">
        <v>19.0</v>
      </c>
      <c r="C188" s="66">
        <f t="shared" ref="C188:AD188" si="43">C157-C126</f>
        <v>-0.0001625172436</v>
      </c>
      <c r="D188" s="66">
        <f t="shared" si="43"/>
        <v>-0.004054379652</v>
      </c>
      <c r="E188" s="66">
        <f t="shared" si="43"/>
        <v>-0.01381449353</v>
      </c>
      <c r="F188" s="66">
        <f t="shared" si="43"/>
        <v>-0.007461053047</v>
      </c>
      <c r="G188" s="66">
        <f t="shared" si="43"/>
        <v>-0.03441276691</v>
      </c>
      <c r="H188" s="66">
        <f t="shared" si="43"/>
        <v>-0.000008939459763</v>
      </c>
      <c r="I188" s="66">
        <f t="shared" si="43"/>
        <v>-0.00003122815741</v>
      </c>
      <c r="J188" s="66">
        <f t="shared" si="43"/>
        <v>-0.0009765325555</v>
      </c>
      <c r="K188" s="66">
        <f t="shared" si="43"/>
        <v>-0.0001855750159</v>
      </c>
      <c r="L188" s="66">
        <f t="shared" si="43"/>
        <v>-0.001052194051</v>
      </c>
      <c r="M188" s="66">
        <f t="shared" si="43"/>
        <v>-0.0002830323248</v>
      </c>
      <c r="N188" s="66">
        <f t="shared" si="43"/>
        <v>-0.000009362820695</v>
      </c>
      <c r="O188" s="66">
        <f t="shared" si="43"/>
        <v>-0.00002726121444</v>
      </c>
      <c r="P188" s="66">
        <f t="shared" si="43"/>
        <v>-0.008860599327</v>
      </c>
      <c r="Q188" s="66">
        <f t="shared" si="43"/>
        <v>-0.001795760602</v>
      </c>
      <c r="R188" s="66">
        <f t="shared" si="43"/>
        <v>-0.04439539655</v>
      </c>
      <c r="S188" s="66">
        <f t="shared" si="43"/>
        <v>-0.06537997563</v>
      </c>
      <c r="T188" s="66">
        <f t="shared" si="43"/>
        <v>-0.02749088433</v>
      </c>
      <c r="U188" s="66">
        <f t="shared" si="43"/>
        <v>0.863504542</v>
      </c>
      <c r="V188" s="66">
        <f t="shared" si="43"/>
        <v>-0.001682103196</v>
      </c>
      <c r="W188" s="66">
        <f t="shared" si="43"/>
        <v>-0.0008601020394</v>
      </c>
      <c r="X188" s="66">
        <f t="shared" si="43"/>
        <v>-0.001405179146</v>
      </c>
      <c r="Y188" s="66">
        <f t="shared" si="43"/>
        <v>-0.01266964899</v>
      </c>
      <c r="Z188" s="66">
        <f t="shared" si="43"/>
        <v>-0.00137340028</v>
      </c>
      <c r="AA188" s="66">
        <f t="shared" si="43"/>
        <v>-0.002336503518</v>
      </c>
      <c r="AB188" s="66">
        <f t="shared" si="43"/>
        <v>-0.001826226603</v>
      </c>
      <c r="AC188" s="66">
        <f t="shared" si="43"/>
        <v>-0.001975534967</v>
      </c>
      <c r="AD188" s="66">
        <f t="shared" si="43"/>
        <v>-0.04438992754</v>
      </c>
      <c r="AF188" s="65">
        <v>19.0</v>
      </c>
      <c r="AG188" s="74">
        <v>327565.93958405586</v>
      </c>
      <c r="AH188" s="74">
        <v>2734226.7282935963</v>
      </c>
      <c r="AI188" s="74">
        <v>5299310.717600588</v>
      </c>
      <c r="AJ188" s="74">
        <v>7650529.078384011</v>
      </c>
      <c r="AK188" s="74">
        <v>5.86470530433854E7</v>
      </c>
      <c r="AL188" s="74">
        <v>10378.880911614671</v>
      </c>
      <c r="AM188" s="74">
        <v>211066.95300858922</v>
      </c>
      <c r="AN188" s="74">
        <v>3.6486272328786924E7</v>
      </c>
      <c r="AO188" s="74">
        <v>42546.24956811877</v>
      </c>
      <c r="AP188" s="74">
        <v>2.6940821859117966E7</v>
      </c>
      <c r="AQ188" s="74">
        <v>5.929353620837334E7</v>
      </c>
      <c r="AR188" s="74">
        <v>14681.571844467864</v>
      </c>
      <c r="AS188" s="74">
        <v>2182.7562376108244</v>
      </c>
      <c r="AT188" s="74">
        <v>1.544168307908823E7</v>
      </c>
      <c r="AU188" s="74">
        <v>6.94028463322645E8</v>
      </c>
      <c r="AV188" s="74">
        <v>3.5638442580538344E9</v>
      </c>
      <c r="AW188" s="74">
        <v>8.23600640900086E9</v>
      </c>
      <c r="AX188" s="74">
        <v>9.65633065174693E9</v>
      </c>
      <c r="AY188" s="74">
        <v>1.8557803266315057E11</v>
      </c>
      <c r="AZ188" s="74">
        <v>3.089879380941804E7</v>
      </c>
      <c r="BA188" s="74">
        <v>9.812997946381554E7</v>
      </c>
      <c r="BB188" s="74">
        <v>1.2439926304522717E10</v>
      </c>
      <c r="BC188" s="74">
        <v>6.402475132915787E8</v>
      </c>
      <c r="BD188" s="74">
        <v>4.981351539372261E9</v>
      </c>
      <c r="BE188" s="74">
        <v>1.9877803865124363E10</v>
      </c>
      <c r="BF188" s="74">
        <v>5.174529685471957E7</v>
      </c>
      <c r="BG188" s="74">
        <v>6.104006961598468E7</v>
      </c>
      <c r="BH188" s="74">
        <v>1.6603091993276112E10</v>
      </c>
      <c r="BI188" s="9">
        <f t="shared" si="26"/>
        <v>262725579656</v>
      </c>
    </row>
    <row r="189" ht="15.75" customHeight="1">
      <c r="B189" s="65">
        <v>20.0</v>
      </c>
      <c r="C189" s="66">
        <f t="shared" ref="C189:AD189" si="44">C158-C127</f>
        <v>-0.00003101750552</v>
      </c>
      <c r="D189" s="66">
        <f t="shared" si="44"/>
        <v>-0.00007427193801</v>
      </c>
      <c r="E189" s="66">
        <f t="shared" si="44"/>
        <v>-0.00003158991752</v>
      </c>
      <c r="F189" s="66">
        <f t="shared" si="44"/>
        <v>-0.00006928642216</v>
      </c>
      <c r="G189" s="66">
        <f t="shared" si="44"/>
        <v>-0.00004827737048</v>
      </c>
      <c r="H189" s="66">
        <f t="shared" si="44"/>
        <v>-0.001064152217</v>
      </c>
      <c r="I189" s="66">
        <f t="shared" si="44"/>
        <v>-0.000003875378719</v>
      </c>
      <c r="J189" s="66">
        <f t="shared" si="44"/>
        <v>-0.0001429099498</v>
      </c>
      <c r="K189" s="66">
        <f t="shared" si="44"/>
        <v>-0.00003773861258</v>
      </c>
      <c r="L189" s="66">
        <f t="shared" si="44"/>
        <v>-0.00005817769369</v>
      </c>
      <c r="M189" s="66">
        <f t="shared" si="44"/>
        <v>-0.00001139684422</v>
      </c>
      <c r="N189" s="66">
        <f t="shared" si="44"/>
        <v>-0.001033953114</v>
      </c>
      <c r="O189" s="66">
        <f t="shared" si="44"/>
        <v>-0.00001264894603</v>
      </c>
      <c r="P189" s="66">
        <f t="shared" si="44"/>
        <v>-0.000008074232414</v>
      </c>
      <c r="Q189" s="66">
        <f t="shared" si="44"/>
        <v>-0.0002126291031</v>
      </c>
      <c r="R189" s="66">
        <f t="shared" si="44"/>
        <v>-0.0005074944001</v>
      </c>
      <c r="S189" s="66">
        <f t="shared" si="44"/>
        <v>-0.0003827372157</v>
      </c>
      <c r="T189" s="66">
        <f t="shared" si="44"/>
        <v>-0.0006252552812</v>
      </c>
      <c r="U189" s="66">
        <f t="shared" si="44"/>
        <v>-0.0003798593915</v>
      </c>
      <c r="V189" s="66">
        <f t="shared" si="44"/>
        <v>0.9633220525</v>
      </c>
      <c r="W189" s="66">
        <f t="shared" si="44"/>
        <v>-0.0003773283262</v>
      </c>
      <c r="X189" s="66">
        <f t="shared" si="44"/>
        <v>-0.0006034669845</v>
      </c>
      <c r="Y189" s="66">
        <f t="shared" si="44"/>
        <v>-0.0003988839859</v>
      </c>
      <c r="Z189" s="66">
        <f t="shared" si="44"/>
        <v>-0.0003478964228</v>
      </c>
      <c r="AA189" s="66">
        <f t="shared" si="44"/>
        <v>-0.0004726982662</v>
      </c>
      <c r="AB189" s="66">
        <f t="shared" si="44"/>
        <v>-0.03284023471</v>
      </c>
      <c r="AC189" s="66">
        <f t="shared" si="44"/>
        <v>-0.005960373615</v>
      </c>
      <c r="AD189" s="66">
        <f t="shared" si="44"/>
        <v>-0.0004613271069</v>
      </c>
      <c r="AF189" s="65">
        <v>20.0</v>
      </c>
      <c r="AG189" s="74">
        <v>6507790.06462754</v>
      </c>
      <c r="AH189" s="74">
        <v>1.7421364831820253E7</v>
      </c>
      <c r="AI189" s="74">
        <v>1.0699747924681189E7</v>
      </c>
      <c r="AJ189" s="74">
        <v>2.5485073363942523E7</v>
      </c>
      <c r="AK189" s="74">
        <v>3.6323213457283184E7</v>
      </c>
      <c r="AL189" s="74">
        <v>1486390.4163351206</v>
      </c>
      <c r="AM189" s="74">
        <v>3451928.690338752</v>
      </c>
      <c r="AN189" s="74">
        <v>6.828531965116074E8</v>
      </c>
      <c r="AO189" s="74">
        <v>962899.1715144876</v>
      </c>
      <c r="AP189" s="74">
        <v>2.172384911225907E8</v>
      </c>
      <c r="AQ189" s="74">
        <v>4.314742818699975E8</v>
      </c>
      <c r="AR189" s="74">
        <v>2147674.331072279</v>
      </c>
      <c r="AS189" s="74">
        <v>34901.335033009884</v>
      </c>
      <c r="AT189" s="74">
        <v>1.970618544439879E7</v>
      </c>
      <c r="AU189" s="74">
        <v>8.565580149629547E9</v>
      </c>
      <c r="AV189" s="74">
        <v>8.65431217583208E9</v>
      </c>
      <c r="AW189" s="74">
        <v>9.766514522382597E9</v>
      </c>
      <c r="AX189" s="74">
        <v>2.3706587124684345E10</v>
      </c>
      <c r="AY189" s="74">
        <v>1.9540023944445965E10</v>
      </c>
      <c r="AZ189" s="74">
        <v>6.186879676018826E11</v>
      </c>
      <c r="BA189" s="74">
        <v>2.7424016134985943E9</v>
      </c>
      <c r="BB189" s="74">
        <v>3.565694982759741E11</v>
      </c>
      <c r="BC189" s="74">
        <v>4.133415300267653E9</v>
      </c>
      <c r="BD189" s="74">
        <v>9.886208938143486E10</v>
      </c>
      <c r="BE189" s="74">
        <v>3.494716301833166E11</v>
      </c>
      <c r="BF189" s="74">
        <v>3.640818433238348E10</v>
      </c>
      <c r="BG189" s="74">
        <v>9.287960780776562E9</v>
      </c>
      <c r="BH189" s="74">
        <v>3.0545562762755222E10</v>
      </c>
      <c r="BI189" s="9">
        <f t="shared" si="26"/>
        <v>1578397521288</v>
      </c>
    </row>
    <row r="190" ht="15.75" customHeight="1">
      <c r="B190" s="65">
        <v>21.0</v>
      </c>
      <c r="C190" s="66">
        <f t="shared" ref="C190:AD190" si="45">C159-C128</f>
        <v>-0.004956818682</v>
      </c>
      <c r="D190" s="66">
        <f t="shared" si="45"/>
        <v>-0.0005596434218</v>
      </c>
      <c r="E190" s="66">
        <f t="shared" si="45"/>
        <v>-0.01876442446</v>
      </c>
      <c r="F190" s="66">
        <f t="shared" si="45"/>
        <v>-0.000844817971</v>
      </c>
      <c r="G190" s="66">
        <f t="shared" si="45"/>
        <v>-0.002000582403</v>
      </c>
      <c r="H190" s="66">
        <f t="shared" si="45"/>
        <v>-0.0004000386504</v>
      </c>
      <c r="I190" s="66">
        <f t="shared" si="45"/>
        <v>-0.04727344629</v>
      </c>
      <c r="J190" s="66">
        <f t="shared" si="45"/>
        <v>-0.02761232644</v>
      </c>
      <c r="K190" s="66">
        <f t="shared" si="45"/>
        <v>-0.6426427725</v>
      </c>
      <c r="L190" s="66">
        <f t="shared" si="45"/>
        <v>-0.004914040077</v>
      </c>
      <c r="M190" s="66">
        <f t="shared" si="45"/>
        <v>-0.0002697013305</v>
      </c>
      <c r="N190" s="66">
        <f t="shared" si="45"/>
        <v>-0.0004823403154</v>
      </c>
      <c r="O190" s="66">
        <f t="shared" si="45"/>
        <v>-0.0001237668267</v>
      </c>
      <c r="P190" s="66">
        <f t="shared" si="45"/>
        <v>-0.0006414240186</v>
      </c>
      <c r="Q190" s="66">
        <f t="shared" si="45"/>
        <v>-0.004108888476</v>
      </c>
      <c r="R190" s="66">
        <f t="shared" si="45"/>
        <v>-0.004127883298</v>
      </c>
      <c r="S190" s="66">
        <f t="shared" si="45"/>
        <v>-0.006126275439</v>
      </c>
      <c r="T190" s="66">
        <f t="shared" si="45"/>
        <v>-0.006815359137</v>
      </c>
      <c r="U190" s="66">
        <f t="shared" si="45"/>
        <v>-0.004865942446</v>
      </c>
      <c r="V190" s="66">
        <f t="shared" si="45"/>
        <v>-0.005282308311</v>
      </c>
      <c r="W190" s="66">
        <f t="shared" si="45"/>
        <v>0.8827277952</v>
      </c>
      <c r="X190" s="66">
        <f t="shared" si="45"/>
        <v>-0.05812158243</v>
      </c>
      <c r="Y190" s="66">
        <f t="shared" si="45"/>
        <v>-0.04598384962</v>
      </c>
      <c r="Z190" s="66">
        <f t="shared" si="45"/>
        <v>-0.02035334297</v>
      </c>
      <c r="AA190" s="66">
        <f t="shared" si="45"/>
        <v>-0.001219211278</v>
      </c>
      <c r="AB190" s="66">
        <f t="shared" si="45"/>
        <v>-0.009728944219</v>
      </c>
      <c r="AC190" s="66">
        <f t="shared" si="45"/>
        <v>-0.01015138427</v>
      </c>
      <c r="AD190" s="66">
        <f t="shared" si="45"/>
        <v>-0.001530164089</v>
      </c>
      <c r="AF190" s="65">
        <v>21.0</v>
      </c>
      <c r="AG190" s="74">
        <v>1.5870724628975028E7</v>
      </c>
      <c r="AH190" s="74">
        <v>2.9702126051902197E7</v>
      </c>
      <c r="AI190" s="74">
        <v>3.7247855431776956E7</v>
      </c>
      <c r="AJ190" s="74">
        <v>3.895445038562975E7</v>
      </c>
      <c r="AK190" s="74">
        <v>6.3694496995296046E7</v>
      </c>
      <c r="AL190" s="74">
        <v>331210.2215248407</v>
      </c>
      <c r="AM190" s="74">
        <v>3.584553480509607E7</v>
      </c>
      <c r="AN190" s="74">
        <v>2.0037171462289383E9</v>
      </c>
      <c r="AO190" s="74">
        <v>2.590869039651177E7</v>
      </c>
      <c r="AP190" s="74">
        <v>4.1954694679592913E8</v>
      </c>
      <c r="AQ190" s="74">
        <v>7.087106140215954E8</v>
      </c>
      <c r="AR190" s="74">
        <v>459367.04543659114</v>
      </c>
      <c r="AS190" s="74">
        <v>85755.81568178386</v>
      </c>
      <c r="AT190" s="74">
        <v>4.10104001230778E7</v>
      </c>
      <c r="AU190" s="74">
        <v>1.0854381579985924E10</v>
      </c>
      <c r="AV190" s="74">
        <v>7.809251060192183E9</v>
      </c>
      <c r="AW190" s="74">
        <v>8.697317445634193E9</v>
      </c>
      <c r="AX190" s="74">
        <v>1.823686794800744E10</v>
      </c>
      <c r="AY190" s="74">
        <v>1.7403127355084156E10</v>
      </c>
      <c r="AZ190" s="74">
        <v>5.65901234576802E8</v>
      </c>
      <c r="BA190" s="74">
        <v>9.824110047484755E10</v>
      </c>
      <c r="BB190" s="74">
        <v>8.116439996061946E11</v>
      </c>
      <c r="BC190" s="74">
        <v>9.311381941378847E9</v>
      </c>
      <c r="BD190" s="74">
        <v>1.5142121148623093E11</v>
      </c>
      <c r="BE190" s="74">
        <v>1.8130373677510455E11</v>
      </c>
      <c r="BF190" s="74">
        <v>1.0482765135901952E9</v>
      </c>
      <c r="BG190" s="74">
        <v>1.2291847390817702E9</v>
      </c>
      <c r="BH190" s="74">
        <v>1.6839201637143646E10</v>
      </c>
      <c r="BI190" s="9">
        <f t="shared" si="26"/>
        <v>1338026025116</v>
      </c>
    </row>
    <row r="191" ht="15.75" customHeight="1">
      <c r="B191" s="65">
        <v>22.0</v>
      </c>
      <c r="C191" s="66">
        <f t="shared" ref="C191:AD191" si="46">C160-C129</f>
        <v>-0.1524998974</v>
      </c>
      <c r="D191" s="66">
        <f t="shared" si="46"/>
        <v>-0.07261025449</v>
      </c>
      <c r="E191" s="66">
        <f t="shared" si="46"/>
        <v>-0.04204023341</v>
      </c>
      <c r="F191" s="66">
        <f t="shared" si="46"/>
        <v>-0.06401154902</v>
      </c>
      <c r="G191" s="66">
        <f t="shared" si="46"/>
        <v>-0.01750817918</v>
      </c>
      <c r="H191" s="66">
        <f t="shared" si="46"/>
        <v>-0.009514408279</v>
      </c>
      <c r="I191" s="66">
        <f t="shared" si="46"/>
        <v>-0.01637639727</v>
      </c>
      <c r="J191" s="66">
        <f t="shared" si="46"/>
        <v>-0.1753082893</v>
      </c>
      <c r="K191" s="66">
        <f t="shared" si="46"/>
        <v>-0.01934257139</v>
      </c>
      <c r="L191" s="66">
        <f t="shared" si="46"/>
        <v>-0.01917867847</v>
      </c>
      <c r="M191" s="66">
        <f t="shared" si="46"/>
        <v>-0.02122064168</v>
      </c>
      <c r="N191" s="66">
        <f t="shared" si="46"/>
        <v>-0.007031582267</v>
      </c>
      <c r="O191" s="66">
        <f t="shared" si="46"/>
        <v>-0.00972120577</v>
      </c>
      <c r="P191" s="66">
        <f t="shared" si="46"/>
        <v>-0.01230617482</v>
      </c>
      <c r="Q191" s="66">
        <f t="shared" si="46"/>
        <v>-0.07912228861</v>
      </c>
      <c r="R191" s="66">
        <f t="shared" si="46"/>
        <v>-0.1381464013</v>
      </c>
      <c r="S191" s="66">
        <f t="shared" si="46"/>
        <v>-0.07182869096</v>
      </c>
      <c r="T191" s="66">
        <f t="shared" si="46"/>
        <v>-0.09720568752</v>
      </c>
      <c r="U191" s="66">
        <f t="shared" si="46"/>
        <v>-0.06584972971</v>
      </c>
      <c r="V191" s="66">
        <f t="shared" si="46"/>
        <v>-0.1252313002</v>
      </c>
      <c r="W191" s="66">
        <f t="shared" si="46"/>
        <v>-0.1211553055</v>
      </c>
      <c r="X191" s="66">
        <f t="shared" si="46"/>
        <v>0.5965197463</v>
      </c>
      <c r="Y191" s="66">
        <f t="shared" si="46"/>
        <v>-0.2308226296</v>
      </c>
      <c r="Z191" s="66">
        <f t="shared" si="46"/>
        <v>-0.09018987912</v>
      </c>
      <c r="AA191" s="66">
        <f t="shared" si="46"/>
        <v>-0.06934692855</v>
      </c>
      <c r="AB191" s="66">
        <f t="shared" si="46"/>
        <v>-0.1243401511</v>
      </c>
      <c r="AC191" s="66">
        <f t="shared" si="46"/>
        <v>-0.1121835321</v>
      </c>
      <c r="AD191" s="66">
        <f t="shared" si="46"/>
        <v>-0.04301739392</v>
      </c>
      <c r="AF191" s="65">
        <v>22.0</v>
      </c>
      <c r="AG191" s="74">
        <v>1.0424328222118077E8</v>
      </c>
      <c r="AH191" s="74">
        <v>1.9642542165808794E8</v>
      </c>
      <c r="AI191" s="74">
        <v>1.0900075521270166E8</v>
      </c>
      <c r="AJ191" s="74">
        <v>2.213502097335528E8</v>
      </c>
      <c r="AK191" s="74">
        <v>2.6459865224546534E8</v>
      </c>
      <c r="AL191" s="74">
        <v>1457175.4946265758</v>
      </c>
      <c r="AM191" s="74">
        <v>3.555172399106656E7</v>
      </c>
      <c r="AN191" s="74">
        <v>8.573929004044525E9</v>
      </c>
      <c r="AO191" s="74">
        <v>6540914.347185578</v>
      </c>
      <c r="AP191" s="74">
        <v>1.627312642642427E9</v>
      </c>
      <c r="AQ191" s="74">
        <v>4.09836292522648E9</v>
      </c>
      <c r="AR191" s="74">
        <v>1963304.0644467424</v>
      </c>
      <c r="AS191" s="74">
        <v>395312.0272196284</v>
      </c>
      <c r="AT191" s="74">
        <v>1.8521310641563687E8</v>
      </c>
      <c r="AU191" s="74">
        <v>6.24411243202092E10</v>
      </c>
      <c r="AV191" s="74">
        <v>5.1912328310794914E10</v>
      </c>
      <c r="AW191" s="74">
        <v>4.754432670768534E10</v>
      </c>
      <c r="AX191" s="74">
        <v>1.0411184230782156E11</v>
      </c>
      <c r="AY191" s="74">
        <v>9.987879092569559E10</v>
      </c>
      <c r="AZ191" s="74">
        <v>3.8522545129210596E9</v>
      </c>
      <c r="BA191" s="74">
        <v>1.7768132349984413E10</v>
      </c>
      <c r="BB191" s="74">
        <v>8.370649430981554E12</v>
      </c>
      <c r="BC191" s="74">
        <v>3.592601804357987E10</v>
      </c>
      <c r="BD191" s="74">
        <v>5.609080116200002E11</v>
      </c>
      <c r="BE191" s="74">
        <v>1.389232922934683E12</v>
      </c>
      <c r="BF191" s="74">
        <v>6.190305445488455E9</v>
      </c>
      <c r="BG191" s="74">
        <v>6.847161294080118E9</v>
      </c>
      <c r="BH191" s="74">
        <v>1.0462835528917462E11</v>
      </c>
      <c r="BI191" s="9">
        <f t="shared" si="26"/>
        <v>10877317349473</v>
      </c>
    </row>
    <row r="192" ht="15.75" customHeight="1">
      <c r="B192" s="65">
        <v>23.0</v>
      </c>
      <c r="C192" s="66">
        <f t="shared" ref="C192:AD192" si="47">C161-C130</f>
        <v>-0.003000402276</v>
      </c>
      <c r="D192" s="66">
        <f t="shared" si="47"/>
        <v>-0.00006863320411</v>
      </c>
      <c r="E192" s="66">
        <f t="shared" si="47"/>
        <v>-0.0003866655374</v>
      </c>
      <c r="F192" s="66">
        <f t="shared" si="47"/>
        <v>-0.00005416074759</v>
      </c>
      <c r="G192" s="66">
        <f t="shared" si="47"/>
        <v>-0.00002554777875</v>
      </c>
      <c r="H192" s="66">
        <f t="shared" si="47"/>
        <v>-0.00005521428412</v>
      </c>
      <c r="I192" s="66">
        <f t="shared" si="47"/>
        <v>-0.00006642790544</v>
      </c>
      <c r="J192" s="66">
        <f t="shared" si="47"/>
        <v>-0.0004717920312</v>
      </c>
      <c r="K192" s="66">
        <f t="shared" si="47"/>
        <v>-0.0003454381787</v>
      </c>
      <c r="L192" s="66">
        <f t="shared" si="47"/>
        <v>-0.00002925100395</v>
      </c>
      <c r="M192" s="66">
        <f t="shared" si="47"/>
        <v>-0.00002707844364</v>
      </c>
      <c r="N192" s="66">
        <f t="shared" si="47"/>
        <v>-0.00005679503977</v>
      </c>
      <c r="O192" s="66">
        <f t="shared" si="47"/>
        <v>-0.00001073426208</v>
      </c>
      <c r="P192" s="66">
        <f t="shared" si="47"/>
        <v>-0.00002189706929</v>
      </c>
      <c r="Q192" s="66">
        <f t="shared" si="47"/>
        <v>-0.06431873416</v>
      </c>
      <c r="R192" s="66">
        <f t="shared" si="47"/>
        <v>-0.00067976669</v>
      </c>
      <c r="S192" s="66">
        <f t="shared" si="47"/>
        <v>-0.002922547606</v>
      </c>
      <c r="T192" s="66">
        <f t="shared" si="47"/>
        <v>-0.001091613114</v>
      </c>
      <c r="U192" s="66">
        <f t="shared" si="47"/>
        <v>-0.0005700295838</v>
      </c>
      <c r="V192" s="66">
        <f t="shared" si="47"/>
        <v>-0.0004516155823</v>
      </c>
      <c r="W192" s="66">
        <f t="shared" si="47"/>
        <v>-0.003094283728</v>
      </c>
      <c r="X192" s="66">
        <f t="shared" si="47"/>
        <v>-0.00135566462</v>
      </c>
      <c r="Y192" s="66">
        <f t="shared" si="47"/>
        <v>0.8431675004</v>
      </c>
      <c r="Z192" s="66">
        <f t="shared" si="47"/>
        <v>-0.0004301509697</v>
      </c>
      <c r="AA192" s="66">
        <f t="shared" si="47"/>
        <v>-0.0003837593513</v>
      </c>
      <c r="AB192" s="66">
        <f t="shared" si="47"/>
        <v>-0.0004069478294</v>
      </c>
      <c r="AC192" s="66">
        <f t="shared" si="47"/>
        <v>-0.0009868896358</v>
      </c>
      <c r="AD192" s="66">
        <f t="shared" si="47"/>
        <v>-0.0002979135396</v>
      </c>
      <c r="AF192" s="65">
        <v>23.0</v>
      </c>
      <c r="AG192" s="74">
        <v>4500703.555454361</v>
      </c>
      <c r="AH192" s="74">
        <v>8883931.885922883</v>
      </c>
      <c r="AI192" s="74">
        <v>1.5433890364312835E7</v>
      </c>
      <c r="AJ192" s="74">
        <v>7178688.663006761</v>
      </c>
      <c r="AK192" s="74">
        <v>3.3221205081414327E7</v>
      </c>
      <c r="AL192" s="74">
        <v>24043.345819119462</v>
      </c>
      <c r="AM192" s="74">
        <v>722600.2735676175</v>
      </c>
      <c r="AN192" s="74">
        <v>1.1827309590004162E8</v>
      </c>
      <c r="AO192" s="74">
        <v>278166.5585044219</v>
      </c>
      <c r="AP192" s="74">
        <v>2.931810070980722E7</v>
      </c>
      <c r="AQ192" s="74">
        <v>6.719262765381369E7</v>
      </c>
      <c r="AR192" s="74">
        <v>33632.86385736098</v>
      </c>
      <c r="AS192" s="74">
        <v>5486.820796302209</v>
      </c>
      <c r="AT192" s="74">
        <v>9311882.658344554</v>
      </c>
      <c r="AU192" s="74">
        <v>5.427760977043237E10</v>
      </c>
      <c r="AV192" s="74">
        <v>6.048918315579445E9</v>
      </c>
      <c r="AW192" s="74">
        <v>5.722803982050852E9</v>
      </c>
      <c r="AX192" s="74">
        <v>5.89100113126563E9</v>
      </c>
      <c r="AY192" s="74">
        <v>2.647032772237337E10</v>
      </c>
      <c r="AZ192" s="74">
        <v>6.607659436260385E7</v>
      </c>
      <c r="BA192" s="74">
        <v>8.480588290792942E8</v>
      </c>
      <c r="BB192" s="74">
        <v>6.1091670482691246E10</v>
      </c>
      <c r="BC192" s="74">
        <v>1.6459304326661105E11</v>
      </c>
      <c r="BD192" s="74">
        <v>1.1339653373726355E10</v>
      </c>
      <c r="BE192" s="74">
        <v>3.211236816760082E10</v>
      </c>
      <c r="BF192" s="74">
        <v>1.1039490694484837E8</v>
      </c>
      <c r="BG192" s="74">
        <v>1.715313912550048E8</v>
      </c>
      <c r="BH192" s="74">
        <v>6.682555681692481E9</v>
      </c>
      <c r="BI192" s="9">
        <f t="shared" si="26"/>
        <v>375720391672</v>
      </c>
    </row>
    <row r="193" ht="15.75" customHeight="1">
      <c r="B193" s="65">
        <v>24.0</v>
      </c>
      <c r="C193" s="66">
        <f t="shared" ref="C193:AD193" si="48">C162-C131</f>
        <v>-0.00931831518</v>
      </c>
      <c r="D193" s="66">
        <f t="shared" si="48"/>
        <v>-0.04568608023</v>
      </c>
      <c r="E193" s="66">
        <f t="shared" si="48"/>
        <v>-0.02163489181</v>
      </c>
      <c r="F193" s="66">
        <f t="shared" si="48"/>
        <v>-0.08535530431</v>
      </c>
      <c r="G193" s="66">
        <f t="shared" si="48"/>
        <v>-0.01915249489</v>
      </c>
      <c r="H193" s="66">
        <f t="shared" si="48"/>
        <v>-0.01058463497</v>
      </c>
      <c r="I193" s="66">
        <f t="shared" si="48"/>
        <v>-0.02562309319</v>
      </c>
      <c r="J193" s="66">
        <f t="shared" si="48"/>
        <v>-0.03550638096</v>
      </c>
      <c r="K193" s="66">
        <f t="shared" si="48"/>
        <v>-0.08854859864</v>
      </c>
      <c r="L193" s="66">
        <f t="shared" si="48"/>
        <v>-0.04160223989</v>
      </c>
      <c r="M193" s="66">
        <f t="shared" si="48"/>
        <v>-0.00652326488</v>
      </c>
      <c r="N193" s="66">
        <f t="shared" si="48"/>
        <v>-0.01276767151</v>
      </c>
      <c r="O193" s="66">
        <f t="shared" si="48"/>
        <v>-0.01313950472</v>
      </c>
      <c r="P193" s="66">
        <f t="shared" si="48"/>
        <v>-0.005484299924</v>
      </c>
      <c r="Q193" s="66">
        <f t="shared" si="48"/>
        <v>-0.06697580073</v>
      </c>
      <c r="R193" s="66">
        <f t="shared" si="48"/>
        <v>-0.2063798507</v>
      </c>
      <c r="S193" s="66">
        <f t="shared" si="48"/>
        <v>-0.1155159443</v>
      </c>
      <c r="T193" s="66">
        <f t="shared" si="48"/>
        <v>-0.1323078673</v>
      </c>
      <c r="U193" s="66">
        <f t="shared" si="48"/>
        <v>-0.09484351565</v>
      </c>
      <c r="V193" s="66">
        <f t="shared" si="48"/>
        <v>-0.09364600636</v>
      </c>
      <c r="W193" s="66">
        <f t="shared" si="48"/>
        <v>-0.0861563623</v>
      </c>
      <c r="X193" s="66">
        <f t="shared" si="48"/>
        <v>-0.1086743866</v>
      </c>
      <c r="Y193" s="66">
        <f t="shared" si="48"/>
        <v>-0.2043359244</v>
      </c>
      <c r="Z193" s="66">
        <f t="shared" si="48"/>
        <v>0.8347606455</v>
      </c>
      <c r="AA193" s="66">
        <f t="shared" si="48"/>
        <v>-0.06203655932</v>
      </c>
      <c r="AB193" s="66">
        <f t="shared" si="48"/>
        <v>-0.09406529708</v>
      </c>
      <c r="AC193" s="66">
        <f t="shared" si="48"/>
        <v>-0.09221967695</v>
      </c>
      <c r="AD193" s="66">
        <f t="shared" si="48"/>
        <v>-0.1099968315</v>
      </c>
      <c r="AF193" s="65">
        <v>24.0</v>
      </c>
      <c r="AG193" s="74">
        <v>7.16755502465767E7</v>
      </c>
      <c r="AH193" s="74">
        <v>2.6866079921403193E8</v>
      </c>
      <c r="AI193" s="74">
        <v>1.557513085687898E8</v>
      </c>
      <c r="AJ193" s="74">
        <v>4.9051121301842266E8</v>
      </c>
      <c r="AK193" s="74">
        <v>5.391987585360641E8</v>
      </c>
      <c r="AL193" s="74">
        <v>2338429.0418049195</v>
      </c>
      <c r="AM193" s="74">
        <v>7.051674649463274E7</v>
      </c>
      <c r="AN193" s="74">
        <v>7.626008749684013E9</v>
      </c>
      <c r="AO193" s="74">
        <v>1.700859606565516E7</v>
      </c>
      <c r="AP193" s="74">
        <v>3.956020950400001E9</v>
      </c>
      <c r="AQ193" s="74">
        <v>5.017401887359796E9</v>
      </c>
      <c r="AR193" s="74">
        <v>3444375.503982854</v>
      </c>
      <c r="AS193" s="74">
        <v>488617.06955601124</v>
      </c>
      <c r="AT193" s="74">
        <v>2.7914641900976455E8</v>
      </c>
      <c r="AU193" s="74">
        <v>1.202070573664814E11</v>
      </c>
      <c r="AV193" s="74">
        <v>1.3959002728960092E11</v>
      </c>
      <c r="AW193" s="74">
        <v>1.3377515667509453E11</v>
      </c>
      <c r="AX193" s="74">
        <v>2.771618721039989E11</v>
      </c>
      <c r="AY193" s="74">
        <v>2.4806626950634457E11</v>
      </c>
      <c r="AZ193" s="74">
        <v>6.888737207282263E9</v>
      </c>
      <c r="BA193" s="74">
        <v>3.047357645165527E10</v>
      </c>
      <c r="BB193" s="74">
        <v>3.5897694254182266E12</v>
      </c>
      <c r="BC193" s="74">
        <v>7.0808700534739E10</v>
      </c>
      <c r="BD193" s="74">
        <v>8.637214833626873E12</v>
      </c>
      <c r="BE193" s="74">
        <v>2.7865407786419595E12</v>
      </c>
      <c r="BF193" s="74">
        <v>1.1136954877239056E10</v>
      </c>
      <c r="BG193" s="74">
        <v>1.2897905474468039E10</v>
      </c>
      <c r="BH193" s="74">
        <v>3.604652883108214E11</v>
      </c>
      <c r="BI193" s="9">
        <f t="shared" si="26"/>
        <v>16443494755885</v>
      </c>
    </row>
    <row r="194" ht="15.75" customHeight="1">
      <c r="B194" s="65">
        <v>25.0</v>
      </c>
      <c r="C194" s="66">
        <f t="shared" ref="C194:AD194" si="49">C163-C132</f>
        <v>-0.00508910242</v>
      </c>
      <c r="D194" s="66">
        <f t="shared" si="49"/>
        <v>-0.02649157395</v>
      </c>
      <c r="E194" s="66">
        <f t="shared" si="49"/>
        <v>-0.005746621507</v>
      </c>
      <c r="F194" s="66">
        <f t="shared" si="49"/>
        <v>-0.06162439575</v>
      </c>
      <c r="G194" s="66">
        <f t="shared" si="49"/>
        <v>-0.007556833171</v>
      </c>
      <c r="H194" s="66">
        <f t="shared" si="49"/>
        <v>-0.003672249048</v>
      </c>
      <c r="I194" s="66">
        <f t="shared" si="49"/>
        <v>-0.0046681523</v>
      </c>
      <c r="J194" s="66">
        <f t="shared" si="49"/>
        <v>-0.01745512988</v>
      </c>
      <c r="K194" s="66">
        <f t="shared" si="49"/>
        <v>-0.01332301663</v>
      </c>
      <c r="L194" s="66">
        <f t="shared" si="49"/>
        <v>-0.0143655859</v>
      </c>
      <c r="M194" s="66">
        <f t="shared" si="49"/>
        <v>-0.02638435792</v>
      </c>
      <c r="N194" s="66">
        <f t="shared" si="49"/>
        <v>-0.003727681857</v>
      </c>
      <c r="O194" s="66">
        <f t="shared" si="49"/>
        <v>-0.002115708586</v>
      </c>
      <c r="P194" s="66">
        <f t="shared" si="49"/>
        <v>-0.00489013001</v>
      </c>
      <c r="Q194" s="66">
        <f t="shared" si="49"/>
        <v>-0.04432625479</v>
      </c>
      <c r="R194" s="66">
        <f t="shared" si="49"/>
        <v>-0.08519907741</v>
      </c>
      <c r="S194" s="66">
        <f t="shared" si="49"/>
        <v>-0.04681823704</v>
      </c>
      <c r="T194" s="66">
        <f t="shared" si="49"/>
        <v>-0.04960956421</v>
      </c>
      <c r="U194" s="66">
        <f t="shared" si="49"/>
        <v>-0.05407671496</v>
      </c>
      <c r="V194" s="66">
        <f t="shared" si="49"/>
        <v>-0.1726569203</v>
      </c>
      <c r="W194" s="66">
        <f t="shared" si="49"/>
        <v>-0.08062617621</v>
      </c>
      <c r="X194" s="66">
        <f t="shared" si="49"/>
        <v>-0.07466945559</v>
      </c>
      <c r="Y194" s="66">
        <f t="shared" si="49"/>
        <v>-0.09112488407</v>
      </c>
      <c r="Z194" s="66">
        <f t="shared" si="49"/>
        <v>-0.1082310681</v>
      </c>
      <c r="AA194" s="66">
        <f t="shared" si="49"/>
        <v>0.7850981789</v>
      </c>
      <c r="AB194" s="66">
        <f t="shared" si="49"/>
        <v>-0.1513882395</v>
      </c>
      <c r="AC194" s="66">
        <f t="shared" si="49"/>
        <v>-0.1209488703</v>
      </c>
      <c r="AD194" s="66">
        <f t="shared" si="49"/>
        <v>-0.111531924</v>
      </c>
      <c r="AF194" s="65">
        <v>25.0</v>
      </c>
      <c r="AG194" s="74">
        <v>3013886.809109825</v>
      </c>
      <c r="AH194" s="74">
        <v>1.0984008097726153E7</v>
      </c>
      <c r="AI194" s="74">
        <v>5662860.594775923</v>
      </c>
      <c r="AJ194" s="74">
        <v>2.091291921604602E7</v>
      </c>
      <c r="AK194" s="74">
        <v>1.928171657631462E7</v>
      </c>
      <c r="AL194" s="74">
        <v>88979.55894346269</v>
      </c>
      <c r="AM194" s="74">
        <v>2166031.441447576</v>
      </c>
      <c r="AN194" s="74">
        <v>3.0323934654645586E8</v>
      </c>
      <c r="AO194" s="74">
        <v>581309.4615315093</v>
      </c>
      <c r="AP194" s="74">
        <v>1.3447241392436558E8</v>
      </c>
      <c r="AQ194" s="74">
        <v>3.917213115620713E8</v>
      </c>
      <c r="AR194" s="74">
        <v>127005.05295345758</v>
      </c>
      <c r="AS194" s="74">
        <v>17281.607122602563</v>
      </c>
      <c r="AT194" s="74">
        <v>1.2040832464287357E7</v>
      </c>
      <c r="AU194" s="74">
        <v>4.843542003667751E9</v>
      </c>
      <c r="AV194" s="74">
        <v>4.502373130731812E9</v>
      </c>
      <c r="AW194" s="74">
        <v>4.2717782412154255E9</v>
      </c>
      <c r="AX194" s="74">
        <v>8.529777595299701E9</v>
      </c>
      <c r="AY194" s="74">
        <v>9.383569588688225E9</v>
      </c>
      <c r="AZ194" s="74">
        <v>5.485593589934533E8</v>
      </c>
      <c r="BA194" s="74">
        <v>1.5615950177723289E9</v>
      </c>
      <c r="BB194" s="74">
        <v>1.5477211073108954E11</v>
      </c>
      <c r="BC194" s="74">
        <v>2.410682022300317E9</v>
      </c>
      <c r="BD194" s="74">
        <v>7.262115660406738E10</v>
      </c>
      <c r="BE194" s="74">
        <v>1.4449412673263772E12</v>
      </c>
      <c r="BF194" s="74">
        <v>8.143277004571465E8</v>
      </c>
      <c r="BG194" s="74">
        <v>8.282619510128288E8</v>
      </c>
      <c r="BH194" s="74">
        <v>1.8688960073414314E10</v>
      </c>
      <c r="BI194" s="9">
        <f t="shared" si="26"/>
        <v>1729622271248</v>
      </c>
    </row>
    <row r="195" ht="15.75" customHeight="1">
      <c r="B195" s="65">
        <v>26.0</v>
      </c>
      <c r="C195" s="66">
        <f t="shared" ref="C195:AD195" si="50">C164-C133</f>
        <v>-0.0000205325037</v>
      </c>
      <c r="D195" s="66">
        <f t="shared" si="50"/>
        <v>-0.0001636771139</v>
      </c>
      <c r="E195" s="66">
        <f t="shared" si="50"/>
        <v>-0.0000264994424</v>
      </c>
      <c r="F195" s="66">
        <f t="shared" si="50"/>
        <v>-0.0001671188006</v>
      </c>
      <c r="G195" s="66">
        <f t="shared" si="50"/>
        <v>-0.00008518692915</v>
      </c>
      <c r="H195" s="66">
        <f t="shared" si="50"/>
        <v>-0.002351569584</v>
      </c>
      <c r="I195" s="66">
        <f t="shared" si="50"/>
        <v>-0.00001597366134</v>
      </c>
      <c r="J195" s="66">
        <f t="shared" si="50"/>
        <v>-0.0006581049234</v>
      </c>
      <c r="K195" s="66">
        <f t="shared" si="50"/>
        <v>-0.0000899083377</v>
      </c>
      <c r="L195" s="66">
        <f t="shared" si="50"/>
        <v>-0.000171923805</v>
      </c>
      <c r="M195" s="66">
        <f t="shared" si="50"/>
        <v>-0.00001882006022</v>
      </c>
      <c r="N195" s="66">
        <f t="shared" si="50"/>
        <v>-0.003271682832</v>
      </c>
      <c r="O195" s="66">
        <f t="shared" si="50"/>
        <v>-0.00003126341118</v>
      </c>
      <c r="P195" s="66">
        <f t="shared" si="50"/>
        <v>-0.00001667369123</v>
      </c>
      <c r="Q195" s="66">
        <f t="shared" si="50"/>
        <v>-0.000600366624</v>
      </c>
      <c r="R195" s="66">
        <f t="shared" si="50"/>
        <v>-0.001550399511</v>
      </c>
      <c r="S195" s="66">
        <f t="shared" si="50"/>
        <v>-0.001418503979</v>
      </c>
      <c r="T195" s="66">
        <f t="shared" si="50"/>
        <v>-0.001887904518</v>
      </c>
      <c r="U195" s="66">
        <f t="shared" si="50"/>
        <v>-0.001072845521</v>
      </c>
      <c r="V195" s="66">
        <f t="shared" si="50"/>
        <v>-0.07727175276</v>
      </c>
      <c r="W195" s="66">
        <f t="shared" si="50"/>
        <v>-0.001388836201</v>
      </c>
      <c r="X195" s="66">
        <f t="shared" si="50"/>
        <v>-0.001318245737</v>
      </c>
      <c r="Y195" s="66">
        <f t="shared" si="50"/>
        <v>-0.0009742685296</v>
      </c>
      <c r="Z195" s="66">
        <f t="shared" si="50"/>
        <v>-0.001007307371</v>
      </c>
      <c r="AA195" s="66">
        <f t="shared" si="50"/>
        <v>-0.001391852636</v>
      </c>
      <c r="AB195" s="66">
        <f t="shared" si="50"/>
        <v>0.9163773365</v>
      </c>
      <c r="AC195" s="66">
        <f t="shared" si="50"/>
        <v>-0.01157763535</v>
      </c>
      <c r="AD195" s="66">
        <f t="shared" si="50"/>
        <v>-0.001753668397</v>
      </c>
      <c r="AF195" s="65">
        <v>26.0</v>
      </c>
      <c r="AG195" s="74">
        <v>4367402.106499678</v>
      </c>
      <c r="AH195" s="74">
        <v>1.2293074798457948E7</v>
      </c>
      <c r="AI195" s="74">
        <v>7530080.325702498</v>
      </c>
      <c r="AJ195" s="74">
        <v>1.8735106139792718E7</v>
      </c>
      <c r="AK195" s="74">
        <v>2.502972658296708E7</v>
      </c>
      <c r="AL195" s="74">
        <v>1003367.8421588441</v>
      </c>
      <c r="AM195" s="74">
        <v>2740127.640766997</v>
      </c>
      <c r="AN195" s="74">
        <v>5.715975276317296E8</v>
      </c>
      <c r="AO195" s="74">
        <v>784162.8035631235</v>
      </c>
      <c r="AP195" s="74">
        <v>1.679758677542104E8</v>
      </c>
      <c r="AQ195" s="74">
        <v>3.2862970882667446E8</v>
      </c>
      <c r="AR195" s="74">
        <v>1745086.152884044</v>
      </c>
      <c r="AS195" s="74">
        <v>27983.89015392134</v>
      </c>
      <c r="AT195" s="74">
        <v>1.4781407673437197E7</v>
      </c>
      <c r="AU195" s="74">
        <v>6.218047618794416E9</v>
      </c>
      <c r="AV195" s="74">
        <v>6.612448452780124E9</v>
      </c>
      <c r="AW195" s="74">
        <v>8.32062666227171E9</v>
      </c>
      <c r="AX195" s="74">
        <v>1.879499249561911E10</v>
      </c>
      <c r="AY195" s="74">
        <v>1.4571741469883215E10</v>
      </c>
      <c r="AZ195" s="74">
        <v>1.4585508015736176E10</v>
      </c>
      <c r="BA195" s="74">
        <v>2.318895597476544E9</v>
      </c>
      <c r="BB195" s="74">
        <v>2.3231993202051767E11</v>
      </c>
      <c r="BC195" s="74">
        <v>2.8742451561465425E9</v>
      </c>
      <c r="BD195" s="74">
        <v>7.449751894661719E10</v>
      </c>
      <c r="BE195" s="74">
        <v>2.6832436957687885E11</v>
      </c>
      <c r="BF195" s="74">
        <v>2.898071311820122E11</v>
      </c>
      <c r="BG195" s="74">
        <v>5.168634792655851E9</v>
      </c>
      <c r="BH195" s="74">
        <v>2.6854569032041508E10</v>
      </c>
      <c r="BI195" s="9">
        <f t="shared" si="26"/>
        <v>972425901650</v>
      </c>
    </row>
    <row r="196" ht="15.75" customHeight="1">
      <c r="B196" s="65">
        <v>27.0</v>
      </c>
      <c r="C196" s="66">
        <f t="shared" ref="C196:AD196" si="51">C165-C134</f>
        <v>-0.000007233435615</v>
      </c>
      <c r="D196" s="66">
        <f t="shared" si="51"/>
        <v>-0.00006510812453</v>
      </c>
      <c r="E196" s="66">
        <f t="shared" si="51"/>
        <v>-0.00001345170637</v>
      </c>
      <c r="F196" s="66">
        <f t="shared" si="51"/>
        <v>-0.00007935522742</v>
      </c>
      <c r="G196" s="66">
        <f t="shared" si="51"/>
        <v>-0.00003588227131</v>
      </c>
      <c r="H196" s="66">
        <f t="shared" si="51"/>
        <v>-0.0002571060657</v>
      </c>
      <c r="I196" s="66">
        <f t="shared" si="51"/>
        <v>-0.00002043549079</v>
      </c>
      <c r="J196" s="66">
        <f t="shared" si="51"/>
        <v>-0.00006103435791</v>
      </c>
      <c r="K196" s="66">
        <f t="shared" si="51"/>
        <v>-0.00004990078884</v>
      </c>
      <c r="L196" s="66">
        <f t="shared" si="51"/>
        <v>-0.0001418928502</v>
      </c>
      <c r="M196" s="66">
        <f t="shared" si="51"/>
        <v>-0.00001147408482</v>
      </c>
      <c r="N196" s="66">
        <f t="shared" si="51"/>
        <v>-0.0002852436981</v>
      </c>
      <c r="O196" s="66">
        <f t="shared" si="51"/>
        <v>-0.000004577302369</v>
      </c>
      <c r="P196" s="66">
        <f t="shared" si="51"/>
        <v>-0.00000848799468</v>
      </c>
      <c r="Q196" s="66">
        <f t="shared" si="51"/>
        <v>-0.001282913366</v>
      </c>
      <c r="R196" s="66">
        <f t="shared" si="51"/>
        <v>-0.001299415702</v>
      </c>
      <c r="S196" s="66">
        <f t="shared" si="51"/>
        <v>-0.0005962029268</v>
      </c>
      <c r="T196" s="66">
        <f t="shared" si="51"/>
        <v>-0.0006618171107</v>
      </c>
      <c r="U196" s="66">
        <f t="shared" si="51"/>
        <v>-0.0006181872823</v>
      </c>
      <c r="V196" s="66">
        <f t="shared" si="51"/>
        <v>-0.008680845179</v>
      </c>
      <c r="W196" s="66">
        <f t="shared" si="51"/>
        <v>-0.0007496647544</v>
      </c>
      <c r="X196" s="66">
        <f t="shared" si="51"/>
        <v>-0.000542602049</v>
      </c>
      <c r="Y196" s="66">
        <f t="shared" si="51"/>
        <v>-0.001479460546</v>
      </c>
      <c r="Z196" s="66">
        <f t="shared" si="51"/>
        <v>-0.0005683555212</v>
      </c>
      <c r="AA196" s="66">
        <f t="shared" si="51"/>
        <v>-0.0007707629993</v>
      </c>
      <c r="AB196" s="66">
        <f t="shared" si="51"/>
        <v>-0.007850969944</v>
      </c>
      <c r="AC196" s="66">
        <f t="shared" si="51"/>
        <v>0.954663401</v>
      </c>
      <c r="AD196" s="66">
        <f t="shared" si="51"/>
        <v>-0.001250578248</v>
      </c>
      <c r="AF196" s="65">
        <v>27.0</v>
      </c>
      <c r="AG196" s="74">
        <v>62840.80703207525</v>
      </c>
      <c r="AH196" s="74">
        <v>194828.19305207895</v>
      </c>
      <c r="AI196" s="74">
        <v>150416.15527315304</v>
      </c>
      <c r="AJ196" s="74">
        <v>293188.8179567939</v>
      </c>
      <c r="AK196" s="74">
        <v>479770.091390577</v>
      </c>
      <c r="AL196" s="74">
        <v>4669.498995056463</v>
      </c>
      <c r="AM196" s="74">
        <v>43295.36880705471</v>
      </c>
      <c r="AN196" s="74">
        <v>5872676.583371123</v>
      </c>
      <c r="AO196" s="74">
        <v>13473.94549792456</v>
      </c>
      <c r="AP196" s="74">
        <v>3014404.858186172</v>
      </c>
      <c r="AQ196" s="74">
        <v>4705341.937698207</v>
      </c>
      <c r="AR196" s="74">
        <v>7079.23754815877</v>
      </c>
      <c r="AS196" s="74">
        <v>314.792260481488</v>
      </c>
      <c r="AT196" s="74">
        <v>235380.16115112795</v>
      </c>
      <c r="AU196" s="74">
        <v>2.5722362155432808E8</v>
      </c>
      <c r="AV196" s="74">
        <v>1.6000925457893252E8</v>
      </c>
      <c r="AW196" s="74">
        <v>1.351256006243872E8</v>
      </c>
      <c r="AX196" s="74">
        <v>2.6450129375965047E8</v>
      </c>
      <c r="AY196" s="74">
        <v>3.2610386474903256E8</v>
      </c>
      <c r="AZ196" s="74">
        <v>6.086403393940844E7</v>
      </c>
      <c r="BA196" s="74">
        <v>4.0160059019865006E7</v>
      </c>
      <c r="BB196" s="74">
        <v>3.469980113159274E9</v>
      </c>
      <c r="BC196" s="74">
        <v>8.28552915789045E7</v>
      </c>
      <c r="BD196" s="74">
        <v>1.3194639933383546E9</v>
      </c>
      <c r="BE196" s="74">
        <v>4.758055691181628E9</v>
      </c>
      <c r="BF196" s="74">
        <v>9.068046159365918E7</v>
      </c>
      <c r="BG196" s="74">
        <v>1.2482123818098276E10</v>
      </c>
      <c r="BH196" s="74">
        <v>5.71763133176075E8</v>
      </c>
      <c r="BI196" s="9">
        <f t="shared" si="26"/>
        <v>24033987911</v>
      </c>
    </row>
    <row r="197" ht="15.75" customHeight="1">
      <c r="B197" s="65">
        <v>28.0</v>
      </c>
      <c r="C197" s="66">
        <f t="shared" ref="C197:AD197" si="52">C166-C135</f>
        <v>-0.0004846124597</v>
      </c>
      <c r="D197" s="66">
        <f t="shared" si="52"/>
        <v>-0.002096004997</v>
      </c>
      <c r="E197" s="66">
        <f t="shared" si="52"/>
        <v>-0.0006287997182</v>
      </c>
      <c r="F197" s="66">
        <f t="shared" si="52"/>
        <v>-0.001761230318</v>
      </c>
      <c r="G197" s="66">
        <f t="shared" si="52"/>
        <v>-0.0008581949526</v>
      </c>
      <c r="H197" s="66">
        <f t="shared" si="52"/>
        <v>-0.0005826186503</v>
      </c>
      <c r="I197" s="66">
        <f t="shared" si="52"/>
        <v>-0.0003760117191</v>
      </c>
      <c r="J197" s="66">
        <f t="shared" si="52"/>
        <v>-0.001570656704</v>
      </c>
      <c r="K197" s="66">
        <f t="shared" si="52"/>
        <v>-0.0006703853705</v>
      </c>
      <c r="L197" s="66">
        <f t="shared" si="52"/>
        <v>-0.00892275863</v>
      </c>
      <c r="M197" s="66">
        <f t="shared" si="52"/>
        <v>-0.02547062674</v>
      </c>
      <c r="N197" s="66">
        <f t="shared" si="52"/>
        <v>-0.0005923028947</v>
      </c>
      <c r="O197" s="66">
        <f t="shared" si="52"/>
        <v>-0.0007442409952</v>
      </c>
      <c r="P197" s="66">
        <f t="shared" si="52"/>
        <v>-0.002494874099</v>
      </c>
      <c r="Q197" s="66">
        <f t="shared" si="52"/>
        <v>-0.002214868344</v>
      </c>
      <c r="R197" s="66">
        <f t="shared" si="52"/>
        <v>-0.005929534641</v>
      </c>
      <c r="S197" s="66">
        <f t="shared" si="52"/>
        <v>-0.002568370126</v>
      </c>
      <c r="T197" s="66">
        <f t="shared" si="52"/>
        <v>-0.004898568762</v>
      </c>
      <c r="U197" s="66">
        <f t="shared" si="52"/>
        <v>-0.002196452773</v>
      </c>
      <c r="V197" s="66">
        <f t="shared" si="52"/>
        <v>-0.005289193915</v>
      </c>
      <c r="W197" s="66">
        <f t="shared" si="52"/>
        <v>-0.004275054895</v>
      </c>
      <c r="X197" s="66">
        <f t="shared" si="52"/>
        <v>-0.005263945279</v>
      </c>
      <c r="Y197" s="66">
        <f t="shared" si="52"/>
        <v>-0.005708123558</v>
      </c>
      <c r="Z197" s="66">
        <f t="shared" si="52"/>
        <v>-0.01012120054</v>
      </c>
      <c r="AA197" s="66">
        <f t="shared" si="52"/>
        <v>-0.01391051791</v>
      </c>
      <c r="AB197" s="66">
        <f t="shared" si="52"/>
        <v>-0.00681468535</v>
      </c>
      <c r="AC197" s="66">
        <f t="shared" si="52"/>
        <v>-0.00414772913</v>
      </c>
      <c r="AD197" s="66">
        <f t="shared" si="52"/>
        <v>0.9906736309</v>
      </c>
      <c r="AF197" s="75">
        <v>28.0</v>
      </c>
      <c r="AG197" s="74">
        <v>352135.6600581086</v>
      </c>
      <c r="AH197" s="74">
        <v>1368267.347565549</v>
      </c>
      <c r="AI197" s="74">
        <v>639883.1652464186</v>
      </c>
      <c r="AJ197" s="74">
        <v>1781074.1159021624</v>
      </c>
      <c r="AK197" s="74">
        <v>2247379.394866533</v>
      </c>
      <c r="AL197" s="74">
        <v>17448.07199234861</v>
      </c>
      <c r="AM197" s="74">
        <v>275258.66714231414</v>
      </c>
      <c r="AN197" s="74">
        <v>3.020607100801779E7</v>
      </c>
      <c r="AO197" s="74">
        <v>39468.060165338626</v>
      </c>
      <c r="AP197" s="74">
        <v>3.8504284705678865E7</v>
      </c>
      <c r="AQ197" s="74">
        <v>1.7945412104514888E8</v>
      </c>
      <c r="AR197" s="74">
        <v>25163.497158328668</v>
      </c>
      <c r="AS197" s="74">
        <v>2867.390757437342</v>
      </c>
      <c r="AT197" s="74">
        <v>2448784.7554354197</v>
      </c>
      <c r="AU197" s="74">
        <v>2.826191535758536E8</v>
      </c>
      <c r="AV197" s="74">
        <v>2.96270986834205E8</v>
      </c>
      <c r="AW197" s="74">
        <v>2.5927444950667927E8</v>
      </c>
      <c r="AX197" s="74">
        <v>6.21813440579538E8</v>
      </c>
      <c r="AY197" s="74">
        <v>5.216261637433508E8</v>
      </c>
      <c r="AZ197" s="74">
        <v>2.367458506158555E7</v>
      </c>
      <c r="BA197" s="74">
        <v>8.980734745234425E7</v>
      </c>
      <c r="BB197" s="74">
        <v>1.018512063655011E10</v>
      </c>
      <c r="BC197" s="74">
        <v>1.5350409476434976E8</v>
      </c>
      <c r="BD197" s="74">
        <v>5.642165163089009E9</v>
      </c>
      <c r="BE197" s="74">
        <v>2.126463511152279E10</v>
      </c>
      <c r="BF197" s="74">
        <v>4.1478404941916615E7</v>
      </c>
      <c r="BG197" s="74">
        <v>3.825973192311611E7</v>
      </c>
      <c r="BH197" s="74">
        <v>8.390493314557004E10</v>
      </c>
      <c r="BI197" s="9">
        <f t="shared" si="26"/>
        <v>123582544622</v>
      </c>
    </row>
    <row r="198" ht="15.75" customHeight="1">
      <c r="AF198" s="1" t="s">
        <v>0</v>
      </c>
      <c r="AG198" s="25" t="s">
        <v>1</v>
      </c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4"/>
      <c r="AU198" s="26" t="s">
        <v>2</v>
      </c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7"/>
    </row>
    <row r="199" ht="15.75" customHeight="1">
      <c r="B199" s="78" t="s">
        <v>61</v>
      </c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F199" s="1" t="s">
        <v>3</v>
      </c>
      <c r="AG199" s="15" t="s">
        <v>4</v>
      </c>
      <c r="AH199" s="1" t="s">
        <v>5</v>
      </c>
      <c r="AI199" s="1" t="s">
        <v>6</v>
      </c>
      <c r="AJ199" s="1" t="s">
        <v>7</v>
      </c>
      <c r="AK199" s="1" t="s">
        <v>8</v>
      </c>
      <c r="AL199" s="1" t="s">
        <v>9</v>
      </c>
      <c r="AM199" s="1" t="s">
        <v>10</v>
      </c>
      <c r="AN199" s="1" t="s">
        <v>11</v>
      </c>
      <c r="AO199" s="1" t="s">
        <v>12</v>
      </c>
      <c r="AP199" s="1" t="s">
        <v>13</v>
      </c>
      <c r="AQ199" s="1" t="s">
        <v>14</v>
      </c>
      <c r="AR199" s="1" t="s">
        <v>15</v>
      </c>
      <c r="AS199" s="1" t="s">
        <v>16</v>
      </c>
      <c r="AT199" s="2" t="s">
        <v>17</v>
      </c>
      <c r="AU199" s="1" t="s">
        <v>4</v>
      </c>
      <c r="AV199" s="1" t="s">
        <v>5</v>
      </c>
      <c r="AW199" s="1" t="s">
        <v>6</v>
      </c>
      <c r="AX199" s="1" t="s">
        <v>7</v>
      </c>
      <c r="AY199" s="1" t="s">
        <v>8</v>
      </c>
      <c r="AZ199" s="1" t="s">
        <v>9</v>
      </c>
      <c r="BA199" s="1" t="s">
        <v>10</v>
      </c>
      <c r="BB199" s="1" t="s">
        <v>11</v>
      </c>
      <c r="BC199" s="1" t="s">
        <v>12</v>
      </c>
      <c r="BD199" s="1" t="s">
        <v>13</v>
      </c>
      <c r="BE199" s="1" t="s">
        <v>14</v>
      </c>
      <c r="BF199" s="1" t="s">
        <v>15</v>
      </c>
      <c r="BG199" s="1" t="s">
        <v>16</v>
      </c>
      <c r="BH199" s="1" t="s">
        <v>17</v>
      </c>
    </row>
    <row r="200" ht="15.75" customHeight="1">
      <c r="B200" s="64"/>
      <c r="C200" s="65">
        <v>1.0</v>
      </c>
      <c r="D200" s="65">
        <v>2.0</v>
      </c>
      <c r="E200" s="65">
        <v>3.0</v>
      </c>
      <c r="F200" s="65">
        <v>4.0</v>
      </c>
      <c r="G200" s="65">
        <v>5.0</v>
      </c>
      <c r="H200" s="65">
        <v>6.0</v>
      </c>
      <c r="I200" s="65">
        <v>7.0</v>
      </c>
      <c r="J200" s="65">
        <v>8.0</v>
      </c>
      <c r="K200" s="65">
        <v>9.0</v>
      </c>
      <c r="L200" s="65">
        <v>10.0</v>
      </c>
      <c r="M200" s="65">
        <v>11.0</v>
      </c>
      <c r="N200" s="65">
        <v>12.0</v>
      </c>
      <c r="O200" s="65">
        <v>13.0</v>
      </c>
      <c r="P200" s="65">
        <v>14.0</v>
      </c>
      <c r="Q200" s="65">
        <v>15.0</v>
      </c>
      <c r="R200" s="65">
        <v>16.0</v>
      </c>
      <c r="S200" s="65">
        <v>17.0</v>
      </c>
      <c r="T200" s="65">
        <v>18.0</v>
      </c>
      <c r="U200" s="65">
        <v>19.0</v>
      </c>
      <c r="V200" s="65">
        <v>20.0</v>
      </c>
      <c r="W200" s="65">
        <v>21.0</v>
      </c>
      <c r="X200" s="65">
        <v>22.0</v>
      </c>
      <c r="Y200" s="65">
        <v>23.0</v>
      </c>
      <c r="Z200" s="65">
        <v>24.0</v>
      </c>
      <c r="AA200" s="65">
        <v>25.0</v>
      </c>
      <c r="AB200" s="65">
        <v>26.0</v>
      </c>
      <c r="AC200" s="65">
        <v>27.0</v>
      </c>
      <c r="AD200" s="65">
        <v>28.0</v>
      </c>
      <c r="AF200" s="73" t="s">
        <v>62</v>
      </c>
      <c r="AG200" s="9">
        <f t="shared" ref="AG200:BH200" si="53">SUM(AG170:AG197)</f>
        <v>884712933.4</v>
      </c>
      <c r="AH200" s="9">
        <f t="shared" si="53"/>
        <v>1259476715</v>
      </c>
      <c r="AI200" s="9">
        <f t="shared" si="53"/>
        <v>4518129502</v>
      </c>
      <c r="AJ200" s="9">
        <f t="shared" si="53"/>
        <v>2461614424</v>
      </c>
      <c r="AK200" s="9">
        <f t="shared" si="53"/>
        <v>2685320394</v>
      </c>
      <c r="AL200" s="9">
        <f t="shared" si="53"/>
        <v>69023017.7</v>
      </c>
      <c r="AM200" s="9">
        <f t="shared" si="53"/>
        <v>617714516.6</v>
      </c>
      <c r="AN200" s="9">
        <f t="shared" si="53"/>
        <v>36753265098</v>
      </c>
      <c r="AO200" s="9">
        <f t="shared" si="53"/>
        <v>64670534.21</v>
      </c>
      <c r="AP200" s="9">
        <f t="shared" si="53"/>
        <v>23960686509</v>
      </c>
      <c r="AQ200" s="9">
        <f t="shared" si="53"/>
        <v>23683992822</v>
      </c>
      <c r="AR200" s="9">
        <f t="shared" si="53"/>
        <v>85064068.67</v>
      </c>
      <c r="AS200" s="9">
        <f t="shared" si="53"/>
        <v>1995955.063</v>
      </c>
      <c r="AT200" s="9">
        <f t="shared" si="53"/>
        <v>1788105630</v>
      </c>
      <c r="AU200" s="9">
        <f t="shared" si="53"/>
        <v>1036687414803</v>
      </c>
      <c r="AV200" s="9">
        <f t="shared" si="53"/>
        <v>442279434505</v>
      </c>
      <c r="AW200" s="9">
        <f t="shared" si="53"/>
        <v>1967867515855</v>
      </c>
      <c r="AX200" s="9">
        <f t="shared" si="53"/>
        <v>1787399433217</v>
      </c>
      <c r="AY200" s="9">
        <f t="shared" si="53"/>
        <v>1088933440650</v>
      </c>
      <c r="AZ200" s="9">
        <f t="shared" si="53"/>
        <v>646405309465</v>
      </c>
      <c r="BA200" s="9">
        <f t="shared" si="53"/>
        <v>158324844457</v>
      </c>
      <c r="BB200" s="9">
        <f t="shared" si="53"/>
        <v>14171840262290</v>
      </c>
      <c r="BC200" s="9">
        <f t="shared" si="53"/>
        <v>314558010590</v>
      </c>
      <c r="BD200" s="9">
        <f t="shared" si="53"/>
        <v>9764128054766</v>
      </c>
      <c r="BE200" s="9">
        <f t="shared" si="53"/>
        <v>6966286652687</v>
      </c>
      <c r="BF200" s="9">
        <f t="shared" si="53"/>
        <v>347414480593</v>
      </c>
      <c r="BG200" s="9">
        <f t="shared" si="53"/>
        <v>51328258587</v>
      </c>
      <c r="BH200" s="9">
        <f t="shared" si="53"/>
        <v>952462234246</v>
      </c>
    </row>
    <row r="201" ht="15.75" customHeight="1">
      <c r="B201" s="65">
        <v>1.0</v>
      </c>
      <c r="C201" s="80">
        <f t="array" ref="C201:AD228">MINVERSE(C170:AD197)</f>
        <v>1.060491844</v>
      </c>
      <c r="D201" s="80">
        <v>0.12321292071102455</v>
      </c>
      <c r="E201" s="80">
        <v>0.08465952906734991</v>
      </c>
      <c r="F201" s="80">
        <v>0.009850883010016033</v>
      </c>
      <c r="G201" s="80">
        <v>0.006431262707363196</v>
      </c>
      <c r="H201" s="80">
        <v>2.7665312750252717E-4</v>
      </c>
      <c r="I201" s="80">
        <v>1.3603449639222314E-4</v>
      </c>
      <c r="J201" s="80">
        <v>4.5065287601210303E-4</v>
      </c>
      <c r="K201" s="80">
        <v>8.610269059583733E-4</v>
      </c>
      <c r="L201" s="80">
        <v>6.246733620424398E-4</v>
      </c>
      <c r="M201" s="80">
        <v>3.286564784195584E-4</v>
      </c>
      <c r="N201" s="80">
        <v>2.7151974038032136E-4</v>
      </c>
      <c r="O201" s="80">
        <v>2.0898145895443631E-4</v>
      </c>
      <c r="P201" s="80">
        <v>0.004462314228134127</v>
      </c>
      <c r="Q201" s="80">
        <v>2.20286699086041E-5</v>
      </c>
      <c r="R201" s="80">
        <v>9.988228988618571E-5</v>
      </c>
      <c r="S201" s="80">
        <v>1.4404738467997875E-4</v>
      </c>
      <c r="T201" s="80">
        <v>7.334425901149103E-5</v>
      </c>
      <c r="U201" s="80">
        <v>2.2394314698340417E-4</v>
      </c>
      <c r="V201" s="80">
        <v>1.4944818591403287E-5</v>
      </c>
      <c r="W201" s="80">
        <v>1.1140363201779453E-5</v>
      </c>
      <c r="X201" s="80">
        <v>1.4932151280869022E-5</v>
      </c>
      <c r="Y201" s="80">
        <v>2.7779260465828308E-5</v>
      </c>
      <c r="Z201" s="80">
        <v>1.1397028572534507E-5</v>
      </c>
      <c r="AA201" s="80">
        <v>1.0564546197196908E-5</v>
      </c>
      <c r="AB201" s="80">
        <v>1.657963223634546E-5</v>
      </c>
      <c r="AC201" s="80">
        <v>7.046369667879413E-6</v>
      </c>
      <c r="AD201" s="80">
        <v>5.362513346928251E-5</v>
      </c>
    </row>
    <row r="202" ht="15.75" customHeight="1">
      <c r="B202" s="65">
        <v>2.0</v>
      </c>
      <c r="C202" s="80">
        <v>2.060999221578471E-4</v>
      </c>
      <c r="D202" s="80">
        <v>1.0052907601072107</v>
      </c>
      <c r="E202" s="80">
        <v>0.026066133988413464</v>
      </c>
      <c r="F202" s="80">
        <v>0.0037577636850624064</v>
      </c>
      <c r="G202" s="80">
        <v>0.009819089688597397</v>
      </c>
      <c r="H202" s="80">
        <v>0.0010419614677972839</v>
      </c>
      <c r="I202" s="80">
        <v>1.473825312034442E-4</v>
      </c>
      <c r="J202" s="80">
        <v>3.0915395191746553E-4</v>
      </c>
      <c r="K202" s="80">
        <v>3.471689284269983E-4</v>
      </c>
      <c r="L202" s="80">
        <v>5.76423599382078E-4</v>
      </c>
      <c r="M202" s="80">
        <v>5.213660670926193E-4</v>
      </c>
      <c r="N202" s="80">
        <v>0.00103762400553916</v>
      </c>
      <c r="O202" s="80">
        <v>2.2211382182816137E-4</v>
      </c>
      <c r="P202" s="80">
        <v>0.010012643325078962</v>
      </c>
      <c r="Q202" s="80">
        <v>9.036118296827994E-6</v>
      </c>
      <c r="R202" s="80">
        <v>8.653159603253698E-5</v>
      </c>
      <c r="S202" s="80">
        <v>5.911600198969813E-5</v>
      </c>
      <c r="T202" s="80">
        <v>4.83915876213703E-5</v>
      </c>
      <c r="U202" s="80">
        <v>1.1375446570016294E-4</v>
      </c>
      <c r="V202" s="80">
        <v>1.2878648729141865E-5</v>
      </c>
      <c r="W202" s="80">
        <v>1.2770282235034351E-5</v>
      </c>
      <c r="X202" s="80">
        <v>1.386413361913034E-5</v>
      </c>
      <c r="Y202" s="80">
        <v>3.145706747976891E-5</v>
      </c>
      <c r="Z202" s="80">
        <v>1.666584656414205E-5</v>
      </c>
      <c r="AA202" s="80">
        <v>1.1381377833200287E-5</v>
      </c>
      <c r="AB202" s="80">
        <v>2.7214801347700095E-5</v>
      </c>
      <c r="AC202" s="80">
        <v>8.545610751924934E-6</v>
      </c>
      <c r="AD202" s="80">
        <v>1.261304327081982E-4</v>
      </c>
      <c r="AF202" s="71" t="s">
        <v>63</v>
      </c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</row>
    <row r="203" ht="15.75" customHeight="1">
      <c r="B203" s="65">
        <v>3.0</v>
      </c>
      <c r="C203" s="80">
        <v>4.8640049762369963E-4</v>
      </c>
      <c r="D203" s="80">
        <v>0.0010429575936276672</v>
      </c>
      <c r="E203" s="80">
        <v>1.005858500737098</v>
      </c>
      <c r="F203" s="80">
        <v>0.11428100729106408</v>
      </c>
      <c r="G203" s="80">
        <v>0.01636304388372955</v>
      </c>
      <c r="H203" s="80">
        <v>6.449268871076988E-4</v>
      </c>
      <c r="I203" s="80">
        <v>4.18793228203201E-4</v>
      </c>
      <c r="J203" s="80">
        <v>5.460975160206743E-4</v>
      </c>
      <c r="K203" s="80">
        <v>0.00896687000465535</v>
      </c>
      <c r="L203" s="80">
        <v>0.00335509225049992</v>
      </c>
      <c r="M203" s="80">
        <v>6.016207089290543E-4</v>
      </c>
      <c r="N203" s="80">
        <v>6.25139689483234E-4</v>
      </c>
      <c r="O203" s="80">
        <v>5.580958395672428E-4</v>
      </c>
      <c r="P203" s="80">
        <v>0.004321266767462606</v>
      </c>
      <c r="Q203" s="80">
        <v>6.631491198208907E-6</v>
      </c>
      <c r="R203" s="80">
        <v>1.592281715126837E-5</v>
      </c>
      <c r="S203" s="80">
        <v>1.9481514696047676E-5</v>
      </c>
      <c r="T203" s="80">
        <v>8.524438093266242E-5</v>
      </c>
      <c r="U203" s="80">
        <v>4.1721910253366466E-5</v>
      </c>
      <c r="V203" s="80">
        <v>1.6835775357678375E-5</v>
      </c>
      <c r="W203" s="80">
        <v>5.4487829976577654E-6</v>
      </c>
      <c r="X203" s="80">
        <v>1.1564822422414687E-5</v>
      </c>
      <c r="Y203" s="80">
        <v>2.5309288962399908E-5</v>
      </c>
      <c r="Z203" s="80">
        <v>9.982463168459473E-6</v>
      </c>
      <c r="AA203" s="80">
        <v>5.776919059180621E-6</v>
      </c>
      <c r="AB203" s="80">
        <v>1.8741304982566534E-5</v>
      </c>
      <c r="AC203" s="80">
        <v>5.416798839208654E-6</v>
      </c>
      <c r="AD203" s="80">
        <v>2.3223324080714482E-5</v>
      </c>
      <c r="AF203" s="64"/>
      <c r="AG203" s="65">
        <v>1.0</v>
      </c>
      <c r="AH203" s="65">
        <v>2.0</v>
      </c>
      <c r="AI203" s="65">
        <v>3.0</v>
      </c>
      <c r="AJ203" s="65">
        <v>4.0</v>
      </c>
      <c r="AK203" s="65">
        <v>5.0</v>
      </c>
      <c r="AL203" s="65">
        <v>6.0</v>
      </c>
      <c r="AM203" s="65">
        <v>7.0</v>
      </c>
      <c r="AN203" s="65">
        <v>8.0</v>
      </c>
      <c r="AO203" s="65">
        <v>9.0</v>
      </c>
      <c r="AP203" s="65">
        <v>10.0</v>
      </c>
      <c r="AQ203" s="65">
        <v>11.0</v>
      </c>
      <c r="AR203" s="65">
        <v>12.0</v>
      </c>
      <c r="AS203" s="65">
        <v>13.0</v>
      </c>
      <c r="AT203" s="65">
        <v>14.0</v>
      </c>
      <c r="AU203" s="65">
        <v>15.0</v>
      </c>
      <c r="AV203" s="65">
        <v>16.0</v>
      </c>
      <c r="AW203" s="65">
        <v>17.0</v>
      </c>
      <c r="AX203" s="65">
        <v>18.0</v>
      </c>
      <c r="AY203" s="65">
        <v>19.0</v>
      </c>
      <c r="AZ203" s="65">
        <v>20.0</v>
      </c>
      <c r="BA203" s="65">
        <v>21.0</v>
      </c>
      <c r="BB203" s="65">
        <v>22.0</v>
      </c>
      <c r="BC203" s="65">
        <v>23.0</v>
      </c>
      <c r="BD203" s="65">
        <v>24.0</v>
      </c>
      <c r="BE203" s="65">
        <v>25.0</v>
      </c>
      <c r="BF203" s="65">
        <v>26.0</v>
      </c>
      <c r="BG203" s="65">
        <v>27.0</v>
      </c>
      <c r="BH203" s="65">
        <v>28.0</v>
      </c>
      <c r="BI203" s="73" t="s">
        <v>60</v>
      </c>
    </row>
    <row r="204" ht="15.75" customHeight="1">
      <c r="B204" s="65">
        <v>4.0</v>
      </c>
      <c r="C204" s="80">
        <v>0.0012340060058230722</v>
      </c>
      <c r="D204" s="80">
        <v>0.0018752444260676801</v>
      </c>
      <c r="E204" s="80">
        <v>0.014381481076376141</v>
      </c>
      <c r="F204" s="80">
        <v>1.0595220410044148</v>
      </c>
      <c r="G204" s="80">
        <v>0.009675402731370544</v>
      </c>
      <c r="H204" s="80">
        <v>0.0012856760532382729</v>
      </c>
      <c r="I204" s="80">
        <v>6.417947779620246E-4</v>
      </c>
      <c r="J204" s="80">
        <v>0.0010817362100323665</v>
      </c>
      <c r="K204" s="80">
        <v>0.001145491926109862</v>
      </c>
      <c r="L204" s="80">
        <v>0.0015114232400221315</v>
      </c>
      <c r="M204" s="80">
        <v>0.0021879004692433946</v>
      </c>
      <c r="N204" s="80">
        <v>0.0012869457921796772</v>
      </c>
      <c r="O204" s="80">
        <v>9.614218476397484E-4</v>
      </c>
      <c r="P204" s="80">
        <v>0.01662332186894295</v>
      </c>
      <c r="Q204" s="80">
        <v>1.8501950861573318E-5</v>
      </c>
      <c r="R204" s="80">
        <v>3.514132820916314E-5</v>
      </c>
      <c r="S204" s="80">
        <v>5.135368313815811E-5</v>
      </c>
      <c r="T204" s="80">
        <v>3.309027624178344E-4</v>
      </c>
      <c r="U204" s="80">
        <v>1.5691412719308757E-4</v>
      </c>
      <c r="V204" s="80">
        <v>2.6260202948520283E-5</v>
      </c>
      <c r="W204" s="80">
        <v>1.762922918787824E-5</v>
      </c>
      <c r="X204" s="80">
        <v>2.496705923422353E-5</v>
      </c>
      <c r="Y204" s="80">
        <v>3.473167667392118E-5</v>
      </c>
      <c r="Z204" s="80">
        <v>2.3804760164113867E-5</v>
      </c>
      <c r="AA204" s="80">
        <v>1.7295104147460837E-5</v>
      </c>
      <c r="AB204" s="80">
        <v>2.460649753534805E-5</v>
      </c>
      <c r="AC204" s="80">
        <v>1.3607723745225978E-5</v>
      </c>
      <c r="AD204" s="80">
        <v>1.1241213429619302E-4</v>
      </c>
      <c r="AF204" s="65">
        <v>1.0</v>
      </c>
      <c r="AG204" s="74">
        <f t="array" ref="AG204:BH231">MMULT(MMULT(AG108:BH135,C201:AD228),C232:AD259)</f>
        <v>3398.673208</v>
      </c>
      <c r="AH204" s="74">
        <v>1049.0731170142951</v>
      </c>
      <c r="AI204" s="74">
        <v>466.08578603738715</v>
      </c>
      <c r="AJ204" s="74">
        <v>97.58805488651362</v>
      </c>
      <c r="AK204" s="74">
        <v>207.14235911717813</v>
      </c>
      <c r="AL204" s="74">
        <v>0.0470085807632712</v>
      </c>
      <c r="AM204" s="74">
        <v>0.523662746209399</v>
      </c>
      <c r="AN204" s="74">
        <v>98.30582497598866</v>
      </c>
      <c r="AO204" s="74">
        <v>0.23988879223200343</v>
      </c>
      <c r="AP204" s="74">
        <v>110.21451175781887</v>
      </c>
      <c r="AQ204" s="74">
        <v>140.4722736986287</v>
      </c>
      <c r="AR204" s="74">
        <v>0.06654427063506234</v>
      </c>
      <c r="AS204" s="74">
        <v>0.006565953008162221</v>
      </c>
      <c r="AT204" s="74">
        <v>124.57053971735277</v>
      </c>
      <c r="AU204" s="74">
        <v>59.72939051872315</v>
      </c>
      <c r="AV204" s="74">
        <v>153.36561109785436</v>
      </c>
      <c r="AW204" s="74">
        <v>344.12542162669814</v>
      </c>
      <c r="AX204" s="74">
        <v>262.752635673105</v>
      </c>
      <c r="AY204" s="74">
        <v>890.7610075860123</v>
      </c>
      <c r="AZ204" s="74">
        <v>2.022169771993953</v>
      </c>
      <c r="BA204" s="74">
        <v>7.689305787273444</v>
      </c>
      <c r="BB204" s="74">
        <v>790.6912615210937</v>
      </c>
      <c r="BC204" s="74">
        <v>18.563756281863846</v>
      </c>
      <c r="BD204" s="74">
        <v>314.14690554182596</v>
      </c>
      <c r="BE204" s="74">
        <v>899.7284915711062</v>
      </c>
      <c r="BF204" s="74">
        <v>3.6308883196859054</v>
      </c>
      <c r="BG204" s="74">
        <v>2.0231047147710184</v>
      </c>
      <c r="BH204" s="74">
        <v>372.7415038240089</v>
      </c>
      <c r="BI204" s="9">
        <f t="shared" ref="BI204:BI231" si="54">SUM(AG204:BH204)</f>
        <v>9814.9808</v>
      </c>
    </row>
    <row r="205" ht="15.75" customHeight="1">
      <c r="B205" s="65">
        <v>5.0</v>
      </c>
      <c r="C205" s="80">
        <v>5.420527217553764E-4</v>
      </c>
      <c r="D205" s="80">
        <v>0.011059137491533618</v>
      </c>
      <c r="E205" s="80">
        <v>0.085579570858479</v>
      </c>
      <c r="F205" s="80">
        <v>0.01656363349139797</v>
      </c>
      <c r="G205" s="80">
        <v>1.0704401386841578</v>
      </c>
      <c r="H205" s="80">
        <v>8.886899386190245E-4</v>
      </c>
      <c r="I205" s="80">
        <v>4.069940066176869E-4</v>
      </c>
      <c r="J205" s="80">
        <v>9.718406821507356E-4</v>
      </c>
      <c r="K205" s="80">
        <v>0.0010272811239256767</v>
      </c>
      <c r="L205" s="80">
        <v>0.0013897258105384437</v>
      </c>
      <c r="M205" s="80">
        <v>0.0015775449797685525</v>
      </c>
      <c r="N205" s="80">
        <v>8.857571922523234E-4</v>
      </c>
      <c r="O205" s="80">
        <v>6.420363043911196E-4</v>
      </c>
      <c r="P205" s="80">
        <v>0.027228608795734126</v>
      </c>
      <c r="Q205" s="80">
        <v>2.2252739937057572E-5</v>
      </c>
      <c r="R205" s="80">
        <v>1.995612278484193E-4</v>
      </c>
      <c r="S205" s="80">
        <v>1.9940523274956386E-4</v>
      </c>
      <c r="T205" s="80">
        <v>2.1736431510542572E-4</v>
      </c>
      <c r="U205" s="80">
        <v>5.141544319682491E-4</v>
      </c>
      <c r="V205" s="80">
        <v>3.109435325740197E-5</v>
      </c>
      <c r="W205" s="80">
        <v>2.4718291263383105E-5</v>
      </c>
      <c r="X205" s="80">
        <v>3.976042073382895E-5</v>
      </c>
      <c r="Y205" s="80">
        <v>7.337762714407772E-5</v>
      </c>
      <c r="Z205" s="80">
        <v>3.643598682962062E-5</v>
      </c>
      <c r="AA205" s="80">
        <v>2.7573690878277197E-5</v>
      </c>
      <c r="AB205" s="80">
        <v>4.07813430760896E-5</v>
      </c>
      <c r="AC205" s="80">
        <v>1.9775774325077496E-5</v>
      </c>
      <c r="AD205" s="80">
        <v>1.9970516864258937E-4</v>
      </c>
      <c r="AF205" s="65">
        <v>2.0</v>
      </c>
      <c r="AG205" s="74">
        <v>0.0</v>
      </c>
      <c r="AH205" s="74">
        <v>0.0</v>
      </c>
      <c r="AI205" s="74">
        <v>0.0</v>
      </c>
      <c r="AJ205" s="74">
        <v>0.0</v>
      </c>
      <c r="AK205" s="74">
        <v>0.0</v>
      </c>
      <c r="AL205" s="74">
        <v>0.0</v>
      </c>
      <c r="AM205" s="74">
        <v>0.0</v>
      </c>
      <c r="AN205" s="74">
        <v>0.0</v>
      </c>
      <c r="AO205" s="74">
        <v>0.0</v>
      </c>
      <c r="AP205" s="74">
        <v>0.0</v>
      </c>
      <c r="AQ205" s="74">
        <v>0.0</v>
      </c>
      <c r="AR205" s="74">
        <v>0.0</v>
      </c>
      <c r="AS205" s="74">
        <v>0.0</v>
      </c>
      <c r="AT205" s="74">
        <v>0.0</v>
      </c>
      <c r="AU205" s="74">
        <v>0.0</v>
      </c>
      <c r="AV205" s="74">
        <v>0.0</v>
      </c>
      <c r="AW205" s="74">
        <v>0.0</v>
      </c>
      <c r="AX205" s="74">
        <v>0.0</v>
      </c>
      <c r="AY205" s="74">
        <v>0.0</v>
      </c>
      <c r="AZ205" s="74">
        <v>0.0</v>
      </c>
      <c r="BA205" s="74">
        <v>0.0</v>
      </c>
      <c r="BB205" s="74">
        <v>0.0</v>
      </c>
      <c r="BC205" s="74">
        <v>0.0</v>
      </c>
      <c r="BD205" s="74">
        <v>0.0</v>
      </c>
      <c r="BE205" s="74">
        <v>0.0</v>
      </c>
      <c r="BF205" s="74">
        <v>0.0</v>
      </c>
      <c r="BG205" s="74">
        <v>0.0</v>
      </c>
      <c r="BH205" s="74">
        <v>0.0</v>
      </c>
      <c r="BI205" s="9">
        <f t="shared" si="54"/>
        <v>0</v>
      </c>
    </row>
    <row r="206" ht="15.75" customHeight="1">
      <c r="B206" s="65">
        <v>6.0</v>
      </c>
      <c r="C206" s="80">
        <v>0.01212512293181554</v>
      </c>
      <c r="D206" s="80">
        <v>0.00366471368311224</v>
      </c>
      <c r="E206" s="80">
        <v>0.0026418780211990046</v>
      </c>
      <c r="F206" s="80">
        <v>0.004518731383160818</v>
      </c>
      <c r="G206" s="80">
        <v>0.0011135043222187664</v>
      </c>
      <c r="H206" s="80">
        <v>1.1796447933734402</v>
      </c>
      <c r="I206" s="80">
        <v>0.0016711622204413675</v>
      </c>
      <c r="J206" s="80">
        <v>0.0030545955865216756</v>
      </c>
      <c r="K206" s="80">
        <v>0.0012674439552732507</v>
      </c>
      <c r="L206" s="80">
        <v>0.003460852524485383</v>
      </c>
      <c r="M206" s="80">
        <v>0.006421225856024637</v>
      </c>
      <c r="N206" s="80">
        <v>0.18112396472020154</v>
      </c>
      <c r="O206" s="80">
        <v>0.0028655371382447343</v>
      </c>
      <c r="P206" s="80">
        <v>0.0019831167680589867</v>
      </c>
      <c r="Q206" s="80">
        <v>5.334967506995993E-6</v>
      </c>
      <c r="R206" s="80">
        <v>1.0759579009905963E-5</v>
      </c>
      <c r="S206" s="80">
        <v>8.665799856553165E-6</v>
      </c>
      <c r="T206" s="80">
        <v>1.3093661800289778E-5</v>
      </c>
      <c r="U206" s="80">
        <v>1.0653988366552441E-5</v>
      </c>
      <c r="V206" s="80">
        <v>2.886050426779128E-5</v>
      </c>
      <c r="W206" s="80">
        <v>4.367350036424725E-6</v>
      </c>
      <c r="X206" s="80">
        <v>1.1477345796145965E-5</v>
      </c>
      <c r="Y206" s="80">
        <v>1.0157534913742594E-5</v>
      </c>
      <c r="Z206" s="80">
        <v>6.438092126690365E-6</v>
      </c>
      <c r="AA206" s="80">
        <v>3.959119826325066E-6</v>
      </c>
      <c r="AB206" s="80">
        <v>3.231993071055064E-5</v>
      </c>
      <c r="AC206" s="80">
        <v>6.427919404041869E-6</v>
      </c>
      <c r="AD206" s="80">
        <v>5.457188346395144E-6</v>
      </c>
      <c r="AF206" s="65">
        <v>3.0</v>
      </c>
      <c r="AG206" s="74">
        <v>0.0</v>
      </c>
      <c r="AH206" s="74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0.0</v>
      </c>
      <c r="AN206" s="74">
        <v>0.0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74">
        <v>0.0</v>
      </c>
      <c r="AV206" s="74">
        <v>0.0</v>
      </c>
      <c r="AW206" s="74">
        <v>0.0</v>
      </c>
      <c r="AX206" s="74">
        <v>0.0</v>
      </c>
      <c r="AY206" s="74">
        <v>0.0</v>
      </c>
      <c r="AZ206" s="74">
        <v>0.0</v>
      </c>
      <c r="BA206" s="74">
        <v>0.0</v>
      </c>
      <c r="BB206" s="74">
        <v>0.0</v>
      </c>
      <c r="BC206" s="74">
        <v>0.0</v>
      </c>
      <c r="BD206" s="74">
        <v>0.0</v>
      </c>
      <c r="BE206" s="74">
        <v>0.0</v>
      </c>
      <c r="BF206" s="74">
        <v>0.0</v>
      </c>
      <c r="BG206" s="74">
        <v>0.0</v>
      </c>
      <c r="BH206" s="74">
        <v>0.0</v>
      </c>
      <c r="BI206" s="9">
        <f t="shared" si="54"/>
        <v>0</v>
      </c>
    </row>
    <row r="207" ht="15.75" customHeight="1">
      <c r="B207" s="65">
        <v>7.0</v>
      </c>
      <c r="C207" s="80">
        <v>0.016423887899602516</v>
      </c>
      <c r="D207" s="80">
        <v>0.008829225727214222</v>
      </c>
      <c r="E207" s="80">
        <v>0.008674537619818743</v>
      </c>
      <c r="F207" s="80">
        <v>0.00559526747400945</v>
      </c>
      <c r="G207" s="80">
        <v>0.0020741053603366005</v>
      </c>
      <c r="H207" s="80">
        <v>0.01933914945079279</v>
      </c>
      <c r="I207" s="80">
        <v>1.1753637000137829</v>
      </c>
      <c r="J207" s="80">
        <v>0.013579781997808729</v>
      </c>
      <c r="K207" s="80">
        <v>0.042814871537165206</v>
      </c>
      <c r="L207" s="80">
        <v>0.006244164521554477</v>
      </c>
      <c r="M207" s="80">
        <v>0.0033085939496603845</v>
      </c>
      <c r="N207" s="80">
        <v>0.018782759419468494</v>
      </c>
      <c r="O207" s="80">
        <v>0.0057210805110727665</v>
      </c>
      <c r="P207" s="80">
        <v>0.0076369412780509325</v>
      </c>
      <c r="Q207" s="80">
        <v>5.816016964158457E-5</v>
      </c>
      <c r="R207" s="80">
        <v>5.800362272240765E-5</v>
      </c>
      <c r="S207" s="80">
        <v>3.661744874619194E-5</v>
      </c>
      <c r="T207" s="80">
        <v>5.7086563474617526E-5</v>
      </c>
      <c r="U207" s="80">
        <v>5.724261288585578E-5</v>
      </c>
      <c r="V207" s="80">
        <v>5.189970054222105E-5</v>
      </c>
      <c r="W207" s="80">
        <v>2.2406576887769436E-5</v>
      </c>
      <c r="X207" s="80">
        <v>6.019915258839816E-5</v>
      </c>
      <c r="Y207" s="80">
        <v>5.3420099630025814E-5</v>
      </c>
      <c r="Z207" s="80">
        <v>2.904137793969229E-5</v>
      </c>
      <c r="AA207" s="80">
        <v>1.466708606103759E-5</v>
      </c>
      <c r="AB207" s="80">
        <v>5.809414115671835E-5</v>
      </c>
      <c r="AC207" s="80">
        <v>3.2575773483366744E-5</v>
      </c>
      <c r="AD207" s="80">
        <v>3.603850673081337E-5</v>
      </c>
      <c r="AF207" s="65">
        <v>4.0</v>
      </c>
      <c r="AG207" s="74">
        <v>0.0</v>
      </c>
      <c r="AH207" s="74">
        <v>0.0</v>
      </c>
      <c r="AI207" s="74">
        <v>0.0</v>
      </c>
      <c r="AJ207" s="74">
        <v>0.0</v>
      </c>
      <c r="AK207" s="74">
        <v>0.0</v>
      </c>
      <c r="AL207" s="74">
        <v>0.0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0.0</v>
      </c>
      <c r="AT207" s="74">
        <v>0.0</v>
      </c>
      <c r="AU207" s="74">
        <v>0.0</v>
      </c>
      <c r="AV207" s="74">
        <v>0.0</v>
      </c>
      <c r="AW207" s="74">
        <v>0.0</v>
      </c>
      <c r="AX207" s="74">
        <v>0.0</v>
      </c>
      <c r="AY207" s="74">
        <v>0.0</v>
      </c>
      <c r="AZ207" s="74">
        <v>0.0</v>
      </c>
      <c r="BA207" s="74">
        <v>0.0</v>
      </c>
      <c r="BB207" s="74">
        <v>0.0</v>
      </c>
      <c r="BC207" s="74">
        <v>0.0</v>
      </c>
      <c r="BD207" s="74">
        <v>0.0</v>
      </c>
      <c r="BE207" s="74">
        <v>0.0</v>
      </c>
      <c r="BF207" s="74">
        <v>0.0</v>
      </c>
      <c r="BG207" s="74">
        <v>0.0</v>
      </c>
      <c r="BH207" s="74">
        <v>0.0</v>
      </c>
      <c r="BI207" s="9">
        <f t="shared" si="54"/>
        <v>0</v>
      </c>
    </row>
    <row r="208" ht="15.75" customHeight="1">
      <c r="B208" s="65">
        <v>8.0</v>
      </c>
      <c r="C208" s="80">
        <v>0.16232794720700033</v>
      </c>
      <c r="D208" s="80">
        <v>0.14940259867028818</v>
      </c>
      <c r="E208" s="80">
        <v>0.13563717198377642</v>
      </c>
      <c r="F208" s="80">
        <v>0.11565851608206885</v>
      </c>
      <c r="G208" s="80">
        <v>0.03890997783081228</v>
      </c>
      <c r="H208" s="80">
        <v>0.1447167164963358</v>
      </c>
      <c r="I208" s="80">
        <v>0.1071782319396181</v>
      </c>
      <c r="J208" s="80">
        <v>1.2930975482947515</v>
      </c>
      <c r="K208" s="80">
        <v>0.03202698021947065</v>
      </c>
      <c r="L208" s="80">
        <v>0.0985341611488592</v>
      </c>
      <c r="M208" s="80">
        <v>0.1250384412494124</v>
      </c>
      <c r="N208" s="80">
        <v>0.13679462280220597</v>
      </c>
      <c r="O208" s="80">
        <v>0.32513757927468545</v>
      </c>
      <c r="P208" s="80">
        <v>0.07069329512476971</v>
      </c>
      <c r="Q208" s="80">
        <v>7.391913460848305E-4</v>
      </c>
      <c r="R208" s="80">
        <v>0.0013469923813230326</v>
      </c>
      <c r="S208" s="80">
        <v>7.478893035854451E-4</v>
      </c>
      <c r="T208" s="80">
        <v>0.0011898567525553366</v>
      </c>
      <c r="U208" s="80">
        <v>0.0010071117199060417</v>
      </c>
      <c r="V208" s="80">
        <v>0.001198365643562292</v>
      </c>
      <c r="W208" s="80">
        <v>6.685236688251218E-4</v>
      </c>
      <c r="X208" s="80">
        <v>0.0025148010004996803</v>
      </c>
      <c r="Y208" s="80">
        <v>0.0015854580515859567</v>
      </c>
      <c r="Z208" s="80">
        <v>7.012369841022232E-4</v>
      </c>
      <c r="AA208" s="80">
        <v>4.7822429188099173E-4</v>
      </c>
      <c r="AB208" s="80">
        <v>0.0012904812124332069</v>
      </c>
      <c r="AC208" s="80">
        <v>7.252068778617293E-4</v>
      </c>
      <c r="AD208" s="80">
        <v>5.332049693202709E-4</v>
      </c>
      <c r="AF208" s="65">
        <v>5.0</v>
      </c>
      <c r="AG208" s="74">
        <v>0.0</v>
      </c>
      <c r="AH208" s="74">
        <v>0.0</v>
      </c>
      <c r="AI208" s="74">
        <v>0.0</v>
      </c>
      <c r="AJ208" s="74">
        <v>0.0</v>
      </c>
      <c r="AK208" s="74">
        <v>0.0</v>
      </c>
      <c r="AL208" s="74">
        <v>0.0</v>
      </c>
      <c r="AM208" s="74">
        <v>0.0</v>
      </c>
      <c r="AN208" s="74">
        <v>0.0</v>
      </c>
      <c r="AO208" s="74">
        <v>0.0</v>
      </c>
      <c r="AP208" s="74">
        <v>0.0</v>
      </c>
      <c r="AQ208" s="74">
        <v>0.0</v>
      </c>
      <c r="AR208" s="74">
        <v>0.0</v>
      </c>
      <c r="AS208" s="74">
        <v>0.0</v>
      </c>
      <c r="AT208" s="74">
        <v>0.0</v>
      </c>
      <c r="AU208" s="74">
        <v>0.0</v>
      </c>
      <c r="AV208" s="74">
        <v>0.0</v>
      </c>
      <c r="AW208" s="74">
        <v>0.0</v>
      </c>
      <c r="AX208" s="74">
        <v>0.0</v>
      </c>
      <c r="AY208" s="74">
        <v>0.0</v>
      </c>
      <c r="AZ208" s="74">
        <v>0.0</v>
      </c>
      <c r="BA208" s="74">
        <v>0.0</v>
      </c>
      <c r="BB208" s="74">
        <v>0.0</v>
      </c>
      <c r="BC208" s="74">
        <v>0.0</v>
      </c>
      <c r="BD208" s="74">
        <v>0.0</v>
      </c>
      <c r="BE208" s="74">
        <v>0.0</v>
      </c>
      <c r="BF208" s="74">
        <v>0.0</v>
      </c>
      <c r="BG208" s="74">
        <v>0.0</v>
      </c>
      <c r="BH208" s="74">
        <v>0.0</v>
      </c>
      <c r="BI208" s="9">
        <f t="shared" si="54"/>
        <v>0</v>
      </c>
    </row>
    <row r="209" ht="15.75" customHeight="1">
      <c r="B209" s="65">
        <v>9.0</v>
      </c>
      <c r="C209" s="80">
        <v>0.0012177633790470984</v>
      </c>
      <c r="D209" s="80">
        <v>2.694815519369849E-4</v>
      </c>
      <c r="E209" s="80">
        <v>0.011435205781796924</v>
      </c>
      <c r="F209" s="80">
        <v>0.0014042915639535657</v>
      </c>
      <c r="G209" s="80">
        <v>0.004002266767808375</v>
      </c>
      <c r="H209" s="80">
        <v>0.0013420172144479087</v>
      </c>
      <c r="I209" s="80">
        <v>8.353762164211772E-5</v>
      </c>
      <c r="J209" s="80">
        <v>1.1363082266111116E-4</v>
      </c>
      <c r="K209" s="80">
        <v>1.0001287292280507</v>
      </c>
      <c r="L209" s="80">
        <v>1.2905077997862327E-4</v>
      </c>
      <c r="M209" s="80">
        <v>1.4787438820448336E-4</v>
      </c>
      <c r="N209" s="80">
        <v>0.001337302574335104</v>
      </c>
      <c r="O209" s="80">
        <v>8.666290789853405E-5</v>
      </c>
      <c r="P209" s="80">
        <v>0.0021998008691514297</v>
      </c>
      <c r="Q209" s="80">
        <v>9.799861457498755E-6</v>
      </c>
      <c r="R209" s="80">
        <v>6.65218490995467E-6</v>
      </c>
      <c r="S209" s="80">
        <v>1.1534742919426187E-5</v>
      </c>
      <c r="T209" s="80">
        <v>9.631258958209173E-6</v>
      </c>
      <c r="U209" s="80">
        <v>3.6362389334614605E-5</v>
      </c>
      <c r="V209" s="80">
        <v>2.268965481926309E-6</v>
      </c>
      <c r="W209" s="80">
        <v>1.2024653346077196E-6</v>
      </c>
      <c r="X209" s="80">
        <v>3.110131885550879E-6</v>
      </c>
      <c r="Y209" s="80">
        <v>4.514595494393967E-6</v>
      </c>
      <c r="Z209" s="80">
        <v>2.125587342997774E-6</v>
      </c>
      <c r="AA209" s="80">
        <v>1.3457919570575062E-6</v>
      </c>
      <c r="AB209" s="80">
        <v>2.18331060544637E-6</v>
      </c>
      <c r="AC209" s="80">
        <v>1.187375686050984E-6</v>
      </c>
      <c r="AD209" s="80">
        <v>7.060799781146739E-6</v>
      </c>
      <c r="AF209" s="65">
        <v>6.0</v>
      </c>
      <c r="AG209" s="74">
        <v>0.0</v>
      </c>
      <c r="AH209" s="74">
        <v>0.0</v>
      </c>
      <c r="AI209" s="74">
        <v>0.0</v>
      </c>
      <c r="AJ209" s="74">
        <v>0.0</v>
      </c>
      <c r="AK209" s="74">
        <v>0.0</v>
      </c>
      <c r="AL209" s="74">
        <v>0.0</v>
      </c>
      <c r="AM209" s="74">
        <v>0.0</v>
      </c>
      <c r="AN209" s="74">
        <v>0.0</v>
      </c>
      <c r="AO209" s="74">
        <v>0.0</v>
      </c>
      <c r="AP209" s="74">
        <v>0.0</v>
      </c>
      <c r="AQ209" s="74">
        <v>0.0</v>
      </c>
      <c r="AR209" s="74">
        <v>0.0</v>
      </c>
      <c r="AS209" s="74">
        <v>0.0</v>
      </c>
      <c r="AT209" s="74">
        <v>0.0</v>
      </c>
      <c r="AU209" s="74">
        <v>0.0</v>
      </c>
      <c r="AV209" s="74">
        <v>0.0</v>
      </c>
      <c r="AW209" s="74">
        <v>0.0</v>
      </c>
      <c r="AX209" s="74">
        <v>0.0</v>
      </c>
      <c r="AY209" s="74">
        <v>0.0</v>
      </c>
      <c r="AZ209" s="74">
        <v>0.0</v>
      </c>
      <c r="BA209" s="74">
        <v>0.0</v>
      </c>
      <c r="BB209" s="74">
        <v>0.0</v>
      </c>
      <c r="BC209" s="74">
        <v>0.0</v>
      </c>
      <c r="BD209" s="74">
        <v>0.0</v>
      </c>
      <c r="BE209" s="74">
        <v>0.0</v>
      </c>
      <c r="BF209" s="74">
        <v>0.0</v>
      </c>
      <c r="BG209" s="74">
        <v>0.0</v>
      </c>
      <c r="BH209" s="74">
        <v>0.0</v>
      </c>
      <c r="BI209" s="9">
        <f t="shared" si="54"/>
        <v>0</v>
      </c>
    </row>
    <row r="210" ht="15.75" customHeight="1">
      <c r="B210" s="65">
        <v>10.0</v>
      </c>
      <c r="C210" s="80">
        <v>0.09161751827222031</v>
      </c>
      <c r="D210" s="80">
        <v>0.13293067517854146</v>
      </c>
      <c r="E210" s="80">
        <v>0.08638835531871451</v>
      </c>
      <c r="F210" s="80">
        <v>0.14301512108812411</v>
      </c>
      <c r="G210" s="80">
        <v>0.05009225181190988</v>
      </c>
      <c r="H210" s="80">
        <v>0.11481987401692041</v>
      </c>
      <c r="I210" s="80">
        <v>0.101055854875022</v>
      </c>
      <c r="J210" s="80">
        <v>0.08470784205847476</v>
      </c>
      <c r="K210" s="80">
        <v>0.08056275962749654</v>
      </c>
      <c r="L210" s="80">
        <v>1.1589950450486737</v>
      </c>
      <c r="M210" s="80">
        <v>0.06483287507421404</v>
      </c>
      <c r="N210" s="80">
        <v>0.1074832029547686</v>
      </c>
      <c r="O210" s="80">
        <v>0.08682164305348844</v>
      </c>
      <c r="P210" s="80">
        <v>0.07676005678614288</v>
      </c>
      <c r="Q210" s="80">
        <v>4.060379399666289E-4</v>
      </c>
      <c r="R210" s="80">
        <v>8.986037596256617E-4</v>
      </c>
      <c r="S210" s="80">
        <v>5.017274945886736E-4</v>
      </c>
      <c r="T210" s="80">
        <v>8.439646030827436E-4</v>
      </c>
      <c r="U210" s="80">
        <v>6.596579256705219E-4</v>
      </c>
      <c r="V210" s="80">
        <v>0.0015758140011973235</v>
      </c>
      <c r="W210" s="80">
        <v>3.1080964674488464E-4</v>
      </c>
      <c r="X210" s="80">
        <v>7.545400810609041E-4</v>
      </c>
      <c r="Y210" s="80">
        <v>7.475647416968852E-4</v>
      </c>
      <c r="Z210" s="80">
        <v>7.084726354815824E-4</v>
      </c>
      <c r="AA210" s="80">
        <v>2.6998006367905304E-4</v>
      </c>
      <c r="AB210" s="80">
        <v>8.89746475854835E-4</v>
      </c>
      <c r="AC210" s="80">
        <v>4.890400188692474E-4</v>
      </c>
      <c r="AD210" s="80">
        <v>3.6914834371305885E-4</v>
      </c>
      <c r="AF210" s="65">
        <v>7.0</v>
      </c>
      <c r="AG210" s="74">
        <v>0.0</v>
      </c>
      <c r="AH210" s="74">
        <v>0.0</v>
      </c>
      <c r="AI210" s="74">
        <v>0.0</v>
      </c>
      <c r="AJ210" s="74">
        <v>0.0</v>
      </c>
      <c r="AK210" s="74">
        <v>0.0</v>
      </c>
      <c r="AL210" s="74">
        <v>0.0</v>
      </c>
      <c r="AM210" s="74">
        <v>0.0</v>
      </c>
      <c r="AN210" s="74">
        <v>0.0</v>
      </c>
      <c r="AO210" s="74">
        <v>0.0</v>
      </c>
      <c r="AP210" s="74">
        <v>0.0</v>
      </c>
      <c r="AQ210" s="74">
        <v>0.0</v>
      </c>
      <c r="AR210" s="74">
        <v>0.0</v>
      </c>
      <c r="AS210" s="74">
        <v>0.0</v>
      </c>
      <c r="AT210" s="74">
        <v>0.0</v>
      </c>
      <c r="AU210" s="74">
        <v>0.0</v>
      </c>
      <c r="AV210" s="74">
        <v>0.0</v>
      </c>
      <c r="AW210" s="74">
        <v>0.0</v>
      </c>
      <c r="AX210" s="74">
        <v>0.0</v>
      </c>
      <c r="AY210" s="74">
        <v>0.0</v>
      </c>
      <c r="AZ210" s="74">
        <v>0.0</v>
      </c>
      <c r="BA210" s="74">
        <v>0.0</v>
      </c>
      <c r="BB210" s="74">
        <v>0.0</v>
      </c>
      <c r="BC210" s="74">
        <v>0.0</v>
      </c>
      <c r="BD210" s="74">
        <v>0.0</v>
      </c>
      <c r="BE210" s="74">
        <v>0.0</v>
      </c>
      <c r="BF210" s="74">
        <v>0.0</v>
      </c>
      <c r="BG210" s="74">
        <v>0.0</v>
      </c>
      <c r="BH210" s="74">
        <v>0.0</v>
      </c>
      <c r="BI210" s="9">
        <f t="shared" si="54"/>
        <v>0</v>
      </c>
    </row>
    <row r="211" ht="15.75" customHeight="1">
      <c r="B211" s="65">
        <v>11.0</v>
      </c>
      <c r="C211" s="80">
        <v>0.13261399304980642</v>
      </c>
      <c r="D211" s="80">
        <v>0.21161029885501614</v>
      </c>
      <c r="E211" s="80">
        <v>0.13722485061802592</v>
      </c>
      <c r="F211" s="80">
        <v>0.20533085990762104</v>
      </c>
      <c r="G211" s="80">
        <v>0.07978152460158351</v>
      </c>
      <c r="H211" s="80">
        <v>0.181184694110066</v>
      </c>
      <c r="I211" s="80">
        <v>0.08567662870909219</v>
      </c>
      <c r="J211" s="80">
        <v>0.12004258182564093</v>
      </c>
      <c r="K211" s="80">
        <v>0.033892481654056256</v>
      </c>
      <c r="L211" s="80">
        <v>0.20512606825999938</v>
      </c>
      <c r="M211" s="80">
        <v>1.258502974696851</v>
      </c>
      <c r="N211" s="80">
        <v>0.1846465757947351</v>
      </c>
      <c r="O211" s="80">
        <v>0.13495920799921068</v>
      </c>
      <c r="P211" s="80">
        <v>0.09415128181376639</v>
      </c>
      <c r="Q211" s="80">
        <v>2.838173684505867E-4</v>
      </c>
      <c r="R211" s="80">
        <v>5.804069575908349E-4</v>
      </c>
      <c r="S211" s="80">
        <v>3.480944389338795E-4</v>
      </c>
      <c r="T211" s="80">
        <v>5.805724071602983E-4</v>
      </c>
      <c r="U211" s="80">
        <v>5.289518090018062E-4</v>
      </c>
      <c r="V211" s="80">
        <v>8.316255078569903E-4</v>
      </c>
      <c r="W211" s="80">
        <v>2.60778375569001E-4</v>
      </c>
      <c r="X211" s="80">
        <v>6.134536654002002E-4</v>
      </c>
      <c r="Y211" s="80">
        <v>5.544871182845205E-4</v>
      </c>
      <c r="Z211" s="80">
        <v>3.91419947205299E-4</v>
      </c>
      <c r="AA211" s="80">
        <v>2.951859508851411E-4</v>
      </c>
      <c r="AB211" s="80">
        <v>8.232920764247262E-4</v>
      </c>
      <c r="AC211" s="80">
        <v>3.310544108458425E-4</v>
      </c>
      <c r="AD211" s="80">
        <v>3.0418621870351045E-4</v>
      </c>
      <c r="AF211" s="65">
        <v>8.0</v>
      </c>
      <c r="AG211" s="74">
        <v>0.0</v>
      </c>
      <c r="AH211" s="74">
        <v>0.0</v>
      </c>
      <c r="AI211" s="74">
        <v>0.0</v>
      </c>
      <c r="AJ211" s="74">
        <v>0.0</v>
      </c>
      <c r="AK211" s="74">
        <v>0.0</v>
      </c>
      <c r="AL211" s="74">
        <v>0.0</v>
      </c>
      <c r="AM211" s="74">
        <v>0.0</v>
      </c>
      <c r="AN211" s="74">
        <v>0.0</v>
      </c>
      <c r="AO211" s="74">
        <v>0.0</v>
      </c>
      <c r="AP211" s="74">
        <v>0.0</v>
      </c>
      <c r="AQ211" s="74">
        <v>0.0</v>
      </c>
      <c r="AR211" s="74">
        <v>0.0</v>
      </c>
      <c r="AS211" s="74">
        <v>0.0</v>
      </c>
      <c r="AT211" s="74">
        <v>0.0</v>
      </c>
      <c r="AU211" s="74">
        <v>0.0</v>
      </c>
      <c r="AV211" s="74">
        <v>0.0</v>
      </c>
      <c r="AW211" s="74">
        <v>0.0</v>
      </c>
      <c r="AX211" s="74">
        <v>0.0</v>
      </c>
      <c r="AY211" s="74">
        <v>0.0</v>
      </c>
      <c r="AZ211" s="74">
        <v>0.0</v>
      </c>
      <c r="BA211" s="74">
        <v>0.0</v>
      </c>
      <c r="BB211" s="74">
        <v>0.0</v>
      </c>
      <c r="BC211" s="74">
        <v>0.0</v>
      </c>
      <c r="BD211" s="74">
        <v>0.0</v>
      </c>
      <c r="BE211" s="74">
        <v>0.0</v>
      </c>
      <c r="BF211" s="74">
        <v>0.0</v>
      </c>
      <c r="BG211" s="74">
        <v>0.0</v>
      </c>
      <c r="BH211" s="74">
        <v>0.0</v>
      </c>
      <c r="BI211" s="9">
        <f t="shared" si="54"/>
        <v>0</v>
      </c>
    </row>
    <row r="212" ht="15.75" customHeight="1">
      <c r="B212" s="65">
        <v>12.0</v>
      </c>
      <c r="C212" s="80">
        <v>0.010143555569924335</v>
      </c>
      <c r="D212" s="80">
        <v>0.005572294642998712</v>
      </c>
      <c r="E212" s="80">
        <v>0.0043625547695912955</v>
      </c>
      <c r="F212" s="80">
        <v>0.011385662248852554</v>
      </c>
      <c r="G212" s="80">
        <v>0.0021144435193742165</v>
      </c>
      <c r="H212" s="80">
        <v>0.3480421160065051</v>
      </c>
      <c r="I212" s="80">
        <v>0.0033209411096525032</v>
      </c>
      <c r="J212" s="80">
        <v>0.006657591143925883</v>
      </c>
      <c r="K212" s="80">
        <v>0.002511453484674808</v>
      </c>
      <c r="L212" s="80">
        <v>0.006793044234548052</v>
      </c>
      <c r="M212" s="80">
        <v>0.012203367820451267</v>
      </c>
      <c r="N212" s="80">
        <v>1.3521373855607346</v>
      </c>
      <c r="O212" s="80">
        <v>0.005473315004495992</v>
      </c>
      <c r="P212" s="80">
        <v>0.003791417527792803</v>
      </c>
      <c r="Q212" s="80">
        <v>1.0932447515832584E-5</v>
      </c>
      <c r="R212" s="80">
        <v>2.124521284775837E-5</v>
      </c>
      <c r="S212" s="80">
        <v>1.5916895455875975E-5</v>
      </c>
      <c r="T212" s="80">
        <v>2.660261675104896E-5</v>
      </c>
      <c r="U212" s="80">
        <v>1.902017265630687E-5</v>
      </c>
      <c r="V212" s="80">
        <v>6.593637416544648E-5</v>
      </c>
      <c r="W212" s="80">
        <v>8.816705285444906E-6</v>
      </c>
      <c r="X212" s="80">
        <v>2.393701447140482E-5</v>
      </c>
      <c r="Y212" s="80">
        <v>2.200273862199049E-5</v>
      </c>
      <c r="Z212" s="80">
        <v>1.2790490714352498E-5</v>
      </c>
      <c r="AA212" s="80">
        <v>7.979270586357966E-6</v>
      </c>
      <c r="AB212" s="80">
        <v>7.080875367225803E-5</v>
      </c>
      <c r="AC212" s="80">
        <v>1.3384153987939281E-5</v>
      </c>
      <c r="AD212" s="80">
        <v>1.0607217173827384E-5</v>
      </c>
      <c r="AF212" s="65">
        <v>9.0</v>
      </c>
      <c r="AG212" s="74">
        <v>0.0</v>
      </c>
      <c r="AH212" s="74">
        <v>0.0</v>
      </c>
      <c r="AI212" s="74">
        <v>0.0</v>
      </c>
      <c r="AJ212" s="74">
        <v>0.0</v>
      </c>
      <c r="AK212" s="74">
        <v>0.0</v>
      </c>
      <c r="AL212" s="74">
        <v>0.0</v>
      </c>
      <c r="AM212" s="74">
        <v>0.0</v>
      </c>
      <c r="AN212" s="74">
        <v>0.0</v>
      </c>
      <c r="AO212" s="74">
        <v>0.0</v>
      </c>
      <c r="AP212" s="74">
        <v>0.0</v>
      </c>
      <c r="AQ212" s="74">
        <v>0.0</v>
      </c>
      <c r="AR212" s="74">
        <v>0.0</v>
      </c>
      <c r="AS212" s="74">
        <v>0.0</v>
      </c>
      <c r="AT212" s="74">
        <v>0.0</v>
      </c>
      <c r="AU212" s="74">
        <v>0.0</v>
      </c>
      <c r="AV212" s="74">
        <v>0.0</v>
      </c>
      <c r="AW212" s="74">
        <v>0.0</v>
      </c>
      <c r="AX212" s="74">
        <v>0.0</v>
      </c>
      <c r="AY212" s="74">
        <v>0.0</v>
      </c>
      <c r="AZ212" s="74">
        <v>0.0</v>
      </c>
      <c r="BA212" s="74">
        <v>0.0</v>
      </c>
      <c r="BB212" s="74">
        <v>0.0</v>
      </c>
      <c r="BC212" s="74">
        <v>0.0</v>
      </c>
      <c r="BD212" s="74">
        <v>0.0</v>
      </c>
      <c r="BE212" s="74">
        <v>0.0</v>
      </c>
      <c r="BF212" s="74">
        <v>0.0</v>
      </c>
      <c r="BG212" s="74">
        <v>0.0</v>
      </c>
      <c r="BH212" s="74">
        <v>0.0</v>
      </c>
      <c r="BI212" s="9">
        <f t="shared" si="54"/>
        <v>0</v>
      </c>
    </row>
    <row r="213" ht="15.75" customHeight="1">
      <c r="B213" s="65">
        <v>13.0</v>
      </c>
      <c r="C213" s="80">
        <v>0.0018149143175387008</v>
      </c>
      <c r="D213" s="80">
        <v>0.0028848369407154973</v>
      </c>
      <c r="E213" s="80">
        <v>0.0020123556181721345</v>
      </c>
      <c r="F213" s="80">
        <v>0.0013714398437726183</v>
      </c>
      <c r="G213" s="80">
        <v>8.266066328250141E-4</v>
      </c>
      <c r="H213" s="80">
        <v>0.0039632311035895495</v>
      </c>
      <c r="I213" s="80">
        <v>6.354472451614785E-4</v>
      </c>
      <c r="J213" s="80">
        <v>9.85198435293588E-4</v>
      </c>
      <c r="K213" s="80">
        <v>5.461990294801527E-4</v>
      </c>
      <c r="L213" s="80">
        <v>0.0014208968436042653</v>
      </c>
      <c r="M213" s="80">
        <v>0.003687312531213506</v>
      </c>
      <c r="N213" s="80">
        <v>0.003998607007944103</v>
      </c>
      <c r="O213" s="80">
        <v>1.020899729158569</v>
      </c>
      <c r="P213" s="80">
        <v>0.002069170178152268</v>
      </c>
      <c r="Q213" s="80">
        <v>1.7747290087154135E-6</v>
      </c>
      <c r="R213" s="80">
        <v>3.7384891176918685E-6</v>
      </c>
      <c r="S213" s="80">
        <v>2.367714424195675E-6</v>
      </c>
      <c r="T213" s="80">
        <v>3.6732077344515098E-6</v>
      </c>
      <c r="U213" s="80">
        <v>3.594864450779514E-6</v>
      </c>
      <c r="V213" s="80">
        <v>4.6653352858616655E-6</v>
      </c>
      <c r="W213" s="80">
        <v>1.5287605376907081E-6</v>
      </c>
      <c r="X213" s="80">
        <v>3.92823021392629E-6</v>
      </c>
      <c r="Y213" s="80">
        <v>3.6116999980076524E-6</v>
      </c>
      <c r="Z213" s="80">
        <v>2.8293872564028987E-6</v>
      </c>
      <c r="AA213" s="80">
        <v>1.587388942562336E-6</v>
      </c>
      <c r="AB213" s="80">
        <v>4.2963666608323325E-6</v>
      </c>
      <c r="AC213" s="80">
        <v>2.019550901032205E-6</v>
      </c>
      <c r="AD213" s="80">
        <v>2.1161639223109203E-6</v>
      </c>
      <c r="AF213" s="65">
        <v>10.0</v>
      </c>
      <c r="AG213" s="74">
        <v>0.0</v>
      </c>
      <c r="AH213" s="74">
        <v>0.0</v>
      </c>
      <c r="AI213" s="74">
        <v>0.0</v>
      </c>
      <c r="AJ213" s="74">
        <v>0.0</v>
      </c>
      <c r="AK213" s="74">
        <v>0.0</v>
      </c>
      <c r="AL213" s="74">
        <v>0.0</v>
      </c>
      <c r="AM213" s="74">
        <v>0.0</v>
      </c>
      <c r="AN213" s="74">
        <v>0.0</v>
      </c>
      <c r="AO213" s="74">
        <v>0.0</v>
      </c>
      <c r="AP213" s="74">
        <v>0.0</v>
      </c>
      <c r="AQ213" s="74">
        <v>0.0</v>
      </c>
      <c r="AR213" s="74">
        <v>0.0</v>
      </c>
      <c r="AS213" s="74">
        <v>0.0</v>
      </c>
      <c r="AT213" s="74">
        <v>0.0</v>
      </c>
      <c r="AU213" s="74">
        <v>0.0</v>
      </c>
      <c r="AV213" s="74">
        <v>0.0</v>
      </c>
      <c r="AW213" s="74">
        <v>0.0</v>
      </c>
      <c r="AX213" s="74">
        <v>0.0</v>
      </c>
      <c r="AY213" s="74">
        <v>0.0</v>
      </c>
      <c r="AZ213" s="74">
        <v>0.0</v>
      </c>
      <c r="BA213" s="74">
        <v>0.0</v>
      </c>
      <c r="BB213" s="74">
        <v>0.0</v>
      </c>
      <c r="BC213" s="74">
        <v>0.0</v>
      </c>
      <c r="BD213" s="74">
        <v>0.0</v>
      </c>
      <c r="BE213" s="74">
        <v>0.0</v>
      </c>
      <c r="BF213" s="74">
        <v>0.0</v>
      </c>
      <c r="BG213" s="74">
        <v>0.0</v>
      </c>
      <c r="BH213" s="74">
        <v>0.0</v>
      </c>
      <c r="BI213" s="9">
        <f t="shared" si="54"/>
        <v>0</v>
      </c>
    </row>
    <row r="214" ht="15.75" customHeight="1">
      <c r="B214" s="65">
        <v>14.0</v>
      </c>
      <c r="C214" s="80">
        <v>0.0029791892801535875</v>
      </c>
      <c r="D214" s="80">
        <v>0.009797359727085236</v>
      </c>
      <c r="E214" s="80">
        <v>0.0033740090256224177</v>
      </c>
      <c r="F214" s="80">
        <v>0.008807760523154202</v>
      </c>
      <c r="G214" s="80">
        <v>0.003335018111942652</v>
      </c>
      <c r="H214" s="80">
        <v>0.0045548683080191225</v>
      </c>
      <c r="I214" s="80">
        <v>0.0024226590294821543</v>
      </c>
      <c r="J214" s="80">
        <v>0.004124801171412069</v>
      </c>
      <c r="K214" s="80">
        <v>0.0016878098960067286</v>
      </c>
      <c r="L214" s="80">
        <v>0.008167611425561511</v>
      </c>
      <c r="M214" s="80">
        <v>0.005583083789095622</v>
      </c>
      <c r="N214" s="80">
        <v>0.004539209595018145</v>
      </c>
      <c r="O214" s="80">
        <v>0.004696885368369838</v>
      </c>
      <c r="P214" s="80">
        <v>1.011289791747463</v>
      </c>
      <c r="Q214" s="80">
        <v>1.1342825439007934E-4</v>
      </c>
      <c r="R214" s="80">
        <v>2.111217430984288E-4</v>
      </c>
      <c r="S214" s="80">
        <v>1.2542636331131426E-4</v>
      </c>
      <c r="T214" s="80">
        <v>1.7040294867556565E-4</v>
      </c>
      <c r="U214" s="80">
        <v>1.521861816191266E-4</v>
      </c>
      <c r="V214" s="80">
        <v>2.0009018690108718E-4</v>
      </c>
      <c r="W214" s="80">
        <v>1.0687756877488777E-4</v>
      </c>
      <c r="X214" s="80">
        <v>2.25946602787023E-4</v>
      </c>
      <c r="Y214" s="80">
        <v>3.4006234879665315E-4</v>
      </c>
      <c r="Z214" s="80">
        <v>4.674169948871282E-4</v>
      </c>
      <c r="AA214" s="80">
        <v>1.4558412657669501E-4</v>
      </c>
      <c r="AB214" s="80">
        <v>1.9403235000161625E-4</v>
      </c>
      <c r="AC214" s="80">
        <v>1.1898737579615098E-4</v>
      </c>
      <c r="AD214" s="80">
        <v>1.4309227768091723E-4</v>
      </c>
      <c r="AF214" s="65">
        <v>11.0</v>
      </c>
      <c r="AG214" s="74">
        <v>0.0</v>
      </c>
      <c r="AH214" s="74">
        <v>0.0</v>
      </c>
      <c r="AI214" s="74">
        <v>0.0</v>
      </c>
      <c r="AJ214" s="74">
        <v>0.0</v>
      </c>
      <c r="AK214" s="74">
        <v>0.0</v>
      </c>
      <c r="AL214" s="74">
        <v>0.0</v>
      </c>
      <c r="AM214" s="74">
        <v>0.0</v>
      </c>
      <c r="AN214" s="74">
        <v>0.0</v>
      </c>
      <c r="AO214" s="74">
        <v>0.0</v>
      </c>
      <c r="AP214" s="74">
        <v>0.0</v>
      </c>
      <c r="AQ214" s="74">
        <v>0.0</v>
      </c>
      <c r="AR214" s="74">
        <v>0.0</v>
      </c>
      <c r="AS214" s="74">
        <v>0.0</v>
      </c>
      <c r="AT214" s="74">
        <v>0.0</v>
      </c>
      <c r="AU214" s="74">
        <v>0.0</v>
      </c>
      <c r="AV214" s="74">
        <v>0.0</v>
      </c>
      <c r="AW214" s="74">
        <v>0.0</v>
      </c>
      <c r="AX214" s="74">
        <v>0.0</v>
      </c>
      <c r="AY214" s="74">
        <v>0.0</v>
      </c>
      <c r="AZ214" s="74">
        <v>0.0</v>
      </c>
      <c r="BA214" s="74">
        <v>0.0</v>
      </c>
      <c r="BB214" s="74">
        <v>0.0</v>
      </c>
      <c r="BC214" s="74">
        <v>0.0</v>
      </c>
      <c r="BD214" s="74">
        <v>0.0</v>
      </c>
      <c r="BE214" s="74">
        <v>0.0</v>
      </c>
      <c r="BF214" s="74">
        <v>0.0</v>
      </c>
      <c r="BG214" s="74">
        <v>0.0</v>
      </c>
      <c r="BH214" s="74">
        <v>0.0</v>
      </c>
      <c r="BI214" s="9">
        <f t="shared" si="54"/>
        <v>0</v>
      </c>
    </row>
    <row r="215" ht="15.75" customHeight="1">
      <c r="B215" s="65">
        <v>15.0</v>
      </c>
      <c r="C215" s="80">
        <v>0.02749397489445599</v>
      </c>
      <c r="D215" s="80">
        <v>0.04954114444483748</v>
      </c>
      <c r="E215" s="80">
        <v>0.1569792877375535</v>
      </c>
      <c r="F215" s="80">
        <v>0.030711018485864452</v>
      </c>
      <c r="G215" s="80">
        <v>0.059887420850447466</v>
      </c>
      <c r="H215" s="80">
        <v>0.002819746899233567</v>
      </c>
      <c r="I215" s="80">
        <v>0.0031005206851097036</v>
      </c>
      <c r="J215" s="80">
        <v>0.00996935453335234</v>
      </c>
      <c r="K215" s="80">
        <v>0.01272121903101846</v>
      </c>
      <c r="L215" s="80">
        <v>0.0046542430415565566</v>
      </c>
      <c r="M215" s="80">
        <v>0.004411322561091621</v>
      </c>
      <c r="N215" s="80">
        <v>0.0027336163435682254</v>
      </c>
      <c r="O215" s="80">
        <v>0.0035273212399094347</v>
      </c>
      <c r="P215" s="80">
        <v>0.016617204137616994</v>
      </c>
      <c r="Q215" s="80">
        <v>1.262489461744625</v>
      </c>
      <c r="R215" s="80">
        <v>0.22425041368106924</v>
      </c>
      <c r="S215" s="80">
        <v>0.09277682217483711</v>
      </c>
      <c r="T215" s="80">
        <v>0.055563876283700096</v>
      </c>
      <c r="U215" s="80">
        <v>0.3992277304790332</v>
      </c>
      <c r="V215" s="80">
        <v>0.01075540217443574</v>
      </c>
      <c r="W215" s="80">
        <v>0.013704113950159734</v>
      </c>
      <c r="X215" s="80">
        <v>0.02599543032808649</v>
      </c>
      <c r="Y215" s="80">
        <v>0.07958961952796162</v>
      </c>
      <c r="Z215" s="80">
        <v>0.009107755423904539</v>
      </c>
      <c r="AA215" s="80">
        <v>0.01002628992084163</v>
      </c>
      <c r="AB215" s="80">
        <v>0.012423576456538427</v>
      </c>
      <c r="AC215" s="80">
        <v>0.011302681668299567</v>
      </c>
      <c r="AD215" s="80">
        <v>0.04576410235082894</v>
      </c>
      <c r="AF215" s="65">
        <v>12.0</v>
      </c>
      <c r="AG215" s="74">
        <v>0.0</v>
      </c>
      <c r="AH215" s="74">
        <v>0.0</v>
      </c>
      <c r="AI215" s="74">
        <v>0.0</v>
      </c>
      <c r="AJ215" s="74">
        <v>0.0</v>
      </c>
      <c r="AK215" s="74">
        <v>0.0</v>
      </c>
      <c r="AL215" s="74">
        <v>0.0</v>
      </c>
      <c r="AM215" s="74">
        <v>0.0</v>
      </c>
      <c r="AN215" s="74">
        <v>0.0</v>
      </c>
      <c r="AO215" s="74">
        <v>0.0</v>
      </c>
      <c r="AP215" s="74">
        <v>0.0</v>
      </c>
      <c r="AQ215" s="74">
        <v>0.0</v>
      </c>
      <c r="AR215" s="74">
        <v>0.0</v>
      </c>
      <c r="AS215" s="74">
        <v>0.0</v>
      </c>
      <c r="AT215" s="74">
        <v>0.0</v>
      </c>
      <c r="AU215" s="74">
        <v>0.0</v>
      </c>
      <c r="AV215" s="74">
        <v>0.0</v>
      </c>
      <c r="AW215" s="74">
        <v>0.0</v>
      </c>
      <c r="AX215" s="74">
        <v>0.0</v>
      </c>
      <c r="AY215" s="74">
        <v>0.0</v>
      </c>
      <c r="AZ215" s="74">
        <v>0.0</v>
      </c>
      <c r="BA215" s="74">
        <v>0.0</v>
      </c>
      <c r="BB215" s="74">
        <v>0.0</v>
      </c>
      <c r="BC215" s="74">
        <v>0.0</v>
      </c>
      <c r="BD215" s="74">
        <v>0.0</v>
      </c>
      <c r="BE215" s="74">
        <v>0.0</v>
      </c>
      <c r="BF215" s="74">
        <v>0.0</v>
      </c>
      <c r="BG215" s="74">
        <v>0.0</v>
      </c>
      <c r="BH215" s="74">
        <v>0.0</v>
      </c>
      <c r="BI215" s="9">
        <f t="shared" si="54"/>
        <v>0</v>
      </c>
    </row>
    <row r="216" ht="15.75" customHeight="1">
      <c r="B216" s="65">
        <v>16.0</v>
      </c>
      <c r="C216" s="80">
        <v>0.0015242702690724617</v>
      </c>
      <c r="D216" s="80">
        <v>0.0036930550138414807</v>
      </c>
      <c r="E216" s="80">
        <v>0.007385873102104359</v>
      </c>
      <c r="F216" s="80">
        <v>0.004317174809655317</v>
      </c>
      <c r="G216" s="80">
        <v>0.01393660139087422</v>
      </c>
      <c r="H216" s="80">
        <v>8.282381922949471E-4</v>
      </c>
      <c r="I216" s="80">
        <v>7.608460790751892E-4</v>
      </c>
      <c r="J216" s="80">
        <v>0.0028652788685271584</v>
      </c>
      <c r="K216" s="80">
        <v>0.0019956039450976302</v>
      </c>
      <c r="L216" s="80">
        <v>0.0013898595258744662</v>
      </c>
      <c r="M216" s="80">
        <v>0.001838574278288652</v>
      </c>
      <c r="N216" s="80">
        <v>8.15692980834068E-4</v>
      </c>
      <c r="O216" s="80">
        <v>0.0010442445486417286</v>
      </c>
      <c r="P216" s="80">
        <v>0.00563293134799694</v>
      </c>
      <c r="Q216" s="80">
        <v>0.00308315402660216</v>
      </c>
      <c r="R216" s="80">
        <v>1.041646201357413</v>
      </c>
      <c r="S216" s="80">
        <v>0.01998908213577521</v>
      </c>
      <c r="T216" s="80">
        <v>0.022249350650867885</v>
      </c>
      <c r="U216" s="80">
        <v>0.02930023598724805</v>
      </c>
      <c r="V216" s="80">
        <v>0.0035523977468895802</v>
      </c>
      <c r="W216" s="80">
        <v>0.001863198217748519</v>
      </c>
      <c r="X216" s="80">
        <v>0.0033299676218267425</v>
      </c>
      <c r="Y216" s="80">
        <v>0.008727421585609829</v>
      </c>
      <c r="Z216" s="80">
        <v>0.0034872726648089458</v>
      </c>
      <c r="AA216" s="80">
        <v>0.002737649447088093</v>
      </c>
      <c r="AB216" s="80">
        <v>0.004861147826590407</v>
      </c>
      <c r="AC216" s="80">
        <v>0.0027454967232655595</v>
      </c>
      <c r="AD216" s="80">
        <v>0.03428975725862363</v>
      </c>
      <c r="AF216" s="65">
        <v>13.0</v>
      </c>
      <c r="AG216" s="74">
        <v>0.0</v>
      </c>
      <c r="AH216" s="74">
        <v>0.0</v>
      </c>
      <c r="AI216" s="74">
        <v>0.0</v>
      </c>
      <c r="AJ216" s="74">
        <v>0.0</v>
      </c>
      <c r="AK216" s="74">
        <v>0.0</v>
      </c>
      <c r="AL216" s="74">
        <v>0.0</v>
      </c>
      <c r="AM216" s="74">
        <v>0.0</v>
      </c>
      <c r="AN216" s="74">
        <v>0.0</v>
      </c>
      <c r="AO216" s="74">
        <v>0.0</v>
      </c>
      <c r="AP216" s="74">
        <v>0.0</v>
      </c>
      <c r="AQ216" s="74">
        <v>0.0</v>
      </c>
      <c r="AR216" s="74">
        <v>0.0</v>
      </c>
      <c r="AS216" s="74">
        <v>0.0</v>
      </c>
      <c r="AT216" s="74">
        <v>0.0</v>
      </c>
      <c r="AU216" s="74">
        <v>0.0</v>
      </c>
      <c r="AV216" s="74">
        <v>0.0</v>
      </c>
      <c r="AW216" s="74">
        <v>0.0</v>
      </c>
      <c r="AX216" s="74">
        <v>0.0</v>
      </c>
      <c r="AY216" s="74">
        <v>0.0</v>
      </c>
      <c r="AZ216" s="74">
        <v>0.0</v>
      </c>
      <c r="BA216" s="74">
        <v>0.0</v>
      </c>
      <c r="BB216" s="74">
        <v>0.0</v>
      </c>
      <c r="BC216" s="74">
        <v>0.0</v>
      </c>
      <c r="BD216" s="74">
        <v>0.0</v>
      </c>
      <c r="BE216" s="74">
        <v>0.0</v>
      </c>
      <c r="BF216" s="74">
        <v>0.0</v>
      </c>
      <c r="BG216" s="74">
        <v>0.0</v>
      </c>
      <c r="BH216" s="74">
        <v>0.0</v>
      </c>
      <c r="BI216" s="9">
        <f t="shared" si="54"/>
        <v>0</v>
      </c>
    </row>
    <row r="217" ht="15.75" customHeight="1">
      <c r="B217" s="65">
        <v>17.0</v>
      </c>
      <c r="C217" s="80">
        <v>0.0022084284431621816</v>
      </c>
      <c r="D217" s="80">
        <v>0.0026773478670810815</v>
      </c>
      <c r="E217" s="80">
        <v>0.011685628953695659</v>
      </c>
      <c r="F217" s="80">
        <v>0.039823581299580406</v>
      </c>
      <c r="G217" s="80">
        <v>0.005047939954104941</v>
      </c>
      <c r="H217" s="80">
        <v>0.0012153042405229212</v>
      </c>
      <c r="I217" s="80">
        <v>0.0013158072604480646</v>
      </c>
      <c r="J217" s="80">
        <v>0.003019775021363517</v>
      </c>
      <c r="K217" s="80">
        <v>0.0037188605608926228</v>
      </c>
      <c r="L217" s="80">
        <v>0.0035010895177877564</v>
      </c>
      <c r="M217" s="80">
        <v>0.002393938674308629</v>
      </c>
      <c r="N217" s="80">
        <v>0.001189026535054752</v>
      </c>
      <c r="O217" s="80">
        <v>0.0012941332756666406</v>
      </c>
      <c r="P217" s="80">
        <v>0.006119292741080084</v>
      </c>
      <c r="Q217" s="80">
        <v>0.005749448422373378</v>
      </c>
      <c r="R217" s="80">
        <v>0.008242367895252779</v>
      </c>
      <c r="S217" s="80">
        <v>1.088598862211008</v>
      </c>
      <c r="T217" s="80">
        <v>0.3798121461804809</v>
      </c>
      <c r="U217" s="80">
        <v>0.032865963970310816</v>
      </c>
      <c r="V217" s="80">
        <v>0.007135570217458769</v>
      </c>
      <c r="W217" s="80">
        <v>0.003787595750221847</v>
      </c>
      <c r="X217" s="80">
        <v>0.0061396456056555734</v>
      </c>
      <c r="Y217" s="80">
        <v>0.02386882679539301</v>
      </c>
      <c r="Z217" s="80">
        <v>0.003778867157363683</v>
      </c>
      <c r="AA217" s="80">
        <v>0.0037931325369263817</v>
      </c>
      <c r="AB217" s="80">
        <v>0.005737249851876737</v>
      </c>
      <c r="AC217" s="80">
        <v>0.007341719330055502</v>
      </c>
      <c r="AD217" s="80">
        <v>0.03585862695105035</v>
      </c>
      <c r="AF217" s="65">
        <v>14.0</v>
      </c>
      <c r="AG217" s="74">
        <v>0.0</v>
      </c>
      <c r="AH217" s="74">
        <v>0.0</v>
      </c>
      <c r="AI217" s="74">
        <v>0.0</v>
      </c>
      <c r="AJ217" s="74">
        <v>0.0</v>
      </c>
      <c r="AK217" s="74">
        <v>0.0</v>
      </c>
      <c r="AL217" s="74">
        <v>0.0</v>
      </c>
      <c r="AM217" s="74">
        <v>0.0</v>
      </c>
      <c r="AN217" s="74">
        <v>0.0</v>
      </c>
      <c r="AO217" s="74">
        <v>0.0</v>
      </c>
      <c r="AP217" s="74">
        <v>0.0</v>
      </c>
      <c r="AQ217" s="74">
        <v>0.0</v>
      </c>
      <c r="AR217" s="74">
        <v>0.0</v>
      </c>
      <c r="AS217" s="74">
        <v>0.0</v>
      </c>
      <c r="AT217" s="74">
        <v>0.0</v>
      </c>
      <c r="AU217" s="74">
        <v>0.0</v>
      </c>
      <c r="AV217" s="74">
        <v>0.0</v>
      </c>
      <c r="AW217" s="74">
        <v>0.0</v>
      </c>
      <c r="AX217" s="74">
        <v>0.0</v>
      </c>
      <c r="AY217" s="74">
        <v>0.0</v>
      </c>
      <c r="AZ217" s="74">
        <v>0.0</v>
      </c>
      <c r="BA217" s="74">
        <v>0.0</v>
      </c>
      <c r="BB217" s="74">
        <v>0.0</v>
      </c>
      <c r="BC217" s="74">
        <v>0.0</v>
      </c>
      <c r="BD217" s="74">
        <v>0.0</v>
      </c>
      <c r="BE217" s="74">
        <v>0.0</v>
      </c>
      <c r="BF217" s="74">
        <v>0.0</v>
      </c>
      <c r="BG217" s="74">
        <v>0.0</v>
      </c>
      <c r="BH217" s="74">
        <v>0.0</v>
      </c>
      <c r="BI217" s="9">
        <f t="shared" si="54"/>
        <v>0</v>
      </c>
    </row>
    <row r="218" ht="15.75" customHeight="1">
      <c r="B218" s="65">
        <v>18.0</v>
      </c>
      <c r="C218" s="80">
        <v>0.002732038518283887</v>
      </c>
      <c r="D218" s="80">
        <v>0.00383701820917563</v>
      </c>
      <c r="E218" s="80">
        <v>0.027064465899778123</v>
      </c>
      <c r="F218" s="80">
        <v>0.058312750833048405</v>
      </c>
      <c r="G218" s="80">
        <v>0.010433413865443976</v>
      </c>
      <c r="H218" s="80">
        <v>0.0018261905615272191</v>
      </c>
      <c r="I218" s="80">
        <v>0.0016574410375338375</v>
      </c>
      <c r="J218" s="80">
        <v>0.003970816900792292</v>
      </c>
      <c r="K218" s="80">
        <v>0.004106698288255092</v>
      </c>
      <c r="L218" s="80">
        <v>0.007000745441208543</v>
      </c>
      <c r="M218" s="80">
        <v>0.0035697685217952694</v>
      </c>
      <c r="N218" s="80">
        <v>0.0017824319510759373</v>
      </c>
      <c r="O218" s="80">
        <v>0.0018604867673273026</v>
      </c>
      <c r="P218" s="80">
        <v>0.01348670063279133</v>
      </c>
      <c r="Q218" s="80">
        <v>0.005733477248746122</v>
      </c>
      <c r="R218" s="80">
        <v>0.013142663164143545</v>
      </c>
      <c r="S218" s="80">
        <v>0.02548932608909591</v>
      </c>
      <c r="T218" s="80">
        <v>1.0976516013220015</v>
      </c>
      <c r="U218" s="80">
        <v>0.056265001293854686</v>
      </c>
      <c r="V218" s="80">
        <v>0.006086270566475472</v>
      </c>
      <c r="W218" s="80">
        <v>0.0031419122867009258</v>
      </c>
      <c r="X218" s="80">
        <v>0.005707415346023763</v>
      </c>
      <c r="Y218" s="80">
        <v>0.014954409047748462</v>
      </c>
      <c r="Z218" s="80">
        <v>0.0043396005673137505</v>
      </c>
      <c r="AA218" s="80">
        <v>0.0056560619376005246</v>
      </c>
      <c r="AB218" s="80">
        <v>0.00823319883531034</v>
      </c>
      <c r="AC218" s="80">
        <v>0.005249462109202886</v>
      </c>
      <c r="AD218" s="80">
        <v>0.0518874905907291</v>
      </c>
      <c r="AF218" s="65">
        <v>15.0</v>
      </c>
      <c r="AG218" s="74">
        <v>95.29566828541792</v>
      </c>
      <c r="AH218" s="74">
        <v>456.1935007577295</v>
      </c>
      <c r="AI218" s="74">
        <v>934.6863872372629</v>
      </c>
      <c r="AJ218" s="74">
        <v>329.04043669560195</v>
      </c>
      <c r="AK218" s="74">
        <v>2086.1322202472415</v>
      </c>
      <c r="AL218" s="74">
        <v>0.5181854760786211</v>
      </c>
      <c r="AM218" s="74">
        <v>12.908352361942796</v>
      </c>
      <c r="AN218" s="74">
        <v>2352.00206630289</v>
      </c>
      <c r="AO218" s="74">
        <v>3.83314738665271</v>
      </c>
      <c r="AP218" s="74">
        <v>888.1133647296651</v>
      </c>
      <c r="AQ218" s="74">
        <v>2039.1575548742965</v>
      </c>
      <c r="AR218" s="74">
        <v>0.724570044009972</v>
      </c>
      <c r="AS218" s="74">
        <v>0.11985842871001093</v>
      </c>
      <c r="AT218" s="74">
        <v>501.70300810706624</v>
      </c>
      <c r="AU218" s="74">
        <v>3702210.623607258</v>
      </c>
      <c r="AV218" s="74">
        <v>372397.1126129369</v>
      </c>
      <c r="AW218" s="74">
        <v>239709.04669049827</v>
      </c>
      <c r="AX218" s="74">
        <v>215281.66545845178</v>
      </c>
      <c r="AY218" s="74">
        <v>1717424.5785783522</v>
      </c>
      <c r="AZ218" s="74">
        <v>1573.9363808238033</v>
      </c>
      <c r="BA218" s="74">
        <v>10229.921387061546</v>
      </c>
      <c r="BB218" s="74">
        <v>1488727.1960430834</v>
      </c>
      <c r="BC218" s="74">
        <v>57522.15657037106</v>
      </c>
      <c r="BD218" s="74">
        <v>271510.1451072424</v>
      </c>
      <c r="BE218" s="74">
        <v>923494.7662436363</v>
      </c>
      <c r="BF218" s="74">
        <v>2942.511630309453</v>
      </c>
      <c r="BG218" s="74">
        <v>3509.6837748630455</v>
      </c>
      <c r="BH218" s="74">
        <v>344031.2300393384</v>
      </c>
      <c r="BI218" s="9">
        <f t="shared" si="54"/>
        <v>9360265.002</v>
      </c>
    </row>
    <row r="219" ht="15.75" customHeight="1">
      <c r="B219" s="65">
        <v>19.0</v>
      </c>
      <c r="C219" s="80">
        <v>0.0025569533874195347</v>
      </c>
      <c r="D219" s="80">
        <v>0.008033617823256962</v>
      </c>
      <c r="E219" s="80">
        <v>0.024079946792887795</v>
      </c>
      <c r="F219" s="80">
        <v>0.019319510506759174</v>
      </c>
      <c r="G219" s="80">
        <v>0.04555118454294188</v>
      </c>
      <c r="H219" s="80">
        <v>0.0015280414046212204</v>
      </c>
      <c r="I219" s="80">
        <v>0.0013716514399015854</v>
      </c>
      <c r="J219" s="80">
        <v>0.004184258808757378</v>
      </c>
      <c r="K219" s="80">
        <v>0.0038202712223412744</v>
      </c>
      <c r="L219" s="80">
        <v>0.0038198929712401006</v>
      </c>
      <c r="M219" s="80">
        <v>0.003470444362654912</v>
      </c>
      <c r="N219" s="80">
        <v>0.0014986128216012572</v>
      </c>
      <c r="O219" s="80">
        <v>0.0017379663895243464</v>
      </c>
      <c r="P219" s="80">
        <v>0.01383775340104219</v>
      </c>
      <c r="Q219" s="80">
        <v>0.00640329666056809</v>
      </c>
      <c r="R219" s="80">
        <v>0.05806378819558591</v>
      </c>
      <c r="S219" s="80">
        <v>0.08624450738200397</v>
      </c>
      <c r="T219" s="80">
        <v>0.06743064617588539</v>
      </c>
      <c r="U219" s="80">
        <v>1.1671570409156227</v>
      </c>
      <c r="V219" s="80">
        <v>0.005712690671476977</v>
      </c>
      <c r="W219" s="80">
        <v>0.0035566413608641187</v>
      </c>
      <c r="X219" s="80">
        <v>0.0058770501747489315</v>
      </c>
      <c r="Y219" s="80">
        <v>0.02396783857311882</v>
      </c>
      <c r="Z219" s="80">
        <v>0.004520975892616081</v>
      </c>
      <c r="AA219" s="80">
        <v>0.005838938797033747</v>
      </c>
      <c r="AB219" s="80">
        <v>0.0059109737902313525</v>
      </c>
      <c r="AC219" s="80">
        <v>0.0053184885719242065</v>
      </c>
      <c r="AD219" s="80">
        <v>0.05975520713225495</v>
      </c>
      <c r="AF219" s="65">
        <v>16.0</v>
      </c>
      <c r="AG219" s="74">
        <v>0.0</v>
      </c>
      <c r="AH219" s="74">
        <v>0.0</v>
      </c>
      <c r="AI219" s="74">
        <v>0.0</v>
      </c>
      <c r="AJ219" s="74">
        <v>0.0</v>
      </c>
      <c r="AK219" s="74">
        <v>0.0</v>
      </c>
      <c r="AL219" s="74">
        <v>0.0</v>
      </c>
      <c r="AM219" s="74">
        <v>0.0</v>
      </c>
      <c r="AN219" s="74">
        <v>0.0</v>
      </c>
      <c r="AO219" s="74">
        <v>0.0</v>
      </c>
      <c r="AP219" s="74">
        <v>0.0</v>
      </c>
      <c r="AQ219" s="74">
        <v>0.0</v>
      </c>
      <c r="AR219" s="74">
        <v>0.0</v>
      </c>
      <c r="AS219" s="74">
        <v>0.0</v>
      </c>
      <c r="AT219" s="74">
        <v>0.0</v>
      </c>
      <c r="AU219" s="74">
        <v>0.0</v>
      </c>
      <c r="AV219" s="74">
        <v>0.0</v>
      </c>
      <c r="AW219" s="74">
        <v>0.0</v>
      </c>
      <c r="AX219" s="74">
        <v>0.0</v>
      </c>
      <c r="AY219" s="74">
        <v>0.0</v>
      </c>
      <c r="AZ219" s="74">
        <v>0.0</v>
      </c>
      <c r="BA219" s="74">
        <v>0.0</v>
      </c>
      <c r="BB219" s="74">
        <v>0.0</v>
      </c>
      <c r="BC219" s="74">
        <v>0.0</v>
      </c>
      <c r="BD219" s="74">
        <v>0.0</v>
      </c>
      <c r="BE219" s="74">
        <v>0.0</v>
      </c>
      <c r="BF219" s="74">
        <v>0.0</v>
      </c>
      <c r="BG219" s="74">
        <v>0.0</v>
      </c>
      <c r="BH219" s="74">
        <v>0.0</v>
      </c>
      <c r="BI219" s="9">
        <f t="shared" si="54"/>
        <v>0</v>
      </c>
    </row>
    <row r="220" ht="15.75" customHeight="1">
      <c r="B220" s="65">
        <v>20.0</v>
      </c>
      <c r="C220" s="80">
        <v>4.6260249489958713E-4</v>
      </c>
      <c r="D220" s="80">
        <v>4.6613228224165075E-4</v>
      </c>
      <c r="E220" s="80">
        <v>4.4275150607926776E-4</v>
      </c>
      <c r="F220" s="80">
        <v>5.860584053157523E-4</v>
      </c>
      <c r="G220" s="80">
        <v>2.5691419844253195E-4</v>
      </c>
      <c r="H220" s="80">
        <v>0.0019928189870003447</v>
      </c>
      <c r="I220" s="80">
        <v>2.0428463409286068E-4</v>
      </c>
      <c r="J220" s="80">
        <v>7.131267917469576E-4</v>
      </c>
      <c r="K220" s="80">
        <v>7.87343214915372E-4</v>
      </c>
      <c r="L220" s="80">
        <v>2.804965310023839E-4</v>
      </c>
      <c r="M220" s="80">
        <v>2.2997626230604964E-4</v>
      </c>
      <c r="N220" s="80">
        <v>0.0019963453760815735</v>
      </c>
      <c r="O220" s="80">
        <v>2.5306293323947265E-4</v>
      </c>
      <c r="P220" s="80">
        <v>1.6081400939823586E-4</v>
      </c>
      <c r="Q220" s="80">
        <v>7.19670144776932E-4</v>
      </c>
      <c r="R220" s="80">
        <v>0.001284013438565616</v>
      </c>
      <c r="S220" s="80">
        <v>9.31332444586096E-4</v>
      </c>
      <c r="T220" s="80">
        <v>0.0015075252379794452</v>
      </c>
      <c r="U220" s="80">
        <v>0.0011191239290327202</v>
      </c>
      <c r="V220" s="80">
        <v>1.0416485525120223</v>
      </c>
      <c r="W220" s="80">
        <v>9.051483934594503E-4</v>
      </c>
      <c r="X220" s="80">
        <v>0.0015340380902850077</v>
      </c>
      <c r="Y220" s="80">
        <v>0.001409095330777046</v>
      </c>
      <c r="Z220" s="80">
        <v>8.170810662710927E-4</v>
      </c>
      <c r="AA220" s="80">
        <v>9.348196016463602E-4</v>
      </c>
      <c r="AB220" s="80">
        <v>0.03787368254680569</v>
      </c>
      <c r="AC220" s="80">
        <v>0.007369600495227324</v>
      </c>
      <c r="AD220" s="80">
        <v>0.0010011180120455133</v>
      </c>
      <c r="AF220" s="65">
        <v>17.0</v>
      </c>
      <c r="AG220" s="74">
        <v>0.0</v>
      </c>
      <c r="AH220" s="74">
        <v>0.0</v>
      </c>
      <c r="AI220" s="74">
        <v>0.0</v>
      </c>
      <c r="AJ220" s="74">
        <v>0.0</v>
      </c>
      <c r="AK220" s="74">
        <v>0.0</v>
      </c>
      <c r="AL220" s="74">
        <v>0.0</v>
      </c>
      <c r="AM220" s="74">
        <v>0.0</v>
      </c>
      <c r="AN220" s="74">
        <v>0.0</v>
      </c>
      <c r="AO220" s="74">
        <v>0.0</v>
      </c>
      <c r="AP220" s="74">
        <v>0.0</v>
      </c>
      <c r="AQ220" s="74">
        <v>0.0</v>
      </c>
      <c r="AR220" s="74">
        <v>0.0</v>
      </c>
      <c r="AS220" s="74">
        <v>0.0</v>
      </c>
      <c r="AT220" s="74">
        <v>0.0</v>
      </c>
      <c r="AU220" s="74">
        <v>0.0</v>
      </c>
      <c r="AV220" s="74">
        <v>0.0</v>
      </c>
      <c r="AW220" s="74">
        <v>0.0</v>
      </c>
      <c r="AX220" s="74">
        <v>0.0</v>
      </c>
      <c r="AY220" s="74">
        <v>0.0</v>
      </c>
      <c r="AZ220" s="74">
        <v>0.0</v>
      </c>
      <c r="BA220" s="74">
        <v>0.0</v>
      </c>
      <c r="BB220" s="74">
        <v>0.0</v>
      </c>
      <c r="BC220" s="74">
        <v>0.0</v>
      </c>
      <c r="BD220" s="74">
        <v>0.0</v>
      </c>
      <c r="BE220" s="74">
        <v>0.0</v>
      </c>
      <c r="BF220" s="74">
        <v>0.0</v>
      </c>
      <c r="BG220" s="74">
        <v>0.0</v>
      </c>
      <c r="BH220" s="74">
        <v>0.0</v>
      </c>
      <c r="BI220" s="9">
        <f t="shared" si="54"/>
        <v>0</v>
      </c>
    </row>
    <row r="221" ht="15.75" customHeight="1">
      <c r="B221" s="65">
        <v>21.0</v>
      </c>
      <c r="C221" s="80">
        <v>0.040248875068176405</v>
      </c>
      <c r="D221" s="80">
        <v>0.02835287456843526</v>
      </c>
      <c r="E221" s="80">
        <v>0.05498830439615872</v>
      </c>
      <c r="F221" s="80">
        <v>0.03195910777142754</v>
      </c>
      <c r="G221" s="80">
        <v>0.016072680433389327</v>
      </c>
      <c r="H221" s="80">
        <v>0.015842409729669153</v>
      </c>
      <c r="I221" s="80">
        <v>0.07568180894406577</v>
      </c>
      <c r="J221" s="80">
        <v>0.0746549097734196</v>
      </c>
      <c r="K221" s="80">
        <v>0.7558076644258432</v>
      </c>
      <c r="L221" s="80">
        <v>0.019326527809124652</v>
      </c>
      <c r="M221" s="80">
        <v>0.013476576716952049</v>
      </c>
      <c r="N221" s="80">
        <v>0.015233848841389347</v>
      </c>
      <c r="O221" s="80">
        <v>0.022183631079941604</v>
      </c>
      <c r="P221" s="80">
        <v>0.01193982262818992</v>
      </c>
      <c r="Q221" s="80">
        <v>0.03253601370903891</v>
      </c>
      <c r="R221" s="80">
        <v>0.041336047881472666</v>
      </c>
      <c r="S221" s="80">
        <v>0.029589185354982988</v>
      </c>
      <c r="T221" s="80">
        <v>0.04137408125689151</v>
      </c>
      <c r="U221" s="80">
        <v>0.03556009748061325</v>
      </c>
      <c r="V221" s="80">
        <v>0.03399168867182304</v>
      </c>
      <c r="W221" s="80">
        <v>1.1568165734149183</v>
      </c>
      <c r="X221" s="80">
        <v>0.12457763727643249</v>
      </c>
      <c r="Y221" s="80">
        <v>0.11324734484214072</v>
      </c>
      <c r="Z221" s="80">
        <v>0.044648269705974006</v>
      </c>
      <c r="AA221" s="80">
        <v>0.017302354021722654</v>
      </c>
      <c r="AB221" s="80">
        <v>0.03890423887110035</v>
      </c>
      <c r="AC221" s="80">
        <v>0.03479551641165755</v>
      </c>
      <c r="AD221" s="80">
        <v>0.019689795061733396</v>
      </c>
      <c r="AF221" s="65">
        <v>18.0</v>
      </c>
      <c r="AG221" s="74">
        <v>0.0</v>
      </c>
      <c r="AH221" s="74">
        <v>0.0</v>
      </c>
      <c r="AI221" s="74">
        <v>0.0</v>
      </c>
      <c r="AJ221" s="74">
        <v>0.0</v>
      </c>
      <c r="AK221" s="74">
        <v>0.0</v>
      </c>
      <c r="AL221" s="74">
        <v>0.0</v>
      </c>
      <c r="AM221" s="74">
        <v>0.0</v>
      </c>
      <c r="AN221" s="74">
        <v>0.0</v>
      </c>
      <c r="AO221" s="74">
        <v>0.0</v>
      </c>
      <c r="AP221" s="74">
        <v>0.0</v>
      </c>
      <c r="AQ221" s="74">
        <v>0.0</v>
      </c>
      <c r="AR221" s="74">
        <v>0.0</v>
      </c>
      <c r="AS221" s="74">
        <v>0.0</v>
      </c>
      <c r="AT221" s="74">
        <v>0.0</v>
      </c>
      <c r="AU221" s="74">
        <v>0.0</v>
      </c>
      <c r="AV221" s="74">
        <v>0.0</v>
      </c>
      <c r="AW221" s="74">
        <v>0.0</v>
      </c>
      <c r="AX221" s="74">
        <v>0.0</v>
      </c>
      <c r="AY221" s="74">
        <v>0.0</v>
      </c>
      <c r="AZ221" s="74">
        <v>0.0</v>
      </c>
      <c r="BA221" s="74">
        <v>0.0</v>
      </c>
      <c r="BB221" s="74">
        <v>0.0</v>
      </c>
      <c r="BC221" s="74">
        <v>0.0</v>
      </c>
      <c r="BD221" s="74">
        <v>0.0</v>
      </c>
      <c r="BE221" s="74">
        <v>0.0</v>
      </c>
      <c r="BF221" s="74">
        <v>0.0</v>
      </c>
      <c r="BG221" s="74">
        <v>0.0</v>
      </c>
      <c r="BH221" s="74">
        <v>0.0</v>
      </c>
      <c r="BI221" s="9">
        <f t="shared" si="54"/>
        <v>0</v>
      </c>
    </row>
    <row r="222" ht="15.75" customHeight="1">
      <c r="B222" s="65">
        <v>22.0</v>
      </c>
      <c r="C222" s="80">
        <v>0.3664968206702512</v>
      </c>
      <c r="D222" s="80">
        <v>0.25993957103096477</v>
      </c>
      <c r="E222" s="80">
        <v>0.2230815770830053</v>
      </c>
      <c r="F222" s="80">
        <v>0.25175763311267785</v>
      </c>
      <c r="G222" s="80">
        <v>0.09256337247374816</v>
      </c>
      <c r="H222" s="80">
        <v>0.0966261138344867</v>
      </c>
      <c r="I222" s="80">
        <v>0.10405962328400407</v>
      </c>
      <c r="J222" s="80">
        <v>0.4428605422363313</v>
      </c>
      <c r="K222" s="80">
        <v>0.2645266527465928</v>
      </c>
      <c r="L222" s="80">
        <v>0.10392245881274781</v>
      </c>
      <c r="M222" s="80">
        <v>0.1080404063870194</v>
      </c>
      <c r="N222" s="80">
        <v>0.09026149357296441</v>
      </c>
      <c r="O222" s="80">
        <v>0.14176669796411207</v>
      </c>
      <c r="P222" s="80">
        <v>0.07475508308660543</v>
      </c>
      <c r="Q222" s="80">
        <v>0.2594747582166248</v>
      </c>
      <c r="R222" s="80">
        <v>0.38093880774725436</v>
      </c>
      <c r="S222" s="80">
        <v>0.22423919838681397</v>
      </c>
      <c r="T222" s="80">
        <v>0.32744878647607406</v>
      </c>
      <c r="U222" s="80">
        <v>0.28292678524714604</v>
      </c>
      <c r="V222" s="80">
        <v>0.3207836433775168</v>
      </c>
      <c r="W222" s="80">
        <v>0.2900535651302396</v>
      </c>
      <c r="X222" s="80">
        <v>1.7811430692930406</v>
      </c>
      <c r="Y222" s="80">
        <v>0.6057425967358128</v>
      </c>
      <c r="Z222" s="80">
        <v>0.22928450366723396</v>
      </c>
      <c r="AA222" s="80">
        <v>0.18379709783832318</v>
      </c>
      <c r="AB222" s="80">
        <v>0.3184918256494895</v>
      </c>
      <c r="AC222" s="80">
        <v>0.2687087626943674</v>
      </c>
      <c r="AD222" s="80">
        <v>0.16960327770468772</v>
      </c>
      <c r="AF222" s="65">
        <v>19.0</v>
      </c>
      <c r="AG222" s="74">
        <v>0.0</v>
      </c>
      <c r="AH222" s="74">
        <v>0.0</v>
      </c>
      <c r="AI222" s="74">
        <v>0.0</v>
      </c>
      <c r="AJ222" s="74">
        <v>0.0</v>
      </c>
      <c r="AK222" s="74">
        <v>0.0</v>
      </c>
      <c r="AL222" s="74">
        <v>0.0</v>
      </c>
      <c r="AM222" s="74">
        <v>0.0</v>
      </c>
      <c r="AN222" s="74">
        <v>0.0</v>
      </c>
      <c r="AO222" s="74">
        <v>0.0</v>
      </c>
      <c r="AP222" s="74">
        <v>0.0</v>
      </c>
      <c r="AQ222" s="74">
        <v>0.0</v>
      </c>
      <c r="AR222" s="74">
        <v>0.0</v>
      </c>
      <c r="AS222" s="74">
        <v>0.0</v>
      </c>
      <c r="AT222" s="74">
        <v>0.0</v>
      </c>
      <c r="AU222" s="74">
        <v>0.0</v>
      </c>
      <c r="AV222" s="74">
        <v>0.0</v>
      </c>
      <c r="AW222" s="74">
        <v>0.0</v>
      </c>
      <c r="AX222" s="74">
        <v>0.0</v>
      </c>
      <c r="AY222" s="74">
        <v>0.0</v>
      </c>
      <c r="AZ222" s="74">
        <v>0.0</v>
      </c>
      <c r="BA222" s="74">
        <v>0.0</v>
      </c>
      <c r="BB222" s="74">
        <v>0.0</v>
      </c>
      <c r="BC222" s="74">
        <v>0.0</v>
      </c>
      <c r="BD222" s="74">
        <v>0.0</v>
      </c>
      <c r="BE222" s="74">
        <v>0.0</v>
      </c>
      <c r="BF222" s="74">
        <v>0.0</v>
      </c>
      <c r="BG222" s="74">
        <v>0.0</v>
      </c>
      <c r="BH222" s="74">
        <v>0.0</v>
      </c>
      <c r="BI222" s="9">
        <f t="shared" si="54"/>
        <v>0</v>
      </c>
    </row>
    <row r="223" ht="15.75" customHeight="1">
      <c r="B223" s="65">
        <v>23.0</v>
      </c>
      <c r="C223" s="80">
        <v>0.0068076524242475945</v>
      </c>
      <c r="D223" s="80">
        <v>0.005057952599892338</v>
      </c>
      <c r="E223" s="80">
        <v>0.013589530139547907</v>
      </c>
      <c r="F223" s="80">
        <v>0.0035127129260367033</v>
      </c>
      <c r="G223" s="80">
        <v>0.004999905027361502</v>
      </c>
      <c r="H223" s="80">
        <v>6.859182975816557E-4</v>
      </c>
      <c r="I223" s="80">
        <v>9.09943729464299E-4</v>
      </c>
      <c r="J223" s="80">
        <v>0.0026282574285501014</v>
      </c>
      <c r="K223" s="80">
        <v>0.004839836862159052</v>
      </c>
      <c r="L223" s="80">
        <v>8.055065544329632E-4</v>
      </c>
      <c r="M223" s="80">
        <v>7.620654128746405E-4</v>
      </c>
      <c r="N223" s="80">
        <v>6.652327632197427E-4</v>
      </c>
      <c r="O223" s="80">
        <v>8.465445211491428E-4</v>
      </c>
      <c r="P223" s="80">
        <v>0.0016169676771187645</v>
      </c>
      <c r="Q223" s="80">
        <v>0.09703757772635338</v>
      </c>
      <c r="R223" s="80">
        <v>0.019096653207918046</v>
      </c>
      <c r="S223" s="80">
        <v>0.011612254152955529</v>
      </c>
      <c r="T223" s="80">
        <v>0.00797126396768924</v>
      </c>
      <c r="U223" s="80">
        <v>0.032259299896600646</v>
      </c>
      <c r="V223" s="80">
        <v>0.0023672260168637526</v>
      </c>
      <c r="W223" s="80">
        <v>0.005956034962934241</v>
      </c>
      <c r="X223" s="80">
        <v>0.005592635090923673</v>
      </c>
      <c r="Y223" s="80">
        <v>1.1939477947676502</v>
      </c>
      <c r="Z223" s="80">
        <v>0.0019942411390067093</v>
      </c>
      <c r="AA223" s="80">
        <v>0.0018278087336758746</v>
      </c>
      <c r="AB223" s="80">
        <v>0.0024435997973983954</v>
      </c>
      <c r="AC223" s="80">
        <v>0.0028960743826273515</v>
      </c>
      <c r="AD223" s="80">
        <v>0.004660389980898806</v>
      </c>
      <c r="AF223" s="65">
        <v>20.0</v>
      </c>
      <c r="AG223" s="74">
        <v>0.0</v>
      </c>
      <c r="AH223" s="74">
        <v>0.0</v>
      </c>
      <c r="AI223" s="74">
        <v>0.0</v>
      </c>
      <c r="AJ223" s="74">
        <v>0.0</v>
      </c>
      <c r="AK223" s="74">
        <v>0.0</v>
      </c>
      <c r="AL223" s="74">
        <v>0.0</v>
      </c>
      <c r="AM223" s="74">
        <v>0.0</v>
      </c>
      <c r="AN223" s="74">
        <v>0.0</v>
      </c>
      <c r="AO223" s="74">
        <v>0.0</v>
      </c>
      <c r="AP223" s="74">
        <v>0.0</v>
      </c>
      <c r="AQ223" s="74">
        <v>0.0</v>
      </c>
      <c r="AR223" s="74">
        <v>0.0</v>
      </c>
      <c r="AS223" s="74">
        <v>0.0</v>
      </c>
      <c r="AT223" s="74">
        <v>0.0</v>
      </c>
      <c r="AU223" s="74">
        <v>0.0</v>
      </c>
      <c r="AV223" s="74">
        <v>0.0</v>
      </c>
      <c r="AW223" s="74">
        <v>0.0</v>
      </c>
      <c r="AX223" s="74">
        <v>0.0</v>
      </c>
      <c r="AY223" s="74">
        <v>0.0</v>
      </c>
      <c r="AZ223" s="74">
        <v>0.0</v>
      </c>
      <c r="BA223" s="74">
        <v>0.0</v>
      </c>
      <c r="BB223" s="74">
        <v>0.0</v>
      </c>
      <c r="BC223" s="74">
        <v>0.0</v>
      </c>
      <c r="BD223" s="74">
        <v>0.0</v>
      </c>
      <c r="BE223" s="74">
        <v>0.0</v>
      </c>
      <c r="BF223" s="74">
        <v>0.0</v>
      </c>
      <c r="BG223" s="74">
        <v>0.0</v>
      </c>
      <c r="BH223" s="74">
        <v>0.0</v>
      </c>
      <c r="BI223" s="9">
        <f t="shared" si="54"/>
        <v>0</v>
      </c>
    </row>
    <row r="224" ht="15.75" customHeight="1">
      <c r="B224" s="65">
        <v>24.0</v>
      </c>
      <c r="C224" s="80">
        <v>0.08951866542704946</v>
      </c>
      <c r="D224" s="80">
        <v>0.12629886133195484</v>
      </c>
      <c r="E224" s="80">
        <v>0.11323647257821405</v>
      </c>
      <c r="F224" s="80">
        <v>0.19818559178040604</v>
      </c>
      <c r="G224" s="80">
        <v>0.06700710489285565</v>
      </c>
      <c r="H224" s="80">
        <v>0.055084229507381614</v>
      </c>
      <c r="I224" s="80">
        <v>0.07332199605152956</v>
      </c>
      <c r="J224" s="80">
        <v>0.13992806631739532</v>
      </c>
      <c r="K224" s="80">
        <v>0.2443542351586897</v>
      </c>
      <c r="L224" s="80">
        <v>0.08974648064108381</v>
      </c>
      <c r="M224" s="80">
        <v>0.04698671820778235</v>
      </c>
      <c r="N224" s="80">
        <v>0.05625302360825479</v>
      </c>
      <c r="O224" s="80">
        <v>0.06224769290844363</v>
      </c>
      <c r="P224" s="80">
        <v>0.040024093329652406</v>
      </c>
      <c r="Q224" s="80">
        <v>0.1774495067027496</v>
      </c>
      <c r="R224" s="80">
        <v>0.36388112735912964</v>
      </c>
      <c r="S224" s="80">
        <v>0.22413450890465572</v>
      </c>
      <c r="T224" s="80">
        <v>0.3096685986424127</v>
      </c>
      <c r="U224" s="80">
        <v>0.24962549159505523</v>
      </c>
      <c r="V224" s="80">
        <v>0.20377799721393042</v>
      </c>
      <c r="W224" s="80">
        <v>0.17671779476025215</v>
      </c>
      <c r="X224" s="80">
        <v>0.27134800620152827</v>
      </c>
      <c r="Y224" s="80">
        <v>0.4241173944276438</v>
      </c>
      <c r="Z224" s="80">
        <v>1.2542300776295998</v>
      </c>
      <c r="AA224" s="80">
        <v>0.13096324110892524</v>
      </c>
      <c r="AB224" s="80">
        <v>0.20355093450568265</v>
      </c>
      <c r="AC224" s="80">
        <v>0.17980877799944747</v>
      </c>
      <c r="AD224" s="80">
        <v>0.20757197684334913</v>
      </c>
      <c r="AF224" s="65">
        <v>21.0</v>
      </c>
      <c r="AG224" s="74">
        <v>0.0</v>
      </c>
      <c r="AH224" s="74">
        <v>0.0</v>
      </c>
      <c r="AI224" s="74">
        <v>0.0</v>
      </c>
      <c r="AJ224" s="74">
        <v>0.0</v>
      </c>
      <c r="AK224" s="74">
        <v>0.0</v>
      </c>
      <c r="AL224" s="74">
        <v>0.0</v>
      </c>
      <c r="AM224" s="74">
        <v>0.0</v>
      </c>
      <c r="AN224" s="74">
        <v>0.0</v>
      </c>
      <c r="AO224" s="74">
        <v>0.0</v>
      </c>
      <c r="AP224" s="74">
        <v>0.0</v>
      </c>
      <c r="AQ224" s="74">
        <v>0.0</v>
      </c>
      <c r="AR224" s="74">
        <v>0.0</v>
      </c>
      <c r="AS224" s="74">
        <v>0.0</v>
      </c>
      <c r="AT224" s="74">
        <v>0.0</v>
      </c>
      <c r="AU224" s="74">
        <v>0.0</v>
      </c>
      <c r="AV224" s="74">
        <v>0.0</v>
      </c>
      <c r="AW224" s="74">
        <v>0.0</v>
      </c>
      <c r="AX224" s="74">
        <v>0.0</v>
      </c>
      <c r="AY224" s="74">
        <v>0.0</v>
      </c>
      <c r="AZ224" s="74">
        <v>0.0</v>
      </c>
      <c r="BA224" s="74">
        <v>0.0</v>
      </c>
      <c r="BB224" s="74">
        <v>0.0</v>
      </c>
      <c r="BC224" s="74">
        <v>0.0</v>
      </c>
      <c r="BD224" s="74">
        <v>0.0</v>
      </c>
      <c r="BE224" s="74">
        <v>0.0</v>
      </c>
      <c r="BF224" s="74">
        <v>0.0</v>
      </c>
      <c r="BG224" s="74">
        <v>0.0</v>
      </c>
      <c r="BH224" s="74">
        <v>0.0</v>
      </c>
      <c r="BI224" s="9">
        <f t="shared" si="54"/>
        <v>0</v>
      </c>
    </row>
    <row r="225" ht="15.75" customHeight="1">
      <c r="B225" s="65">
        <v>25.0</v>
      </c>
      <c r="C225" s="80">
        <v>0.07300137040603885</v>
      </c>
      <c r="D225" s="80">
        <v>0.1001422832371184</v>
      </c>
      <c r="E225" s="80">
        <v>0.07984578785315959</v>
      </c>
      <c r="F225" s="80">
        <v>0.16386994569810415</v>
      </c>
      <c r="G225" s="80">
        <v>0.04647069603485154</v>
      </c>
      <c r="H225" s="80">
        <v>0.04064946589469246</v>
      </c>
      <c r="I225" s="80">
        <v>0.043678556877921784</v>
      </c>
      <c r="J225" s="80">
        <v>0.10790823706643357</v>
      </c>
      <c r="K225" s="80">
        <v>0.16196467614032023</v>
      </c>
      <c r="L225" s="80">
        <v>0.05916345897591765</v>
      </c>
      <c r="M225" s="80">
        <v>0.07114345227389136</v>
      </c>
      <c r="N225" s="80">
        <v>0.04022702271074913</v>
      </c>
      <c r="O225" s="80">
        <v>0.04269728542506369</v>
      </c>
      <c r="P225" s="80">
        <v>0.03348169741463868</v>
      </c>
      <c r="Q225" s="80">
        <v>0.13866581633668265</v>
      </c>
      <c r="R225" s="80">
        <v>0.22761880306321539</v>
      </c>
      <c r="S225" s="80">
        <v>0.13880447594980908</v>
      </c>
      <c r="T225" s="80">
        <v>0.18482593083224239</v>
      </c>
      <c r="U225" s="80">
        <v>0.18312633699649766</v>
      </c>
      <c r="V225" s="80">
        <v>0.3147043984853178</v>
      </c>
      <c r="W225" s="80">
        <v>0.1756251802389786</v>
      </c>
      <c r="X225" s="80">
        <v>0.22688944764341368</v>
      </c>
      <c r="Y225" s="80">
        <v>0.28002764064423696</v>
      </c>
      <c r="Z225" s="80">
        <v>0.20451641096983134</v>
      </c>
      <c r="AA225" s="80">
        <v>1.3170301530341302</v>
      </c>
      <c r="AB225" s="80">
        <v>0.28864720767284135</v>
      </c>
      <c r="AC225" s="80">
        <v>0.22393445632114473</v>
      </c>
      <c r="AD225" s="80">
        <v>0.20871416256170083</v>
      </c>
      <c r="AF225" s="65">
        <v>22.0</v>
      </c>
      <c r="AG225" s="74">
        <v>0.0</v>
      </c>
      <c r="AH225" s="74">
        <v>0.0</v>
      </c>
      <c r="AI225" s="74">
        <v>0.0</v>
      </c>
      <c r="AJ225" s="74">
        <v>0.0</v>
      </c>
      <c r="AK225" s="74">
        <v>0.0</v>
      </c>
      <c r="AL225" s="74">
        <v>0.0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0.0</v>
      </c>
      <c r="AT225" s="74">
        <v>0.0</v>
      </c>
      <c r="AU225" s="74">
        <v>0.0</v>
      </c>
      <c r="AV225" s="74">
        <v>0.0</v>
      </c>
      <c r="AW225" s="74">
        <v>0.0</v>
      </c>
      <c r="AX225" s="74">
        <v>0.0</v>
      </c>
      <c r="AY225" s="74">
        <v>0.0</v>
      </c>
      <c r="AZ225" s="74">
        <v>0.0</v>
      </c>
      <c r="BA225" s="74">
        <v>0.0</v>
      </c>
      <c r="BB225" s="74">
        <v>0.0</v>
      </c>
      <c r="BC225" s="74">
        <v>0.0</v>
      </c>
      <c r="BD225" s="74">
        <v>0.0</v>
      </c>
      <c r="BE225" s="74">
        <v>0.0</v>
      </c>
      <c r="BF225" s="74">
        <v>0.0</v>
      </c>
      <c r="BG225" s="74">
        <v>0.0</v>
      </c>
      <c r="BH225" s="74">
        <v>0.0</v>
      </c>
      <c r="BI225" s="9">
        <f t="shared" si="54"/>
        <v>0</v>
      </c>
    </row>
    <row r="226" ht="15.75" customHeight="1">
      <c r="B226" s="65">
        <v>26.0</v>
      </c>
      <c r="C226" s="80">
        <v>0.0011284847889527052</v>
      </c>
      <c r="D226" s="80">
        <v>0.0011955992223478833</v>
      </c>
      <c r="E226" s="80">
        <v>0.00113261994223297</v>
      </c>
      <c r="F226" s="80">
        <v>0.001566063122281839</v>
      </c>
      <c r="G226" s="80">
        <v>6.435140644462527E-4</v>
      </c>
      <c r="H226" s="80">
        <v>0.004889824000803007</v>
      </c>
      <c r="I226" s="80">
        <v>5.894443012729413E-4</v>
      </c>
      <c r="J226" s="80">
        <v>0.0021698406547916967</v>
      </c>
      <c r="K226" s="80">
        <v>0.0023307066120049342</v>
      </c>
      <c r="L226" s="80">
        <v>7.883801924711759E-4</v>
      </c>
      <c r="M226" s="80">
        <v>6.366973069226971E-4</v>
      </c>
      <c r="N226" s="80">
        <v>0.005896335927893105</v>
      </c>
      <c r="O226" s="80">
        <v>7.375520584329816E-4</v>
      </c>
      <c r="P226" s="80">
        <v>4.3846527431572993E-4</v>
      </c>
      <c r="Q226" s="80">
        <v>0.0018990169499008985</v>
      </c>
      <c r="R226" s="80">
        <v>0.003566131929417863</v>
      </c>
      <c r="S226" s="80">
        <v>0.00288415942443382</v>
      </c>
      <c r="T226" s="80">
        <v>0.004344460033095611</v>
      </c>
      <c r="U226" s="80">
        <v>0.0030336302196537135</v>
      </c>
      <c r="V226" s="80">
        <v>0.08926253149004773</v>
      </c>
      <c r="W226" s="80">
        <v>0.002782069783764955</v>
      </c>
      <c r="X226" s="80">
        <v>0.0036330930367204075</v>
      </c>
      <c r="Y226" s="80">
        <v>0.0035616663681900113</v>
      </c>
      <c r="Z226" s="80">
        <v>0.0022380782448794194</v>
      </c>
      <c r="AA226" s="80">
        <v>0.0026090001030101614</v>
      </c>
      <c r="AB226" s="80">
        <v>1.0958362817948426</v>
      </c>
      <c r="AC226" s="80">
        <v>0.014907249267136225</v>
      </c>
      <c r="AD226" s="80">
        <v>0.003199288652784484</v>
      </c>
      <c r="AF226" s="65">
        <v>23.0</v>
      </c>
      <c r="AG226" s="74">
        <v>0.0</v>
      </c>
      <c r="AH226" s="74">
        <v>0.0</v>
      </c>
      <c r="AI226" s="74">
        <v>0.0</v>
      </c>
      <c r="AJ226" s="74">
        <v>0.0</v>
      </c>
      <c r="AK226" s="74">
        <v>0.0</v>
      </c>
      <c r="AL226" s="74">
        <v>0.0</v>
      </c>
      <c r="AM226" s="74">
        <v>0.0</v>
      </c>
      <c r="AN226" s="74">
        <v>0.0</v>
      </c>
      <c r="AO226" s="74">
        <v>0.0</v>
      </c>
      <c r="AP226" s="74">
        <v>0.0</v>
      </c>
      <c r="AQ226" s="74">
        <v>0.0</v>
      </c>
      <c r="AR226" s="74">
        <v>0.0</v>
      </c>
      <c r="AS226" s="74">
        <v>0.0</v>
      </c>
      <c r="AT226" s="74">
        <v>0.0</v>
      </c>
      <c r="AU226" s="74">
        <v>0.0</v>
      </c>
      <c r="AV226" s="74">
        <v>0.0</v>
      </c>
      <c r="AW226" s="74">
        <v>0.0</v>
      </c>
      <c r="AX226" s="74">
        <v>0.0</v>
      </c>
      <c r="AY226" s="74">
        <v>0.0</v>
      </c>
      <c r="AZ226" s="74">
        <v>0.0</v>
      </c>
      <c r="BA226" s="74">
        <v>0.0</v>
      </c>
      <c r="BB226" s="74">
        <v>0.0</v>
      </c>
      <c r="BC226" s="74">
        <v>0.0</v>
      </c>
      <c r="BD226" s="74">
        <v>0.0</v>
      </c>
      <c r="BE226" s="74">
        <v>0.0</v>
      </c>
      <c r="BF226" s="74">
        <v>0.0</v>
      </c>
      <c r="BG226" s="74">
        <v>0.0</v>
      </c>
      <c r="BH226" s="74">
        <v>0.0</v>
      </c>
      <c r="BI226" s="9">
        <f t="shared" si="54"/>
        <v>0</v>
      </c>
    </row>
    <row r="227" ht="15.75" customHeight="1">
      <c r="B227" s="65">
        <v>27.0</v>
      </c>
      <c r="C227" s="80">
        <v>4.7276689338041344E-4</v>
      </c>
      <c r="D227" s="80">
        <v>5.517084995974381E-4</v>
      </c>
      <c r="E227" s="80">
        <v>6.587366866958553E-4</v>
      </c>
      <c r="F227" s="80">
        <v>7.135645727719076E-4</v>
      </c>
      <c r="G227" s="80">
        <v>3.591433925165713E-4</v>
      </c>
      <c r="H227" s="80">
        <v>6.625766223746114E-4</v>
      </c>
      <c r="I227" s="80">
        <v>2.7117284374317924E-4</v>
      </c>
      <c r="J227" s="80">
        <v>6.490921501543074E-4</v>
      </c>
      <c r="K227" s="80">
        <v>0.001166027864828296</v>
      </c>
      <c r="L227" s="80">
        <v>4.1192975584067857E-4</v>
      </c>
      <c r="M227" s="80">
        <v>2.6543008879360966E-4</v>
      </c>
      <c r="N227" s="80">
        <v>6.964414383638227E-4</v>
      </c>
      <c r="O227" s="80">
        <v>2.4156911628811807E-4</v>
      </c>
      <c r="P227" s="80">
        <v>2.032928183793918E-4</v>
      </c>
      <c r="Q227" s="80">
        <v>0.002287275185441764</v>
      </c>
      <c r="R227" s="80">
        <v>0.002512539978055396</v>
      </c>
      <c r="S227" s="80">
        <v>0.0013637464601592459</v>
      </c>
      <c r="T227" s="80">
        <v>0.001780140260910384</v>
      </c>
      <c r="U227" s="80">
        <v>0.00197669608721509</v>
      </c>
      <c r="V227" s="80">
        <v>0.01084528937641099</v>
      </c>
      <c r="W227" s="80">
        <v>0.001402858726522401</v>
      </c>
      <c r="X227" s="80">
        <v>0.0015799735103023923</v>
      </c>
      <c r="Y227" s="80">
        <v>0.002989389120125994</v>
      </c>
      <c r="Z227" s="80">
        <v>0.001154154029195711</v>
      </c>
      <c r="AA227" s="80">
        <v>0.0013470269101075035</v>
      </c>
      <c r="AB227" s="80">
        <v>0.009983506430134426</v>
      </c>
      <c r="AC227" s="80">
        <v>1.0481970313491948</v>
      </c>
      <c r="AD227" s="80">
        <v>0.0019832805822384975</v>
      </c>
      <c r="AF227" s="65">
        <v>24.0</v>
      </c>
      <c r="AG227" s="74">
        <v>0.0</v>
      </c>
      <c r="AH227" s="74">
        <v>0.0</v>
      </c>
      <c r="AI227" s="74">
        <v>0.0</v>
      </c>
      <c r="AJ227" s="74">
        <v>0.0</v>
      </c>
      <c r="AK227" s="74">
        <v>0.0</v>
      </c>
      <c r="AL227" s="74">
        <v>0.0</v>
      </c>
      <c r="AM227" s="74">
        <v>0.0</v>
      </c>
      <c r="AN227" s="74">
        <v>0.0</v>
      </c>
      <c r="AO227" s="74">
        <v>0.0</v>
      </c>
      <c r="AP227" s="74">
        <v>0.0</v>
      </c>
      <c r="AQ227" s="74">
        <v>0.0</v>
      </c>
      <c r="AR227" s="74">
        <v>0.0</v>
      </c>
      <c r="AS227" s="74">
        <v>0.0</v>
      </c>
      <c r="AT227" s="74">
        <v>0.0</v>
      </c>
      <c r="AU227" s="74">
        <v>0.0</v>
      </c>
      <c r="AV227" s="74">
        <v>0.0</v>
      </c>
      <c r="AW227" s="74">
        <v>0.0</v>
      </c>
      <c r="AX227" s="74">
        <v>0.0</v>
      </c>
      <c r="AY227" s="74">
        <v>0.0</v>
      </c>
      <c r="AZ227" s="74">
        <v>0.0</v>
      </c>
      <c r="BA227" s="74">
        <v>0.0</v>
      </c>
      <c r="BB227" s="74">
        <v>0.0</v>
      </c>
      <c r="BC227" s="74">
        <v>0.0</v>
      </c>
      <c r="BD227" s="74">
        <v>0.0</v>
      </c>
      <c r="BE227" s="74">
        <v>0.0</v>
      </c>
      <c r="BF227" s="74">
        <v>0.0</v>
      </c>
      <c r="BG227" s="74">
        <v>0.0</v>
      </c>
      <c r="BH227" s="74">
        <v>0.0</v>
      </c>
      <c r="BI227" s="9">
        <f t="shared" si="54"/>
        <v>0</v>
      </c>
    </row>
    <row r="228" ht="15.75" customHeight="1">
      <c r="B228" s="65">
        <v>28.0</v>
      </c>
      <c r="C228" s="80">
        <v>0.009251004598022831</v>
      </c>
      <c r="D228" s="80">
        <v>0.01353014409780259</v>
      </c>
      <c r="E228" s="80">
        <v>0.009785694167268188</v>
      </c>
      <c r="F228" s="80">
        <v>0.01513705734917381</v>
      </c>
      <c r="G228" s="80">
        <v>0.005874686443318531</v>
      </c>
      <c r="H228" s="80">
        <v>0.008645435074450453</v>
      </c>
      <c r="I228" s="80">
        <v>0.006020316747159058</v>
      </c>
      <c r="J228" s="80">
        <v>0.01165837709060687</v>
      </c>
      <c r="K228" s="80">
        <v>0.011927062939250001</v>
      </c>
      <c r="L228" s="80">
        <v>0.01837402191802559</v>
      </c>
      <c r="M228" s="80">
        <v>0.03534972064354687</v>
      </c>
      <c r="N228" s="80">
        <v>0.008644556220131253</v>
      </c>
      <c r="O228" s="80">
        <v>0.0076838314928870536</v>
      </c>
      <c r="P228" s="80">
        <v>0.007385440109931323</v>
      </c>
      <c r="Q228" s="80">
        <v>0.008775719795587781</v>
      </c>
      <c r="R228" s="80">
        <v>0.016245406747870707</v>
      </c>
      <c r="S228" s="80">
        <v>0.009137540324963458</v>
      </c>
      <c r="T228" s="80">
        <v>0.014613697519489523</v>
      </c>
      <c r="U228" s="80">
        <v>0.011041216105215098</v>
      </c>
      <c r="V228" s="80">
        <v>0.014731140582825257</v>
      </c>
      <c r="W228" s="80">
        <v>0.010954815098944705</v>
      </c>
      <c r="X228" s="80">
        <v>0.01619431505103098</v>
      </c>
      <c r="Y228" s="80">
        <v>0.019339968004399664</v>
      </c>
      <c r="Z228" s="80">
        <v>0.017233981032173502</v>
      </c>
      <c r="AA228" s="80">
        <v>0.021022205277842744</v>
      </c>
      <c r="AB228" s="80">
        <v>0.01594648665612761</v>
      </c>
      <c r="AC228" s="80">
        <v>0.011219408178072997</v>
      </c>
      <c r="AD228" s="80">
        <v>1.0163167735650271</v>
      </c>
      <c r="AF228" s="65">
        <v>25.0</v>
      </c>
      <c r="AG228" s="74">
        <v>0.0</v>
      </c>
      <c r="AH228" s="74">
        <v>0.0</v>
      </c>
      <c r="AI228" s="74">
        <v>0.0</v>
      </c>
      <c r="AJ228" s="74">
        <v>0.0</v>
      </c>
      <c r="AK228" s="74">
        <v>0.0</v>
      </c>
      <c r="AL228" s="74">
        <v>0.0</v>
      </c>
      <c r="AM228" s="74">
        <v>0.0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0.0</v>
      </c>
      <c r="AT228" s="74">
        <v>0.0</v>
      </c>
      <c r="AU228" s="74">
        <v>0.0</v>
      </c>
      <c r="AV228" s="74">
        <v>0.0</v>
      </c>
      <c r="AW228" s="74">
        <v>0.0</v>
      </c>
      <c r="AX228" s="74">
        <v>0.0</v>
      </c>
      <c r="AY228" s="74">
        <v>0.0</v>
      </c>
      <c r="AZ228" s="74">
        <v>0.0</v>
      </c>
      <c r="BA228" s="74">
        <v>0.0</v>
      </c>
      <c r="BB228" s="74">
        <v>0.0</v>
      </c>
      <c r="BC228" s="74">
        <v>0.0</v>
      </c>
      <c r="BD228" s="74">
        <v>0.0</v>
      </c>
      <c r="BE228" s="74">
        <v>0.0</v>
      </c>
      <c r="BF228" s="74">
        <v>0.0</v>
      </c>
      <c r="BG228" s="74">
        <v>0.0</v>
      </c>
      <c r="BH228" s="74">
        <v>0.0</v>
      </c>
      <c r="BI228" s="9">
        <f t="shared" si="54"/>
        <v>0</v>
      </c>
    </row>
    <row r="229" ht="15.75" customHeight="1">
      <c r="AF229" s="65">
        <v>26.0</v>
      </c>
      <c r="AG229" s="74">
        <v>0.0</v>
      </c>
      <c r="AH229" s="74">
        <v>0.0</v>
      </c>
      <c r="AI229" s="74">
        <v>0.0</v>
      </c>
      <c r="AJ229" s="74">
        <v>0.0</v>
      </c>
      <c r="AK229" s="74">
        <v>0.0</v>
      </c>
      <c r="AL229" s="74">
        <v>0.0</v>
      </c>
      <c r="AM229" s="74">
        <v>0.0</v>
      </c>
      <c r="AN229" s="74">
        <v>0.0</v>
      </c>
      <c r="AO229" s="74">
        <v>0.0</v>
      </c>
      <c r="AP229" s="74">
        <v>0.0</v>
      </c>
      <c r="AQ229" s="74">
        <v>0.0</v>
      </c>
      <c r="AR229" s="74">
        <v>0.0</v>
      </c>
      <c r="AS229" s="74">
        <v>0.0</v>
      </c>
      <c r="AT229" s="74">
        <v>0.0</v>
      </c>
      <c r="AU229" s="74">
        <v>0.0</v>
      </c>
      <c r="AV229" s="74">
        <v>0.0</v>
      </c>
      <c r="AW229" s="74">
        <v>0.0</v>
      </c>
      <c r="AX229" s="74">
        <v>0.0</v>
      </c>
      <c r="AY229" s="74">
        <v>0.0</v>
      </c>
      <c r="AZ229" s="74">
        <v>0.0</v>
      </c>
      <c r="BA229" s="74">
        <v>0.0</v>
      </c>
      <c r="BB229" s="74">
        <v>0.0</v>
      </c>
      <c r="BC229" s="74">
        <v>0.0</v>
      </c>
      <c r="BD229" s="74">
        <v>0.0</v>
      </c>
      <c r="BE229" s="74">
        <v>0.0</v>
      </c>
      <c r="BF229" s="74">
        <v>0.0</v>
      </c>
      <c r="BG229" s="74">
        <v>0.0</v>
      </c>
      <c r="BH229" s="74">
        <v>0.0</v>
      </c>
      <c r="BI229" s="9">
        <f t="shared" si="54"/>
        <v>0</v>
      </c>
    </row>
    <row r="230" ht="15.75" customHeight="1">
      <c r="B230" s="81" t="s">
        <v>64</v>
      </c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F230" s="65">
        <v>27.0</v>
      </c>
      <c r="AG230" s="74">
        <v>0.0</v>
      </c>
      <c r="AH230" s="74">
        <v>0.0</v>
      </c>
      <c r="AI230" s="74">
        <v>0.0</v>
      </c>
      <c r="AJ230" s="74">
        <v>0.0</v>
      </c>
      <c r="AK230" s="74">
        <v>0.0</v>
      </c>
      <c r="AL230" s="74">
        <v>0.0</v>
      </c>
      <c r="AM230" s="74">
        <v>0.0</v>
      </c>
      <c r="AN230" s="74">
        <v>0.0</v>
      </c>
      <c r="AO230" s="74">
        <v>0.0</v>
      </c>
      <c r="AP230" s="74">
        <v>0.0</v>
      </c>
      <c r="AQ230" s="74">
        <v>0.0</v>
      </c>
      <c r="AR230" s="74">
        <v>0.0</v>
      </c>
      <c r="AS230" s="74">
        <v>0.0</v>
      </c>
      <c r="AT230" s="74">
        <v>0.0</v>
      </c>
      <c r="AU230" s="74">
        <v>0.0</v>
      </c>
      <c r="AV230" s="74">
        <v>0.0</v>
      </c>
      <c r="AW230" s="74">
        <v>0.0</v>
      </c>
      <c r="AX230" s="74">
        <v>0.0</v>
      </c>
      <c r="AY230" s="74">
        <v>0.0</v>
      </c>
      <c r="AZ230" s="74">
        <v>0.0</v>
      </c>
      <c r="BA230" s="74">
        <v>0.0</v>
      </c>
      <c r="BB230" s="74">
        <v>0.0</v>
      </c>
      <c r="BC230" s="74">
        <v>0.0</v>
      </c>
      <c r="BD230" s="74">
        <v>0.0</v>
      </c>
      <c r="BE230" s="74">
        <v>0.0</v>
      </c>
      <c r="BF230" s="74">
        <v>0.0</v>
      </c>
      <c r="BG230" s="74">
        <v>0.0</v>
      </c>
      <c r="BH230" s="74">
        <v>0.0</v>
      </c>
      <c r="BI230" s="9">
        <f t="shared" si="54"/>
        <v>0</v>
      </c>
    </row>
    <row r="231" ht="15.75" customHeight="1">
      <c r="B231" s="64"/>
      <c r="C231" s="65">
        <v>1.0</v>
      </c>
      <c r="D231" s="65">
        <v>2.0</v>
      </c>
      <c r="E231" s="65">
        <v>3.0</v>
      </c>
      <c r="F231" s="65">
        <v>4.0</v>
      </c>
      <c r="G231" s="65">
        <v>5.0</v>
      </c>
      <c r="H231" s="65">
        <v>6.0</v>
      </c>
      <c r="I231" s="65">
        <v>7.0</v>
      </c>
      <c r="J231" s="65">
        <v>8.0</v>
      </c>
      <c r="K231" s="65">
        <v>9.0</v>
      </c>
      <c r="L231" s="65">
        <v>10.0</v>
      </c>
      <c r="M231" s="65">
        <v>11.0</v>
      </c>
      <c r="N231" s="65">
        <v>12.0</v>
      </c>
      <c r="O231" s="65">
        <v>13.0</v>
      </c>
      <c r="P231" s="65">
        <v>14.0</v>
      </c>
      <c r="Q231" s="65">
        <v>15.0</v>
      </c>
      <c r="R231" s="65">
        <v>16.0</v>
      </c>
      <c r="S231" s="65">
        <v>17.0</v>
      </c>
      <c r="T231" s="65">
        <v>18.0</v>
      </c>
      <c r="U231" s="65">
        <v>19.0</v>
      </c>
      <c r="V231" s="65">
        <v>20.0</v>
      </c>
      <c r="W231" s="65">
        <v>21.0</v>
      </c>
      <c r="X231" s="65">
        <v>22.0</v>
      </c>
      <c r="Y231" s="65">
        <v>23.0</v>
      </c>
      <c r="Z231" s="65">
        <v>24.0</v>
      </c>
      <c r="AA231" s="65">
        <v>25.0</v>
      </c>
      <c r="AB231" s="65">
        <v>26.0</v>
      </c>
      <c r="AC231" s="65">
        <v>27.0</v>
      </c>
      <c r="AD231" s="65">
        <v>28.0</v>
      </c>
      <c r="AF231" s="75">
        <v>28.0</v>
      </c>
      <c r="AG231" s="74">
        <v>0.0</v>
      </c>
      <c r="AH231" s="74">
        <v>0.0</v>
      </c>
      <c r="AI231" s="74">
        <v>0.0</v>
      </c>
      <c r="AJ231" s="74">
        <v>0.0</v>
      </c>
      <c r="AK231" s="74">
        <v>0.0</v>
      </c>
      <c r="AL231" s="74">
        <v>0.0</v>
      </c>
      <c r="AM231" s="74">
        <v>0.0</v>
      </c>
      <c r="AN231" s="74">
        <v>0.0</v>
      </c>
      <c r="AO231" s="74">
        <v>0.0</v>
      </c>
      <c r="AP231" s="74">
        <v>0.0</v>
      </c>
      <c r="AQ231" s="74">
        <v>0.0</v>
      </c>
      <c r="AR231" s="74">
        <v>0.0</v>
      </c>
      <c r="AS231" s="74">
        <v>0.0</v>
      </c>
      <c r="AT231" s="74">
        <v>0.0</v>
      </c>
      <c r="AU231" s="74">
        <v>0.0</v>
      </c>
      <c r="AV231" s="74">
        <v>0.0</v>
      </c>
      <c r="AW231" s="74">
        <v>0.0</v>
      </c>
      <c r="AX231" s="74">
        <v>0.0</v>
      </c>
      <c r="AY231" s="74">
        <v>0.0</v>
      </c>
      <c r="AZ231" s="74">
        <v>0.0</v>
      </c>
      <c r="BA231" s="74">
        <v>0.0</v>
      </c>
      <c r="BB231" s="74">
        <v>0.0</v>
      </c>
      <c r="BC231" s="74">
        <v>0.0</v>
      </c>
      <c r="BD231" s="74">
        <v>0.0</v>
      </c>
      <c r="BE231" s="74">
        <v>0.0</v>
      </c>
      <c r="BF231" s="74">
        <v>0.0</v>
      </c>
      <c r="BG231" s="74">
        <v>0.0</v>
      </c>
      <c r="BH231" s="74">
        <v>0.0</v>
      </c>
      <c r="BI231" s="9">
        <f t="shared" si="54"/>
        <v>0</v>
      </c>
    </row>
    <row r="232" ht="15.75" customHeight="1">
      <c r="B232" s="65">
        <v>1.0</v>
      </c>
      <c r="C232" s="83">
        <f>$AU3</f>
        <v>1323.601448</v>
      </c>
      <c r="D232" s="83">
        <v>0.0</v>
      </c>
      <c r="E232" s="83">
        <v>0.0</v>
      </c>
      <c r="F232" s="83">
        <v>0.0</v>
      </c>
      <c r="G232" s="83">
        <v>0.0</v>
      </c>
      <c r="H232" s="83">
        <v>0.0</v>
      </c>
      <c r="I232" s="83">
        <v>0.0</v>
      </c>
      <c r="J232" s="83">
        <v>0.0</v>
      </c>
      <c r="K232" s="83">
        <v>0.0</v>
      </c>
      <c r="L232" s="83">
        <v>0.0</v>
      </c>
      <c r="M232" s="83">
        <v>0.0</v>
      </c>
      <c r="N232" s="83">
        <v>0.0</v>
      </c>
      <c r="O232" s="83">
        <v>0.0</v>
      </c>
      <c r="P232" s="83">
        <v>0.0</v>
      </c>
      <c r="Q232" s="83">
        <v>0.0</v>
      </c>
      <c r="R232" s="83">
        <v>0.0</v>
      </c>
      <c r="S232" s="83">
        <v>0.0</v>
      </c>
      <c r="T232" s="83">
        <v>0.0</v>
      </c>
      <c r="U232" s="83">
        <v>0.0</v>
      </c>
      <c r="V232" s="83">
        <v>0.0</v>
      </c>
      <c r="W232" s="83">
        <v>0.0</v>
      </c>
      <c r="X232" s="83">
        <v>0.0</v>
      </c>
      <c r="Y232" s="83">
        <v>0.0</v>
      </c>
      <c r="Z232" s="83">
        <v>0.0</v>
      </c>
      <c r="AA232" s="83">
        <v>0.0</v>
      </c>
      <c r="AB232" s="83">
        <v>0.0</v>
      </c>
      <c r="AC232" s="83">
        <v>0.0</v>
      </c>
      <c r="AD232" s="83">
        <v>0.0</v>
      </c>
      <c r="AF232" s="1" t="s">
        <v>0</v>
      </c>
      <c r="AG232" s="25" t="s">
        <v>1</v>
      </c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4"/>
      <c r="AU232" s="26" t="s">
        <v>2</v>
      </c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7"/>
    </row>
    <row r="233" ht="15.75" customHeight="1">
      <c r="B233" s="65">
        <v>2.0</v>
      </c>
      <c r="C233" s="83">
        <v>0.0</v>
      </c>
      <c r="D233" s="83">
        <f>$AU4</f>
        <v>3516.451761</v>
      </c>
      <c r="E233" s="83">
        <v>0.0</v>
      </c>
      <c r="F233" s="83">
        <v>0.0</v>
      </c>
      <c r="G233" s="83">
        <v>0.0</v>
      </c>
      <c r="H233" s="83">
        <v>0.0</v>
      </c>
      <c r="I233" s="83">
        <v>0.0</v>
      </c>
      <c r="J233" s="83">
        <v>0.0</v>
      </c>
      <c r="K233" s="83">
        <v>0.0</v>
      </c>
      <c r="L233" s="83">
        <v>0.0</v>
      </c>
      <c r="M233" s="83">
        <v>0.0</v>
      </c>
      <c r="N233" s="83">
        <v>0.0</v>
      </c>
      <c r="O233" s="83">
        <v>0.0</v>
      </c>
      <c r="P233" s="83">
        <v>0.0</v>
      </c>
      <c r="Q233" s="83">
        <v>0.0</v>
      </c>
      <c r="R233" s="83">
        <v>0.0</v>
      </c>
      <c r="S233" s="83">
        <v>0.0</v>
      </c>
      <c r="T233" s="83">
        <v>0.0</v>
      </c>
      <c r="U233" s="83">
        <v>0.0</v>
      </c>
      <c r="V233" s="83">
        <v>0.0</v>
      </c>
      <c r="W233" s="83">
        <v>0.0</v>
      </c>
      <c r="X233" s="83">
        <v>0.0</v>
      </c>
      <c r="Y233" s="83">
        <v>0.0</v>
      </c>
      <c r="Z233" s="83">
        <v>0.0</v>
      </c>
      <c r="AA233" s="83">
        <v>0.0</v>
      </c>
      <c r="AB233" s="83">
        <v>0.0</v>
      </c>
      <c r="AC233" s="83">
        <v>0.0</v>
      </c>
      <c r="AD233" s="83">
        <v>0.0</v>
      </c>
      <c r="AF233" s="1" t="s">
        <v>3</v>
      </c>
      <c r="AG233" s="15" t="s">
        <v>4</v>
      </c>
      <c r="AH233" s="1" t="s">
        <v>5</v>
      </c>
      <c r="AI233" s="1" t="s">
        <v>6</v>
      </c>
      <c r="AJ233" s="1" t="s">
        <v>7</v>
      </c>
      <c r="AK233" s="1" t="s">
        <v>8</v>
      </c>
      <c r="AL233" s="1" t="s">
        <v>9</v>
      </c>
      <c r="AM233" s="1" t="s">
        <v>10</v>
      </c>
      <c r="AN233" s="1" t="s">
        <v>11</v>
      </c>
      <c r="AO233" s="1" t="s">
        <v>12</v>
      </c>
      <c r="AP233" s="1" t="s">
        <v>13</v>
      </c>
      <c r="AQ233" s="1" t="s">
        <v>14</v>
      </c>
      <c r="AR233" s="1" t="s">
        <v>15</v>
      </c>
      <c r="AS233" s="1" t="s">
        <v>16</v>
      </c>
      <c r="AT233" s="2" t="s">
        <v>17</v>
      </c>
      <c r="AU233" s="1" t="s">
        <v>4</v>
      </c>
      <c r="AV233" s="1" t="s">
        <v>5</v>
      </c>
      <c r="AW233" s="1" t="s">
        <v>6</v>
      </c>
      <c r="AX233" s="1" t="s">
        <v>7</v>
      </c>
      <c r="AY233" s="1" t="s">
        <v>8</v>
      </c>
      <c r="AZ233" s="1" t="s">
        <v>9</v>
      </c>
      <c r="BA233" s="1" t="s">
        <v>10</v>
      </c>
      <c r="BB233" s="1" t="s">
        <v>11</v>
      </c>
      <c r="BC233" s="1" t="s">
        <v>12</v>
      </c>
      <c r="BD233" s="1" t="s">
        <v>13</v>
      </c>
      <c r="BE233" s="1" t="s">
        <v>14</v>
      </c>
      <c r="BF233" s="1" t="s">
        <v>15</v>
      </c>
      <c r="BG233" s="1" t="s">
        <v>16</v>
      </c>
      <c r="BH233" s="1" t="s">
        <v>17</v>
      </c>
    </row>
    <row r="234" ht="15.75" customHeight="1">
      <c r="B234" s="65">
        <v>3.0</v>
      </c>
      <c r="C234" s="83">
        <v>0.0</v>
      </c>
      <c r="D234" s="83">
        <v>0.0</v>
      </c>
      <c r="E234" s="83">
        <f>$AU5</f>
        <v>2273.762862</v>
      </c>
      <c r="F234" s="83">
        <v>0.0</v>
      </c>
      <c r="G234" s="83">
        <v>0.0</v>
      </c>
      <c r="H234" s="83">
        <v>0.0</v>
      </c>
      <c r="I234" s="83">
        <v>0.0</v>
      </c>
      <c r="J234" s="83">
        <v>0.0</v>
      </c>
      <c r="K234" s="83">
        <v>0.0</v>
      </c>
      <c r="L234" s="83">
        <v>0.0</v>
      </c>
      <c r="M234" s="83">
        <v>0.0</v>
      </c>
      <c r="N234" s="83">
        <v>0.0</v>
      </c>
      <c r="O234" s="83">
        <v>0.0</v>
      </c>
      <c r="P234" s="83">
        <v>0.0</v>
      </c>
      <c r="Q234" s="83">
        <v>0.0</v>
      </c>
      <c r="R234" s="83">
        <v>0.0</v>
      </c>
      <c r="S234" s="83">
        <v>0.0</v>
      </c>
      <c r="T234" s="83">
        <v>0.0</v>
      </c>
      <c r="U234" s="83">
        <v>0.0</v>
      </c>
      <c r="V234" s="83">
        <v>0.0</v>
      </c>
      <c r="W234" s="83">
        <v>0.0</v>
      </c>
      <c r="X234" s="83">
        <v>0.0</v>
      </c>
      <c r="Y234" s="83">
        <v>0.0</v>
      </c>
      <c r="Z234" s="83">
        <v>0.0</v>
      </c>
      <c r="AA234" s="83">
        <v>0.0</v>
      </c>
      <c r="AB234" s="83">
        <v>0.0</v>
      </c>
      <c r="AC234" s="83">
        <v>0.0</v>
      </c>
      <c r="AD234" s="83">
        <v>0.0</v>
      </c>
      <c r="AF234" s="73" t="s">
        <v>62</v>
      </c>
      <c r="AG234" s="9">
        <f t="shared" ref="AG234:BH234" si="55">SUM(AG204:AG231)</f>
        <v>3493.968877</v>
      </c>
      <c r="AH234" s="9">
        <f t="shared" si="55"/>
        <v>1505.266618</v>
      </c>
      <c r="AI234" s="9">
        <f t="shared" si="55"/>
        <v>1400.772173</v>
      </c>
      <c r="AJ234" s="9">
        <f t="shared" si="55"/>
        <v>426.6284916</v>
      </c>
      <c r="AK234" s="9">
        <f t="shared" si="55"/>
        <v>2293.274579</v>
      </c>
      <c r="AL234" s="9">
        <f t="shared" si="55"/>
        <v>0.5651940568</v>
      </c>
      <c r="AM234" s="9">
        <f t="shared" si="55"/>
        <v>13.43201511</v>
      </c>
      <c r="AN234" s="9">
        <f t="shared" si="55"/>
        <v>2450.307891</v>
      </c>
      <c r="AO234" s="9">
        <f t="shared" si="55"/>
        <v>4.073036179</v>
      </c>
      <c r="AP234" s="9">
        <f t="shared" si="55"/>
        <v>998.3278765</v>
      </c>
      <c r="AQ234" s="9">
        <f t="shared" si="55"/>
        <v>2179.629829</v>
      </c>
      <c r="AR234" s="9">
        <f t="shared" si="55"/>
        <v>0.7911143146</v>
      </c>
      <c r="AS234" s="9">
        <f t="shared" si="55"/>
        <v>0.1264243817</v>
      </c>
      <c r="AT234" s="9">
        <f t="shared" si="55"/>
        <v>626.2735478</v>
      </c>
      <c r="AU234" s="9">
        <f t="shared" si="55"/>
        <v>3702270.353</v>
      </c>
      <c r="AV234" s="9">
        <f t="shared" si="55"/>
        <v>372550.4782</v>
      </c>
      <c r="AW234" s="9">
        <f t="shared" si="55"/>
        <v>240053.1721</v>
      </c>
      <c r="AX234" s="9">
        <f t="shared" si="55"/>
        <v>215544.4181</v>
      </c>
      <c r="AY234" s="9">
        <f t="shared" si="55"/>
        <v>1718315.34</v>
      </c>
      <c r="AZ234" s="9">
        <f t="shared" si="55"/>
        <v>1575.958551</v>
      </c>
      <c r="BA234" s="9">
        <f t="shared" si="55"/>
        <v>10237.61069</v>
      </c>
      <c r="BB234" s="9">
        <f t="shared" si="55"/>
        <v>1489517.887</v>
      </c>
      <c r="BC234" s="9">
        <f t="shared" si="55"/>
        <v>57540.72033</v>
      </c>
      <c r="BD234" s="9">
        <f t="shared" si="55"/>
        <v>271824.292</v>
      </c>
      <c r="BE234" s="9">
        <f t="shared" si="55"/>
        <v>924394.4947</v>
      </c>
      <c r="BF234" s="9">
        <f t="shared" si="55"/>
        <v>2946.142519</v>
      </c>
      <c r="BG234" s="9">
        <f t="shared" si="55"/>
        <v>3511.70688</v>
      </c>
      <c r="BH234" s="9">
        <f t="shared" si="55"/>
        <v>344403.9715</v>
      </c>
    </row>
    <row r="235" ht="15.75" customHeight="1">
      <c r="B235" s="65">
        <v>4.0</v>
      </c>
      <c r="C235" s="83">
        <v>0.0</v>
      </c>
      <c r="D235" s="83">
        <v>0.0</v>
      </c>
      <c r="E235" s="83">
        <v>0.0</v>
      </c>
      <c r="F235" s="83">
        <f>$AU6</f>
        <v>4091.444448</v>
      </c>
      <c r="G235" s="83">
        <v>0.0</v>
      </c>
      <c r="H235" s="83">
        <v>0.0</v>
      </c>
      <c r="I235" s="83">
        <v>0.0</v>
      </c>
      <c r="J235" s="83">
        <v>0.0</v>
      </c>
      <c r="K235" s="83">
        <v>0.0</v>
      </c>
      <c r="L235" s="83">
        <v>0.0</v>
      </c>
      <c r="M235" s="83">
        <v>0.0</v>
      </c>
      <c r="N235" s="83">
        <v>0.0</v>
      </c>
      <c r="O235" s="83">
        <v>0.0</v>
      </c>
      <c r="P235" s="83">
        <v>0.0</v>
      </c>
      <c r="Q235" s="83">
        <v>0.0</v>
      </c>
      <c r="R235" s="83">
        <v>0.0</v>
      </c>
      <c r="S235" s="83">
        <v>0.0</v>
      </c>
      <c r="T235" s="83">
        <v>0.0</v>
      </c>
      <c r="U235" s="83">
        <v>0.0</v>
      </c>
      <c r="V235" s="83">
        <v>0.0</v>
      </c>
      <c r="W235" s="83">
        <v>0.0</v>
      </c>
      <c r="X235" s="83">
        <v>0.0</v>
      </c>
      <c r="Y235" s="83">
        <v>0.0</v>
      </c>
      <c r="Z235" s="83">
        <v>0.0</v>
      </c>
      <c r="AA235" s="83">
        <v>0.0</v>
      </c>
      <c r="AB235" s="83">
        <v>0.0</v>
      </c>
      <c r="AC235" s="83">
        <v>0.0</v>
      </c>
      <c r="AD235" s="83">
        <v>0.0</v>
      </c>
    </row>
    <row r="236" ht="15.75" customHeight="1">
      <c r="B236" s="65">
        <v>5.0</v>
      </c>
      <c r="C236" s="83">
        <v>0.0</v>
      </c>
      <c r="D236" s="83">
        <v>0.0</v>
      </c>
      <c r="E236" s="83">
        <v>0.0</v>
      </c>
      <c r="F236" s="83">
        <v>0.0</v>
      </c>
      <c r="G236" s="83">
        <f>$AU7</f>
        <v>13302.33333</v>
      </c>
      <c r="H236" s="83">
        <v>0.0</v>
      </c>
      <c r="I236" s="83">
        <v>0.0</v>
      </c>
      <c r="J236" s="83">
        <v>0.0</v>
      </c>
      <c r="K236" s="83">
        <v>0.0</v>
      </c>
      <c r="L236" s="83">
        <v>0.0</v>
      </c>
      <c r="M236" s="83">
        <v>0.0</v>
      </c>
      <c r="N236" s="83">
        <v>0.0</v>
      </c>
      <c r="O236" s="83">
        <v>0.0</v>
      </c>
      <c r="P236" s="83">
        <v>0.0</v>
      </c>
      <c r="Q236" s="83">
        <v>0.0</v>
      </c>
      <c r="R236" s="83">
        <v>0.0</v>
      </c>
      <c r="S236" s="83">
        <v>0.0</v>
      </c>
      <c r="T236" s="83">
        <v>0.0</v>
      </c>
      <c r="U236" s="83">
        <v>0.0</v>
      </c>
      <c r="V236" s="83">
        <v>0.0</v>
      </c>
      <c r="W236" s="83">
        <v>0.0</v>
      </c>
      <c r="X236" s="83">
        <v>0.0</v>
      </c>
      <c r="Y236" s="83">
        <v>0.0</v>
      </c>
      <c r="Z236" s="83">
        <v>0.0</v>
      </c>
      <c r="AA236" s="83">
        <v>0.0</v>
      </c>
      <c r="AB236" s="83">
        <v>0.0</v>
      </c>
      <c r="AC236" s="83">
        <v>0.0</v>
      </c>
      <c r="AD236" s="83">
        <v>0.0</v>
      </c>
      <c r="AF236" s="71" t="s">
        <v>65</v>
      </c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</row>
    <row r="237" ht="15.75" customHeight="1">
      <c r="B237" s="65">
        <v>6.0</v>
      </c>
      <c r="C237" s="83">
        <v>0.0</v>
      </c>
      <c r="D237" s="83">
        <v>0.0</v>
      </c>
      <c r="E237" s="83">
        <v>0.0</v>
      </c>
      <c r="F237" s="83">
        <v>0.0</v>
      </c>
      <c r="G237" s="83">
        <v>0.0</v>
      </c>
      <c r="H237" s="83">
        <f>$AU8</f>
        <v>70.17730948</v>
      </c>
      <c r="I237" s="83">
        <v>0.0</v>
      </c>
      <c r="J237" s="83">
        <v>0.0</v>
      </c>
      <c r="K237" s="83">
        <v>0.0</v>
      </c>
      <c r="L237" s="83">
        <v>0.0</v>
      </c>
      <c r="M237" s="83">
        <v>0.0</v>
      </c>
      <c r="N237" s="83">
        <v>0.0</v>
      </c>
      <c r="O237" s="83">
        <v>0.0</v>
      </c>
      <c r="P237" s="83">
        <v>0.0</v>
      </c>
      <c r="Q237" s="83">
        <v>0.0</v>
      </c>
      <c r="R237" s="83">
        <v>0.0</v>
      </c>
      <c r="S237" s="83">
        <v>0.0</v>
      </c>
      <c r="T237" s="83">
        <v>0.0</v>
      </c>
      <c r="U237" s="83">
        <v>0.0</v>
      </c>
      <c r="V237" s="83">
        <v>0.0</v>
      </c>
      <c r="W237" s="83">
        <v>0.0</v>
      </c>
      <c r="X237" s="83">
        <v>0.0</v>
      </c>
      <c r="Y237" s="83">
        <v>0.0</v>
      </c>
      <c r="Z237" s="83">
        <v>0.0</v>
      </c>
      <c r="AA237" s="83">
        <v>0.0</v>
      </c>
      <c r="AB237" s="83">
        <v>0.0</v>
      </c>
      <c r="AC237" s="83">
        <v>0.0</v>
      </c>
      <c r="AD237" s="83">
        <v>0.0</v>
      </c>
      <c r="AF237" s="64"/>
      <c r="AG237" s="65">
        <v>1.0</v>
      </c>
      <c r="AH237" s="65">
        <v>2.0</v>
      </c>
      <c r="AI237" s="65">
        <v>3.0</v>
      </c>
      <c r="AJ237" s="65">
        <v>4.0</v>
      </c>
      <c r="AK237" s="65">
        <v>5.0</v>
      </c>
      <c r="AL237" s="65">
        <v>6.0</v>
      </c>
      <c r="AM237" s="65">
        <v>7.0</v>
      </c>
      <c r="AN237" s="65">
        <v>8.0</v>
      </c>
      <c r="AO237" s="65">
        <v>9.0</v>
      </c>
      <c r="AP237" s="65">
        <v>10.0</v>
      </c>
      <c r="AQ237" s="65">
        <v>11.0</v>
      </c>
      <c r="AR237" s="65">
        <v>12.0</v>
      </c>
      <c r="AS237" s="65">
        <v>13.0</v>
      </c>
      <c r="AT237" s="65">
        <v>14.0</v>
      </c>
      <c r="AU237" s="65">
        <v>15.0</v>
      </c>
      <c r="AV237" s="65">
        <v>16.0</v>
      </c>
      <c r="AW237" s="65">
        <v>17.0</v>
      </c>
      <c r="AX237" s="65">
        <v>18.0</v>
      </c>
      <c r="AY237" s="65">
        <v>19.0</v>
      </c>
      <c r="AZ237" s="65">
        <v>20.0</v>
      </c>
      <c r="BA237" s="65">
        <v>21.0</v>
      </c>
      <c r="BB237" s="65">
        <v>22.0</v>
      </c>
      <c r="BC237" s="65">
        <v>23.0</v>
      </c>
      <c r="BD237" s="65">
        <v>24.0</v>
      </c>
      <c r="BE237" s="65">
        <v>25.0</v>
      </c>
      <c r="BF237" s="65">
        <v>26.0</v>
      </c>
      <c r="BG237" s="65">
        <v>27.0</v>
      </c>
      <c r="BH237" s="65">
        <v>28.0</v>
      </c>
      <c r="BI237" s="73" t="s">
        <v>60</v>
      </c>
    </row>
    <row r="238" ht="15.75" customHeight="1">
      <c r="B238" s="65">
        <v>7.0</v>
      </c>
      <c r="C238" s="83">
        <v>0.0</v>
      </c>
      <c r="D238" s="83">
        <v>0.0</v>
      </c>
      <c r="E238" s="83">
        <v>0.0</v>
      </c>
      <c r="F238" s="83">
        <v>0.0</v>
      </c>
      <c r="G238" s="83">
        <v>0.0</v>
      </c>
      <c r="H238" s="83">
        <v>0.0</v>
      </c>
      <c r="I238" s="83">
        <f>$AU9</f>
        <v>1589.855978</v>
      </c>
      <c r="J238" s="83">
        <v>0.0</v>
      </c>
      <c r="K238" s="83">
        <v>0.0</v>
      </c>
      <c r="L238" s="83">
        <v>0.0</v>
      </c>
      <c r="M238" s="83">
        <v>0.0</v>
      </c>
      <c r="N238" s="83">
        <v>0.0</v>
      </c>
      <c r="O238" s="83">
        <v>0.0</v>
      </c>
      <c r="P238" s="83">
        <v>0.0</v>
      </c>
      <c r="Q238" s="83">
        <v>0.0</v>
      </c>
      <c r="R238" s="83">
        <v>0.0</v>
      </c>
      <c r="S238" s="83">
        <v>0.0</v>
      </c>
      <c r="T238" s="83">
        <v>0.0</v>
      </c>
      <c r="U238" s="83">
        <v>0.0</v>
      </c>
      <c r="V238" s="83">
        <v>0.0</v>
      </c>
      <c r="W238" s="83">
        <v>0.0</v>
      </c>
      <c r="X238" s="83">
        <v>0.0</v>
      </c>
      <c r="Y238" s="83">
        <v>0.0</v>
      </c>
      <c r="Z238" s="83">
        <v>0.0</v>
      </c>
      <c r="AA238" s="83">
        <v>0.0</v>
      </c>
      <c r="AB238" s="83">
        <v>0.0</v>
      </c>
      <c r="AC238" s="83">
        <v>0.0</v>
      </c>
      <c r="AD238" s="83">
        <v>0.0</v>
      </c>
      <c r="AF238" s="65">
        <v>1.0</v>
      </c>
      <c r="AG238" s="74">
        <f t="array" ref="AG238:BH265">MMULT(MMULT(AG139:BH166,C201:AD228),C232:AD259)</f>
        <v>0</v>
      </c>
      <c r="AH238" s="74">
        <v>0.0</v>
      </c>
      <c r="AI238" s="74">
        <v>0.0</v>
      </c>
      <c r="AJ238" s="74">
        <v>0.0</v>
      </c>
      <c r="AK238" s="74">
        <v>0.0</v>
      </c>
      <c r="AL238" s="74">
        <v>0.0</v>
      </c>
      <c r="AM238" s="74">
        <v>0.0</v>
      </c>
      <c r="AN238" s="74">
        <v>0.0</v>
      </c>
      <c r="AO238" s="74">
        <v>0.0</v>
      </c>
      <c r="AP238" s="74">
        <v>0.0</v>
      </c>
      <c r="AQ238" s="74">
        <v>0.0</v>
      </c>
      <c r="AR238" s="74">
        <v>0.0</v>
      </c>
      <c r="AS238" s="74">
        <v>0.0</v>
      </c>
      <c r="AT238" s="74">
        <v>0.0</v>
      </c>
      <c r="AU238" s="74">
        <v>0.0</v>
      </c>
      <c r="AV238" s="74">
        <v>0.0</v>
      </c>
      <c r="AW238" s="74">
        <v>0.0</v>
      </c>
      <c r="AX238" s="74">
        <v>0.0</v>
      </c>
      <c r="AY238" s="74">
        <v>0.0</v>
      </c>
      <c r="AZ238" s="74">
        <v>0.0</v>
      </c>
      <c r="BA238" s="74">
        <v>0.0</v>
      </c>
      <c r="BB238" s="74">
        <v>0.0</v>
      </c>
      <c r="BC238" s="74">
        <v>0.0</v>
      </c>
      <c r="BD238" s="74">
        <v>0.0</v>
      </c>
      <c r="BE238" s="74">
        <v>0.0</v>
      </c>
      <c r="BF238" s="74">
        <v>0.0</v>
      </c>
      <c r="BG238" s="74">
        <v>0.0</v>
      </c>
      <c r="BH238" s="74">
        <v>0.0</v>
      </c>
      <c r="BI238" s="9">
        <f t="shared" ref="BI238:BI265" si="56">SUM(AG238:BH238)</f>
        <v>0</v>
      </c>
    </row>
    <row r="239" ht="15.75" customHeight="1">
      <c r="B239" s="65">
        <v>8.0</v>
      </c>
      <c r="C239" s="83">
        <v>0.0</v>
      </c>
      <c r="D239" s="83">
        <v>0.0</v>
      </c>
      <c r="E239" s="83">
        <v>0.0</v>
      </c>
      <c r="F239" s="83">
        <v>0.0</v>
      </c>
      <c r="G239" s="83">
        <v>0.0</v>
      </c>
      <c r="H239" s="83">
        <v>0.0</v>
      </c>
      <c r="I239" s="83">
        <v>0.0</v>
      </c>
      <c r="J239" s="83">
        <f>$AU10</f>
        <v>90093.25201</v>
      </c>
      <c r="K239" s="83">
        <v>0.0</v>
      </c>
      <c r="L239" s="83">
        <v>0.0</v>
      </c>
      <c r="M239" s="83">
        <v>0.0</v>
      </c>
      <c r="N239" s="83">
        <v>0.0</v>
      </c>
      <c r="O239" s="83">
        <v>0.0</v>
      </c>
      <c r="P239" s="83">
        <v>0.0</v>
      </c>
      <c r="Q239" s="83">
        <v>0.0</v>
      </c>
      <c r="R239" s="83">
        <v>0.0</v>
      </c>
      <c r="S239" s="83">
        <v>0.0</v>
      </c>
      <c r="T239" s="83">
        <v>0.0</v>
      </c>
      <c r="U239" s="83">
        <v>0.0</v>
      </c>
      <c r="V239" s="83">
        <v>0.0</v>
      </c>
      <c r="W239" s="83">
        <v>0.0</v>
      </c>
      <c r="X239" s="83">
        <v>0.0</v>
      </c>
      <c r="Y239" s="83">
        <v>0.0</v>
      </c>
      <c r="Z239" s="83">
        <v>0.0</v>
      </c>
      <c r="AA239" s="83">
        <v>0.0</v>
      </c>
      <c r="AB239" s="83">
        <v>0.0</v>
      </c>
      <c r="AC239" s="83">
        <v>0.0</v>
      </c>
      <c r="AD239" s="83">
        <v>0.0</v>
      </c>
      <c r="AF239" s="65">
        <v>2.0</v>
      </c>
      <c r="AG239" s="74">
        <v>0.0</v>
      </c>
      <c r="AH239" s="74">
        <v>0.0</v>
      </c>
      <c r="AI239" s="74">
        <v>0.0</v>
      </c>
      <c r="AJ239" s="74">
        <v>0.0</v>
      </c>
      <c r="AK239" s="74">
        <v>0.0</v>
      </c>
      <c r="AL239" s="74">
        <v>0.0</v>
      </c>
      <c r="AM239" s="74">
        <v>0.0</v>
      </c>
      <c r="AN239" s="74">
        <v>0.0</v>
      </c>
      <c r="AO239" s="74">
        <v>0.0</v>
      </c>
      <c r="AP239" s="74">
        <v>0.0</v>
      </c>
      <c r="AQ239" s="74">
        <v>0.0</v>
      </c>
      <c r="AR239" s="74">
        <v>0.0</v>
      </c>
      <c r="AS239" s="74">
        <v>0.0</v>
      </c>
      <c r="AT239" s="74">
        <v>0.0</v>
      </c>
      <c r="AU239" s="74">
        <v>0.0</v>
      </c>
      <c r="AV239" s="74">
        <v>0.0</v>
      </c>
      <c r="AW239" s="74">
        <v>0.0</v>
      </c>
      <c r="AX239" s="74">
        <v>0.0</v>
      </c>
      <c r="AY239" s="74">
        <v>0.0</v>
      </c>
      <c r="AZ239" s="74">
        <v>0.0</v>
      </c>
      <c r="BA239" s="74">
        <v>0.0</v>
      </c>
      <c r="BB239" s="74">
        <v>0.0</v>
      </c>
      <c r="BC239" s="74">
        <v>0.0</v>
      </c>
      <c r="BD239" s="74">
        <v>0.0</v>
      </c>
      <c r="BE239" s="74">
        <v>0.0</v>
      </c>
      <c r="BF239" s="74">
        <v>0.0</v>
      </c>
      <c r="BG239" s="74">
        <v>0.0</v>
      </c>
      <c r="BH239" s="74">
        <v>0.0</v>
      </c>
      <c r="BI239" s="9">
        <f t="shared" si="56"/>
        <v>0</v>
      </c>
    </row>
    <row r="240" ht="15.75" customHeight="1">
      <c r="B240" s="65">
        <v>9.0</v>
      </c>
      <c r="C240" s="83">
        <v>0.0</v>
      </c>
      <c r="D240" s="83">
        <v>0.0</v>
      </c>
      <c r="E240" s="83">
        <v>0.0</v>
      </c>
      <c r="F240" s="83">
        <v>0.0</v>
      </c>
      <c r="G240" s="83">
        <v>0.0</v>
      </c>
      <c r="H240" s="83">
        <v>0.0</v>
      </c>
      <c r="I240" s="83">
        <v>0.0</v>
      </c>
      <c r="J240" s="83">
        <v>0.0</v>
      </c>
      <c r="K240" s="83">
        <f>$AU11</f>
        <v>115.0663649</v>
      </c>
      <c r="L240" s="83">
        <v>0.0</v>
      </c>
      <c r="M240" s="83">
        <v>0.0</v>
      </c>
      <c r="N240" s="83">
        <v>0.0</v>
      </c>
      <c r="O240" s="83">
        <v>0.0</v>
      </c>
      <c r="P240" s="83">
        <v>0.0</v>
      </c>
      <c r="Q240" s="83">
        <v>0.0</v>
      </c>
      <c r="R240" s="83">
        <v>0.0</v>
      </c>
      <c r="S240" s="83">
        <v>0.0</v>
      </c>
      <c r="T240" s="83">
        <v>0.0</v>
      </c>
      <c r="U240" s="83">
        <v>0.0</v>
      </c>
      <c r="V240" s="83">
        <v>0.0</v>
      </c>
      <c r="W240" s="83">
        <v>0.0</v>
      </c>
      <c r="X240" s="83">
        <v>0.0</v>
      </c>
      <c r="Y240" s="83">
        <v>0.0</v>
      </c>
      <c r="Z240" s="83">
        <v>0.0</v>
      </c>
      <c r="AA240" s="83">
        <v>0.0</v>
      </c>
      <c r="AB240" s="83">
        <v>0.0</v>
      </c>
      <c r="AC240" s="83">
        <v>0.0</v>
      </c>
      <c r="AD240" s="83">
        <v>0.0</v>
      </c>
      <c r="AF240" s="65">
        <v>3.0</v>
      </c>
      <c r="AG240" s="74">
        <v>2.3827284085766256</v>
      </c>
      <c r="AH240" s="74">
        <v>13.573586449005393</v>
      </c>
      <c r="AI240" s="74">
        <v>8464.578910690934</v>
      </c>
      <c r="AJ240" s="74">
        <v>1730.5096169318556</v>
      </c>
      <c r="AK240" s="74">
        <v>805.5921395894621</v>
      </c>
      <c r="AL240" s="74">
        <v>0.16750604924931925</v>
      </c>
      <c r="AM240" s="74">
        <v>2.4642271232006814</v>
      </c>
      <c r="AN240" s="74">
        <v>182.0898605274564</v>
      </c>
      <c r="AO240" s="74">
        <v>3.818673838435745</v>
      </c>
      <c r="AP240" s="74">
        <v>904.8335959787191</v>
      </c>
      <c r="AQ240" s="74">
        <v>393.0516726005493</v>
      </c>
      <c r="AR240" s="74">
        <v>0.23418808178444755</v>
      </c>
      <c r="AS240" s="74">
        <v>0.02680262039423376</v>
      </c>
      <c r="AT240" s="74">
        <v>184.39312798166077</v>
      </c>
      <c r="AU240" s="74">
        <v>27.484602643798418</v>
      </c>
      <c r="AV240" s="74">
        <v>37.37127062011811</v>
      </c>
      <c r="AW240" s="74">
        <v>71.13978631617937</v>
      </c>
      <c r="AX240" s="74">
        <v>466.7939020753565</v>
      </c>
      <c r="AY240" s="74">
        <v>253.66822065819838</v>
      </c>
      <c r="AZ240" s="74">
        <v>3.4820784048295397</v>
      </c>
      <c r="BA240" s="74">
        <v>5.74864845627865</v>
      </c>
      <c r="BB240" s="74">
        <v>936.0563279871064</v>
      </c>
      <c r="BC240" s="74">
        <v>25.852561477750754</v>
      </c>
      <c r="BD240" s="74">
        <v>420.58843109945315</v>
      </c>
      <c r="BE240" s="74">
        <v>752.0303476606836</v>
      </c>
      <c r="BF240" s="74">
        <v>6.273592173310332</v>
      </c>
      <c r="BG240" s="74">
        <v>2.3772458805823633</v>
      </c>
      <c r="BH240" s="74">
        <v>246.74150350974793</v>
      </c>
      <c r="BI240" s="9">
        <f t="shared" si="56"/>
        <v>15943.32516</v>
      </c>
    </row>
    <row r="241" ht="15.75" customHeight="1">
      <c r="B241" s="65">
        <v>10.0</v>
      </c>
      <c r="C241" s="83">
        <v>0.0</v>
      </c>
      <c r="D241" s="83">
        <v>0.0</v>
      </c>
      <c r="E241" s="83">
        <v>0.0</v>
      </c>
      <c r="F241" s="83">
        <v>0.0</v>
      </c>
      <c r="G241" s="83">
        <v>0.0</v>
      </c>
      <c r="H241" s="83">
        <v>0.0</v>
      </c>
      <c r="I241" s="83">
        <v>0.0</v>
      </c>
      <c r="J241" s="83">
        <v>0.0</v>
      </c>
      <c r="K241" s="83">
        <v>0.0</v>
      </c>
      <c r="L241" s="83">
        <f>$AU12</f>
        <v>72868.68845</v>
      </c>
      <c r="M241" s="83">
        <v>0.0</v>
      </c>
      <c r="N241" s="83">
        <v>0.0</v>
      </c>
      <c r="O241" s="83">
        <v>0.0</v>
      </c>
      <c r="P241" s="83">
        <v>0.0</v>
      </c>
      <c r="Q241" s="83">
        <v>0.0</v>
      </c>
      <c r="R241" s="83">
        <v>0.0</v>
      </c>
      <c r="S241" s="83">
        <v>0.0</v>
      </c>
      <c r="T241" s="83">
        <v>0.0</v>
      </c>
      <c r="U241" s="83">
        <v>0.0</v>
      </c>
      <c r="V241" s="83">
        <v>0.0</v>
      </c>
      <c r="W241" s="83">
        <v>0.0</v>
      </c>
      <c r="X241" s="83">
        <v>0.0</v>
      </c>
      <c r="Y241" s="83">
        <v>0.0</v>
      </c>
      <c r="Z241" s="83">
        <v>0.0</v>
      </c>
      <c r="AA241" s="83">
        <v>0.0</v>
      </c>
      <c r="AB241" s="83">
        <v>0.0</v>
      </c>
      <c r="AC241" s="83">
        <v>0.0</v>
      </c>
      <c r="AD241" s="83">
        <v>0.0</v>
      </c>
      <c r="AF241" s="65">
        <v>4.0</v>
      </c>
      <c r="AG241" s="74">
        <v>0.0</v>
      </c>
      <c r="AH241" s="74">
        <v>0.0</v>
      </c>
      <c r="AI241" s="74">
        <v>0.0</v>
      </c>
      <c r="AJ241" s="74">
        <v>0.0</v>
      </c>
      <c r="AK241" s="74">
        <v>0.0</v>
      </c>
      <c r="AL241" s="74">
        <v>0.0</v>
      </c>
      <c r="AM241" s="74">
        <v>0.0</v>
      </c>
      <c r="AN241" s="74">
        <v>0.0</v>
      </c>
      <c r="AO241" s="74">
        <v>0.0</v>
      </c>
      <c r="AP241" s="74">
        <v>0.0</v>
      </c>
      <c r="AQ241" s="74">
        <v>0.0</v>
      </c>
      <c r="AR241" s="74">
        <v>0.0</v>
      </c>
      <c r="AS241" s="74">
        <v>0.0</v>
      </c>
      <c r="AT241" s="74">
        <v>0.0</v>
      </c>
      <c r="AU241" s="74">
        <v>0.0</v>
      </c>
      <c r="AV241" s="74">
        <v>0.0</v>
      </c>
      <c r="AW241" s="74">
        <v>0.0</v>
      </c>
      <c r="AX241" s="74">
        <v>0.0</v>
      </c>
      <c r="AY241" s="74">
        <v>0.0</v>
      </c>
      <c r="AZ241" s="74">
        <v>0.0</v>
      </c>
      <c r="BA241" s="74">
        <v>0.0</v>
      </c>
      <c r="BB241" s="74">
        <v>0.0</v>
      </c>
      <c r="BC241" s="74">
        <v>0.0</v>
      </c>
      <c r="BD241" s="74">
        <v>0.0</v>
      </c>
      <c r="BE241" s="74">
        <v>0.0</v>
      </c>
      <c r="BF241" s="74">
        <v>0.0</v>
      </c>
      <c r="BG241" s="74">
        <v>0.0</v>
      </c>
      <c r="BH241" s="74">
        <v>0.0</v>
      </c>
      <c r="BI241" s="9">
        <f t="shared" si="56"/>
        <v>0</v>
      </c>
    </row>
    <row r="242" ht="15.75" customHeight="1">
      <c r="B242" s="65">
        <v>11.0</v>
      </c>
      <c r="C242" s="83">
        <v>0.0</v>
      </c>
      <c r="D242" s="83">
        <v>0.0</v>
      </c>
      <c r="E242" s="83">
        <v>0.0</v>
      </c>
      <c r="F242" s="83">
        <v>0.0</v>
      </c>
      <c r="G242" s="83">
        <v>0.0</v>
      </c>
      <c r="H242" s="83">
        <v>0.0</v>
      </c>
      <c r="I242" s="83">
        <v>0.0</v>
      </c>
      <c r="J242" s="83">
        <v>0.0</v>
      </c>
      <c r="K242" s="83">
        <v>0.0</v>
      </c>
      <c r="L242" s="83">
        <v>0.0</v>
      </c>
      <c r="M242" s="83">
        <f>$AU13</f>
        <v>176523.924</v>
      </c>
      <c r="N242" s="83">
        <v>0.0</v>
      </c>
      <c r="O242" s="83">
        <v>0.0</v>
      </c>
      <c r="P242" s="83">
        <v>0.0</v>
      </c>
      <c r="Q242" s="83">
        <v>0.0</v>
      </c>
      <c r="R242" s="83">
        <v>0.0</v>
      </c>
      <c r="S242" s="83">
        <v>0.0</v>
      </c>
      <c r="T242" s="83">
        <v>0.0</v>
      </c>
      <c r="U242" s="83">
        <v>0.0</v>
      </c>
      <c r="V242" s="83">
        <v>0.0</v>
      </c>
      <c r="W242" s="83">
        <v>0.0</v>
      </c>
      <c r="X242" s="83">
        <v>0.0</v>
      </c>
      <c r="Y242" s="83">
        <v>0.0</v>
      </c>
      <c r="Z242" s="83">
        <v>0.0</v>
      </c>
      <c r="AA242" s="83">
        <v>0.0</v>
      </c>
      <c r="AB242" s="83">
        <v>0.0</v>
      </c>
      <c r="AC242" s="83">
        <v>0.0</v>
      </c>
      <c r="AD242" s="83">
        <v>0.0</v>
      </c>
      <c r="AF242" s="65">
        <v>5.0</v>
      </c>
      <c r="AG242" s="74">
        <v>0.0</v>
      </c>
      <c r="AH242" s="74">
        <v>0.0</v>
      </c>
      <c r="AI242" s="74">
        <v>0.0</v>
      </c>
      <c r="AJ242" s="74">
        <v>0.0</v>
      </c>
      <c r="AK242" s="74">
        <v>0.0</v>
      </c>
      <c r="AL242" s="74">
        <v>0.0</v>
      </c>
      <c r="AM242" s="74">
        <v>0.0</v>
      </c>
      <c r="AN242" s="74">
        <v>0.0</v>
      </c>
      <c r="AO242" s="74">
        <v>0.0</v>
      </c>
      <c r="AP242" s="74">
        <v>0.0</v>
      </c>
      <c r="AQ242" s="74">
        <v>0.0</v>
      </c>
      <c r="AR242" s="74">
        <v>0.0</v>
      </c>
      <c r="AS242" s="74">
        <v>0.0</v>
      </c>
      <c r="AT242" s="74">
        <v>0.0</v>
      </c>
      <c r="AU242" s="74">
        <v>0.0</v>
      </c>
      <c r="AV242" s="74">
        <v>0.0</v>
      </c>
      <c r="AW242" s="74">
        <v>0.0</v>
      </c>
      <c r="AX242" s="74">
        <v>0.0</v>
      </c>
      <c r="AY242" s="74">
        <v>0.0</v>
      </c>
      <c r="AZ242" s="74">
        <v>0.0</v>
      </c>
      <c r="BA242" s="74">
        <v>0.0</v>
      </c>
      <c r="BB242" s="74">
        <v>0.0</v>
      </c>
      <c r="BC242" s="74">
        <v>0.0</v>
      </c>
      <c r="BD242" s="74">
        <v>0.0</v>
      </c>
      <c r="BE242" s="74">
        <v>0.0</v>
      </c>
      <c r="BF242" s="74">
        <v>0.0</v>
      </c>
      <c r="BG242" s="74">
        <v>0.0</v>
      </c>
      <c r="BH242" s="74">
        <v>0.0</v>
      </c>
      <c r="BI242" s="9">
        <f t="shared" si="56"/>
        <v>0</v>
      </c>
    </row>
    <row r="243" ht="15.75" customHeight="1">
      <c r="B243" s="65">
        <v>12.0</v>
      </c>
      <c r="C243" s="83">
        <v>0.0</v>
      </c>
      <c r="D243" s="83">
        <v>0.0</v>
      </c>
      <c r="E243" s="83">
        <v>0.0</v>
      </c>
      <c r="F243" s="83">
        <v>0.0</v>
      </c>
      <c r="G243" s="83">
        <v>0.0</v>
      </c>
      <c r="H243" s="83">
        <v>0.0</v>
      </c>
      <c r="I243" s="83">
        <v>0.0</v>
      </c>
      <c r="J243" s="83">
        <v>0.0</v>
      </c>
      <c r="K243" s="83">
        <v>0.0</v>
      </c>
      <c r="L243" s="83">
        <v>0.0</v>
      </c>
      <c r="M243" s="83">
        <v>0.0</v>
      </c>
      <c r="N243" s="83">
        <f>$AU14</f>
        <v>101.2195537</v>
      </c>
      <c r="O243" s="83">
        <v>0.0</v>
      </c>
      <c r="P243" s="83">
        <v>0.0</v>
      </c>
      <c r="Q243" s="83">
        <v>0.0</v>
      </c>
      <c r="R243" s="83">
        <v>0.0</v>
      </c>
      <c r="S243" s="83">
        <v>0.0</v>
      </c>
      <c r="T243" s="83">
        <v>0.0</v>
      </c>
      <c r="U243" s="83">
        <v>0.0</v>
      </c>
      <c r="V243" s="83">
        <v>0.0</v>
      </c>
      <c r="W243" s="83">
        <v>0.0</v>
      </c>
      <c r="X243" s="83">
        <v>0.0</v>
      </c>
      <c r="Y243" s="83">
        <v>0.0</v>
      </c>
      <c r="Z243" s="83">
        <v>0.0</v>
      </c>
      <c r="AA243" s="83">
        <v>0.0</v>
      </c>
      <c r="AB243" s="83">
        <v>0.0</v>
      </c>
      <c r="AC243" s="83">
        <v>0.0</v>
      </c>
      <c r="AD243" s="83">
        <v>0.0</v>
      </c>
      <c r="AF243" s="65">
        <v>6.0</v>
      </c>
      <c r="AG243" s="74">
        <v>0.0</v>
      </c>
      <c r="AH243" s="74">
        <v>0.0</v>
      </c>
      <c r="AI243" s="74">
        <v>0.0</v>
      </c>
      <c r="AJ243" s="74">
        <v>0.0</v>
      </c>
      <c r="AK243" s="74">
        <v>0.0</v>
      </c>
      <c r="AL243" s="74">
        <v>0.0</v>
      </c>
      <c r="AM243" s="74">
        <v>0.0</v>
      </c>
      <c r="AN243" s="74">
        <v>0.0</v>
      </c>
      <c r="AO243" s="74">
        <v>0.0</v>
      </c>
      <c r="AP243" s="74">
        <v>0.0</v>
      </c>
      <c r="AQ243" s="74">
        <v>0.0</v>
      </c>
      <c r="AR243" s="74">
        <v>0.0</v>
      </c>
      <c r="AS243" s="74">
        <v>0.0</v>
      </c>
      <c r="AT243" s="74">
        <v>0.0</v>
      </c>
      <c r="AU243" s="74">
        <v>0.0</v>
      </c>
      <c r="AV243" s="74">
        <v>0.0</v>
      </c>
      <c r="AW243" s="74">
        <v>0.0</v>
      </c>
      <c r="AX243" s="74">
        <v>0.0</v>
      </c>
      <c r="AY243" s="74">
        <v>0.0</v>
      </c>
      <c r="AZ243" s="74">
        <v>0.0</v>
      </c>
      <c r="BA243" s="74">
        <v>0.0</v>
      </c>
      <c r="BB243" s="74">
        <v>0.0</v>
      </c>
      <c r="BC243" s="74">
        <v>0.0</v>
      </c>
      <c r="BD243" s="74">
        <v>0.0</v>
      </c>
      <c r="BE243" s="74">
        <v>0.0</v>
      </c>
      <c r="BF243" s="74">
        <v>0.0</v>
      </c>
      <c r="BG243" s="74">
        <v>0.0</v>
      </c>
      <c r="BH243" s="74">
        <v>0.0</v>
      </c>
      <c r="BI243" s="9">
        <f t="shared" si="56"/>
        <v>0</v>
      </c>
    </row>
    <row r="244" ht="15.75" customHeight="1">
      <c r="B244" s="65">
        <v>13.0</v>
      </c>
      <c r="C244" s="83">
        <v>0.0</v>
      </c>
      <c r="D244" s="83">
        <v>0.0</v>
      </c>
      <c r="E244" s="83">
        <v>0.0</v>
      </c>
      <c r="F244" s="83">
        <v>0.0</v>
      </c>
      <c r="G244" s="83">
        <v>0.0</v>
      </c>
      <c r="H244" s="83">
        <v>0.0</v>
      </c>
      <c r="I244" s="83">
        <v>0.0</v>
      </c>
      <c r="J244" s="83">
        <v>0.0</v>
      </c>
      <c r="K244" s="83">
        <v>0.0</v>
      </c>
      <c r="L244" s="83">
        <v>0.0</v>
      </c>
      <c r="M244" s="83">
        <v>0.0</v>
      </c>
      <c r="N244" s="83">
        <v>0.0</v>
      </c>
      <c r="O244" s="83">
        <f>$AU15</f>
        <v>12.97612952</v>
      </c>
      <c r="P244" s="83">
        <v>0.0</v>
      </c>
      <c r="Q244" s="83">
        <v>0.0</v>
      </c>
      <c r="R244" s="83">
        <v>0.0</v>
      </c>
      <c r="S244" s="83">
        <v>0.0</v>
      </c>
      <c r="T244" s="83">
        <v>0.0</v>
      </c>
      <c r="U244" s="83">
        <v>0.0</v>
      </c>
      <c r="V244" s="83">
        <v>0.0</v>
      </c>
      <c r="W244" s="83">
        <v>0.0</v>
      </c>
      <c r="X244" s="83">
        <v>0.0</v>
      </c>
      <c r="Y244" s="83">
        <v>0.0</v>
      </c>
      <c r="Z244" s="83">
        <v>0.0</v>
      </c>
      <c r="AA244" s="83">
        <v>0.0</v>
      </c>
      <c r="AB244" s="83">
        <v>0.0</v>
      </c>
      <c r="AC244" s="83">
        <v>0.0</v>
      </c>
      <c r="AD244" s="83">
        <v>0.0</v>
      </c>
      <c r="AF244" s="65">
        <v>7.0</v>
      </c>
      <c r="AG244" s="74">
        <v>0.0</v>
      </c>
      <c r="AH244" s="74">
        <v>0.0</v>
      </c>
      <c r="AI244" s="74">
        <v>0.0</v>
      </c>
      <c r="AJ244" s="74">
        <v>0.0</v>
      </c>
      <c r="AK244" s="74">
        <v>0.0</v>
      </c>
      <c r="AL244" s="74">
        <v>0.0</v>
      </c>
      <c r="AM244" s="74">
        <v>0.0</v>
      </c>
      <c r="AN244" s="74">
        <v>0.0</v>
      </c>
      <c r="AO244" s="74">
        <v>0.0</v>
      </c>
      <c r="AP244" s="74">
        <v>0.0</v>
      </c>
      <c r="AQ244" s="74">
        <v>0.0</v>
      </c>
      <c r="AR244" s="74">
        <v>0.0</v>
      </c>
      <c r="AS244" s="74">
        <v>0.0</v>
      </c>
      <c r="AT244" s="74">
        <v>0.0</v>
      </c>
      <c r="AU244" s="74">
        <v>0.0</v>
      </c>
      <c r="AV244" s="74">
        <v>0.0</v>
      </c>
      <c r="AW244" s="74">
        <v>0.0</v>
      </c>
      <c r="AX244" s="74">
        <v>0.0</v>
      </c>
      <c r="AY244" s="74">
        <v>0.0</v>
      </c>
      <c r="AZ244" s="74">
        <v>0.0</v>
      </c>
      <c r="BA244" s="74">
        <v>0.0</v>
      </c>
      <c r="BB244" s="74">
        <v>0.0</v>
      </c>
      <c r="BC244" s="74">
        <v>0.0</v>
      </c>
      <c r="BD244" s="74">
        <v>0.0</v>
      </c>
      <c r="BE244" s="74">
        <v>0.0</v>
      </c>
      <c r="BF244" s="74">
        <v>0.0</v>
      </c>
      <c r="BG244" s="74">
        <v>0.0</v>
      </c>
      <c r="BH244" s="74">
        <v>0.0</v>
      </c>
      <c r="BI244" s="9">
        <f t="shared" si="56"/>
        <v>0</v>
      </c>
    </row>
    <row r="245" ht="15.75" customHeight="1">
      <c r="B245" s="65">
        <v>14.0</v>
      </c>
      <c r="C245" s="83">
        <v>0.0</v>
      </c>
      <c r="D245" s="83">
        <v>0.0</v>
      </c>
      <c r="E245" s="83">
        <v>0.0</v>
      </c>
      <c r="F245" s="83">
        <v>0.0</v>
      </c>
      <c r="G245" s="83">
        <v>0.0</v>
      </c>
      <c r="H245" s="83">
        <v>0.0</v>
      </c>
      <c r="I245" s="83">
        <v>0.0</v>
      </c>
      <c r="J245" s="83">
        <v>0.0</v>
      </c>
      <c r="K245" s="83">
        <v>0.0</v>
      </c>
      <c r="L245" s="83">
        <v>0.0</v>
      </c>
      <c r="M245" s="83">
        <v>0.0</v>
      </c>
      <c r="N245" s="83">
        <v>0.0</v>
      </c>
      <c r="O245" s="83">
        <v>0.0</v>
      </c>
      <c r="P245" s="83">
        <f>$AU16</f>
        <v>11529.49686</v>
      </c>
      <c r="Q245" s="83">
        <v>0.0</v>
      </c>
      <c r="R245" s="83">
        <v>0.0</v>
      </c>
      <c r="S245" s="83">
        <v>0.0</v>
      </c>
      <c r="T245" s="83">
        <v>0.0</v>
      </c>
      <c r="U245" s="83">
        <v>0.0</v>
      </c>
      <c r="V245" s="83">
        <v>0.0</v>
      </c>
      <c r="W245" s="83">
        <v>0.0</v>
      </c>
      <c r="X245" s="83">
        <v>0.0</v>
      </c>
      <c r="Y245" s="83">
        <v>0.0</v>
      </c>
      <c r="Z245" s="83">
        <v>0.0</v>
      </c>
      <c r="AA245" s="83">
        <v>0.0</v>
      </c>
      <c r="AB245" s="83">
        <v>0.0</v>
      </c>
      <c r="AC245" s="83">
        <v>0.0</v>
      </c>
      <c r="AD245" s="83">
        <v>0.0</v>
      </c>
      <c r="AF245" s="65">
        <v>8.0</v>
      </c>
      <c r="AG245" s="74">
        <v>0.0</v>
      </c>
      <c r="AH245" s="74">
        <v>0.0</v>
      </c>
      <c r="AI245" s="74">
        <v>0.0</v>
      </c>
      <c r="AJ245" s="74">
        <v>0.0</v>
      </c>
      <c r="AK245" s="74">
        <v>0.0</v>
      </c>
      <c r="AL245" s="74">
        <v>0.0</v>
      </c>
      <c r="AM245" s="74">
        <v>0.0</v>
      </c>
      <c r="AN245" s="74">
        <v>0.0</v>
      </c>
      <c r="AO245" s="74">
        <v>0.0</v>
      </c>
      <c r="AP245" s="74">
        <v>0.0</v>
      </c>
      <c r="AQ245" s="74">
        <v>0.0</v>
      </c>
      <c r="AR245" s="74">
        <v>0.0</v>
      </c>
      <c r="AS245" s="74">
        <v>0.0</v>
      </c>
      <c r="AT245" s="74">
        <v>0.0</v>
      </c>
      <c r="AU245" s="74">
        <v>0.0</v>
      </c>
      <c r="AV245" s="74">
        <v>0.0</v>
      </c>
      <c r="AW245" s="74">
        <v>0.0</v>
      </c>
      <c r="AX245" s="74">
        <v>0.0</v>
      </c>
      <c r="AY245" s="74">
        <v>0.0</v>
      </c>
      <c r="AZ245" s="74">
        <v>0.0</v>
      </c>
      <c r="BA245" s="74">
        <v>0.0</v>
      </c>
      <c r="BB245" s="74">
        <v>0.0</v>
      </c>
      <c r="BC245" s="74">
        <v>0.0</v>
      </c>
      <c r="BD245" s="74">
        <v>0.0</v>
      </c>
      <c r="BE245" s="74">
        <v>0.0</v>
      </c>
      <c r="BF245" s="74">
        <v>0.0</v>
      </c>
      <c r="BG245" s="74">
        <v>0.0</v>
      </c>
      <c r="BH245" s="74">
        <v>0.0</v>
      </c>
      <c r="BI245" s="9">
        <f t="shared" si="56"/>
        <v>0</v>
      </c>
    </row>
    <row r="246" ht="15.75" customHeight="1">
      <c r="B246" s="65">
        <v>15.0</v>
      </c>
      <c r="C246" s="83">
        <v>0.0</v>
      </c>
      <c r="D246" s="83">
        <v>0.0</v>
      </c>
      <c r="E246" s="83">
        <v>0.0</v>
      </c>
      <c r="F246" s="83">
        <v>0.0</v>
      </c>
      <c r="G246" s="83">
        <v>0.0</v>
      </c>
      <c r="H246" s="83">
        <v>0.0</v>
      </c>
      <c r="I246" s="83">
        <v>0.0</v>
      </c>
      <c r="J246" s="83">
        <v>0.0</v>
      </c>
      <c r="K246" s="83">
        <v>0.0</v>
      </c>
      <c r="L246" s="83">
        <v>0.0</v>
      </c>
      <c r="M246" s="83">
        <v>0.0</v>
      </c>
      <c r="N246" s="83">
        <v>0.0</v>
      </c>
      <c r="O246" s="83">
        <v>0.0</v>
      </c>
      <c r="P246" s="83">
        <v>0.0</v>
      </c>
      <c r="Q246" s="83">
        <f>$AU17</f>
        <v>1119837.396</v>
      </c>
      <c r="R246" s="83">
        <v>0.0</v>
      </c>
      <c r="S246" s="83">
        <v>0.0</v>
      </c>
      <c r="T246" s="83">
        <v>0.0</v>
      </c>
      <c r="U246" s="83">
        <v>0.0</v>
      </c>
      <c r="V246" s="83">
        <v>0.0</v>
      </c>
      <c r="W246" s="83">
        <v>0.0</v>
      </c>
      <c r="X246" s="83">
        <v>0.0</v>
      </c>
      <c r="Y246" s="83">
        <v>0.0</v>
      </c>
      <c r="Z246" s="83">
        <v>0.0</v>
      </c>
      <c r="AA246" s="83">
        <v>0.0</v>
      </c>
      <c r="AB246" s="83">
        <v>0.0</v>
      </c>
      <c r="AC246" s="83">
        <v>0.0</v>
      </c>
      <c r="AD246" s="83">
        <v>0.0</v>
      </c>
      <c r="AF246" s="65">
        <v>9.0</v>
      </c>
      <c r="AG246" s="74">
        <v>0.0</v>
      </c>
      <c r="AH246" s="74">
        <v>0.0</v>
      </c>
      <c r="AI246" s="74">
        <v>0.0</v>
      </c>
      <c r="AJ246" s="74">
        <v>0.0</v>
      </c>
      <c r="AK246" s="74">
        <v>0.0</v>
      </c>
      <c r="AL246" s="74">
        <v>0.0</v>
      </c>
      <c r="AM246" s="74">
        <v>0.0</v>
      </c>
      <c r="AN246" s="74">
        <v>0.0</v>
      </c>
      <c r="AO246" s="74">
        <v>0.0</v>
      </c>
      <c r="AP246" s="74">
        <v>0.0</v>
      </c>
      <c r="AQ246" s="74">
        <v>0.0</v>
      </c>
      <c r="AR246" s="74">
        <v>0.0</v>
      </c>
      <c r="AS246" s="74">
        <v>0.0</v>
      </c>
      <c r="AT246" s="74">
        <v>0.0</v>
      </c>
      <c r="AU246" s="74">
        <v>0.0</v>
      </c>
      <c r="AV246" s="74">
        <v>0.0</v>
      </c>
      <c r="AW246" s="74">
        <v>0.0</v>
      </c>
      <c r="AX246" s="74">
        <v>0.0</v>
      </c>
      <c r="AY246" s="74">
        <v>0.0</v>
      </c>
      <c r="AZ246" s="74">
        <v>0.0</v>
      </c>
      <c r="BA246" s="74">
        <v>0.0</v>
      </c>
      <c r="BB246" s="74">
        <v>0.0</v>
      </c>
      <c r="BC246" s="74">
        <v>0.0</v>
      </c>
      <c r="BD246" s="74">
        <v>0.0</v>
      </c>
      <c r="BE246" s="74">
        <v>0.0</v>
      </c>
      <c r="BF246" s="74">
        <v>0.0</v>
      </c>
      <c r="BG246" s="74">
        <v>0.0</v>
      </c>
      <c r="BH246" s="74">
        <v>0.0</v>
      </c>
      <c r="BI246" s="9">
        <f t="shared" si="56"/>
        <v>0</v>
      </c>
    </row>
    <row r="247" ht="15.75" customHeight="1">
      <c r="B247" s="65">
        <v>16.0</v>
      </c>
      <c r="C247" s="83">
        <v>0.0</v>
      </c>
      <c r="D247" s="83">
        <v>0.0</v>
      </c>
      <c r="E247" s="83">
        <v>0.0</v>
      </c>
      <c r="F247" s="83">
        <v>0.0</v>
      </c>
      <c r="G247" s="83">
        <v>0.0</v>
      </c>
      <c r="H247" s="83">
        <v>0.0</v>
      </c>
      <c r="I247" s="83">
        <v>0.0</v>
      </c>
      <c r="J247" s="83">
        <v>0.0</v>
      </c>
      <c r="K247" s="83">
        <v>0.0</v>
      </c>
      <c r="L247" s="83">
        <v>0.0</v>
      </c>
      <c r="M247" s="83">
        <v>0.0</v>
      </c>
      <c r="N247" s="83">
        <v>0.0</v>
      </c>
      <c r="O247" s="83">
        <v>0.0</v>
      </c>
      <c r="P247" s="83">
        <v>0.0</v>
      </c>
      <c r="Q247" s="83">
        <v>0.0</v>
      </c>
      <c r="R247" s="83">
        <f>$AU18</f>
        <v>634153.8852</v>
      </c>
      <c r="S247" s="83">
        <v>0.0</v>
      </c>
      <c r="T247" s="83">
        <v>0.0</v>
      </c>
      <c r="U247" s="83">
        <v>0.0</v>
      </c>
      <c r="V247" s="83">
        <v>0.0</v>
      </c>
      <c r="W247" s="83">
        <v>0.0</v>
      </c>
      <c r="X247" s="83">
        <v>0.0</v>
      </c>
      <c r="Y247" s="83">
        <v>0.0</v>
      </c>
      <c r="Z247" s="83">
        <v>0.0</v>
      </c>
      <c r="AA247" s="83">
        <v>0.0</v>
      </c>
      <c r="AB247" s="83">
        <v>0.0</v>
      </c>
      <c r="AC247" s="83">
        <v>0.0</v>
      </c>
      <c r="AD247" s="83">
        <v>0.0</v>
      </c>
      <c r="AF247" s="65">
        <v>10.0</v>
      </c>
      <c r="AG247" s="74">
        <v>0.0</v>
      </c>
      <c r="AH247" s="74">
        <v>0.0</v>
      </c>
      <c r="AI247" s="74">
        <v>0.0</v>
      </c>
      <c r="AJ247" s="74">
        <v>0.0</v>
      </c>
      <c r="AK247" s="74">
        <v>0.0</v>
      </c>
      <c r="AL247" s="74">
        <v>0.0</v>
      </c>
      <c r="AM247" s="74">
        <v>0.0</v>
      </c>
      <c r="AN247" s="74">
        <v>0.0</v>
      </c>
      <c r="AO247" s="74">
        <v>0.0</v>
      </c>
      <c r="AP247" s="74">
        <v>0.0</v>
      </c>
      <c r="AQ247" s="74">
        <v>0.0</v>
      </c>
      <c r="AR247" s="74">
        <v>0.0</v>
      </c>
      <c r="AS247" s="74">
        <v>0.0</v>
      </c>
      <c r="AT247" s="74">
        <v>0.0</v>
      </c>
      <c r="AU247" s="74">
        <v>0.0</v>
      </c>
      <c r="AV247" s="74">
        <v>0.0</v>
      </c>
      <c r="AW247" s="74">
        <v>0.0</v>
      </c>
      <c r="AX247" s="74">
        <v>0.0</v>
      </c>
      <c r="AY247" s="74">
        <v>0.0</v>
      </c>
      <c r="AZ247" s="74">
        <v>0.0</v>
      </c>
      <c r="BA247" s="74">
        <v>0.0</v>
      </c>
      <c r="BB247" s="74">
        <v>0.0</v>
      </c>
      <c r="BC247" s="74">
        <v>0.0</v>
      </c>
      <c r="BD247" s="74">
        <v>0.0</v>
      </c>
      <c r="BE247" s="74">
        <v>0.0</v>
      </c>
      <c r="BF247" s="74">
        <v>0.0</v>
      </c>
      <c r="BG247" s="74">
        <v>0.0</v>
      </c>
      <c r="BH247" s="74">
        <v>0.0</v>
      </c>
      <c r="BI247" s="9">
        <f t="shared" si="56"/>
        <v>0</v>
      </c>
    </row>
    <row r="248" ht="15.75" customHeight="1">
      <c r="B248" s="65">
        <v>17.0</v>
      </c>
      <c r="C248" s="83">
        <v>0.0</v>
      </c>
      <c r="D248" s="83">
        <v>0.0</v>
      </c>
      <c r="E248" s="83">
        <v>0.0</v>
      </c>
      <c r="F248" s="83">
        <v>0.0</v>
      </c>
      <c r="G248" s="83">
        <v>0.0</v>
      </c>
      <c r="H248" s="83">
        <v>0.0</v>
      </c>
      <c r="I248" s="83">
        <v>0.0</v>
      </c>
      <c r="J248" s="83">
        <v>0.0</v>
      </c>
      <c r="K248" s="83">
        <v>0.0</v>
      </c>
      <c r="L248" s="83">
        <v>0.0</v>
      </c>
      <c r="M248" s="83">
        <v>0.0</v>
      </c>
      <c r="N248" s="83">
        <v>0.0</v>
      </c>
      <c r="O248" s="83">
        <v>0.0</v>
      </c>
      <c r="P248" s="83">
        <v>0.0</v>
      </c>
      <c r="Q248" s="83">
        <v>0.0</v>
      </c>
      <c r="R248" s="83">
        <v>0.0</v>
      </c>
      <c r="S248" s="83">
        <f>$AU19</f>
        <v>986657.7631</v>
      </c>
      <c r="T248" s="83">
        <v>0.0</v>
      </c>
      <c r="U248" s="83">
        <v>0.0</v>
      </c>
      <c r="V248" s="83">
        <v>0.0</v>
      </c>
      <c r="W248" s="83">
        <v>0.0</v>
      </c>
      <c r="X248" s="83">
        <v>0.0</v>
      </c>
      <c r="Y248" s="83">
        <v>0.0</v>
      </c>
      <c r="Z248" s="83">
        <v>0.0</v>
      </c>
      <c r="AA248" s="83">
        <v>0.0</v>
      </c>
      <c r="AB248" s="83">
        <v>0.0</v>
      </c>
      <c r="AC248" s="83">
        <v>0.0</v>
      </c>
      <c r="AD248" s="83">
        <v>0.0</v>
      </c>
      <c r="AF248" s="65">
        <v>11.0</v>
      </c>
      <c r="AG248" s="74">
        <v>0.0</v>
      </c>
      <c r="AH248" s="74">
        <v>0.0</v>
      </c>
      <c r="AI248" s="74">
        <v>0.0</v>
      </c>
      <c r="AJ248" s="74">
        <v>0.0</v>
      </c>
      <c r="AK248" s="74">
        <v>0.0</v>
      </c>
      <c r="AL248" s="74">
        <v>0.0</v>
      </c>
      <c r="AM248" s="74">
        <v>0.0</v>
      </c>
      <c r="AN248" s="74">
        <v>0.0</v>
      </c>
      <c r="AO248" s="74">
        <v>0.0</v>
      </c>
      <c r="AP248" s="74">
        <v>0.0</v>
      </c>
      <c r="AQ248" s="74">
        <v>0.0</v>
      </c>
      <c r="AR248" s="74">
        <v>0.0</v>
      </c>
      <c r="AS248" s="74">
        <v>0.0</v>
      </c>
      <c r="AT248" s="74">
        <v>0.0</v>
      </c>
      <c r="AU248" s="74">
        <v>0.0</v>
      </c>
      <c r="AV248" s="74">
        <v>0.0</v>
      </c>
      <c r="AW248" s="74">
        <v>0.0</v>
      </c>
      <c r="AX248" s="74">
        <v>0.0</v>
      </c>
      <c r="AY248" s="74">
        <v>0.0</v>
      </c>
      <c r="AZ248" s="74">
        <v>0.0</v>
      </c>
      <c r="BA248" s="74">
        <v>0.0</v>
      </c>
      <c r="BB248" s="74">
        <v>0.0</v>
      </c>
      <c r="BC248" s="74">
        <v>0.0</v>
      </c>
      <c r="BD248" s="74">
        <v>0.0</v>
      </c>
      <c r="BE248" s="74">
        <v>0.0</v>
      </c>
      <c r="BF248" s="74">
        <v>0.0</v>
      </c>
      <c r="BG248" s="74">
        <v>0.0</v>
      </c>
      <c r="BH248" s="74">
        <v>0.0</v>
      </c>
      <c r="BI248" s="9">
        <f t="shared" si="56"/>
        <v>0</v>
      </c>
    </row>
    <row r="249" ht="15.75" customHeight="1">
      <c r="B249" s="65">
        <v>18.0</v>
      </c>
      <c r="C249" s="83">
        <v>0.0</v>
      </c>
      <c r="D249" s="83">
        <v>0.0</v>
      </c>
      <c r="E249" s="83">
        <v>0.0</v>
      </c>
      <c r="F249" s="83">
        <v>0.0</v>
      </c>
      <c r="G249" s="83">
        <v>0.0</v>
      </c>
      <c r="H249" s="83">
        <v>0.0</v>
      </c>
      <c r="I249" s="83">
        <v>0.0</v>
      </c>
      <c r="J249" s="83">
        <v>0.0</v>
      </c>
      <c r="K249" s="83">
        <v>0.0</v>
      </c>
      <c r="L249" s="83">
        <v>0.0</v>
      </c>
      <c r="M249" s="83">
        <v>0.0</v>
      </c>
      <c r="N249" s="83">
        <v>0.0</v>
      </c>
      <c r="O249" s="83">
        <v>0.0</v>
      </c>
      <c r="P249" s="83">
        <v>0.0</v>
      </c>
      <c r="Q249" s="83">
        <v>0.0</v>
      </c>
      <c r="R249" s="83">
        <v>0.0</v>
      </c>
      <c r="S249" s="83">
        <v>0.0</v>
      </c>
      <c r="T249" s="83">
        <f>$AU20</f>
        <v>1479572.035</v>
      </c>
      <c r="U249" s="83">
        <v>0.0</v>
      </c>
      <c r="V249" s="83">
        <v>0.0</v>
      </c>
      <c r="W249" s="83">
        <v>0.0</v>
      </c>
      <c r="X249" s="83">
        <v>0.0</v>
      </c>
      <c r="Y249" s="83">
        <v>0.0</v>
      </c>
      <c r="Z249" s="83">
        <v>0.0</v>
      </c>
      <c r="AA249" s="83">
        <v>0.0</v>
      </c>
      <c r="AB249" s="83">
        <v>0.0</v>
      </c>
      <c r="AC249" s="83">
        <v>0.0</v>
      </c>
      <c r="AD249" s="83">
        <v>0.0</v>
      </c>
      <c r="AF249" s="65">
        <v>12.0</v>
      </c>
      <c r="AG249" s="74">
        <v>0.0</v>
      </c>
      <c r="AH249" s="74">
        <v>0.0</v>
      </c>
      <c r="AI249" s="74">
        <v>0.0</v>
      </c>
      <c r="AJ249" s="74">
        <v>0.0</v>
      </c>
      <c r="AK249" s="74">
        <v>0.0</v>
      </c>
      <c r="AL249" s="74">
        <v>0.0</v>
      </c>
      <c r="AM249" s="74">
        <v>0.0</v>
      </c>
      <c r="AN249" s="74">
        <v>0.0</v>
      </c>
      <c r="AO249" s="74">
        <v>0.0</v>
      </c>
      <c r="AP249" s="74">
        <v>0.0</v>
      </c>
      <c r="AQ249" s="74">
        <v>0.0</v>
      </c>
      <c r="AR249" s="74">
        <v>0.0</v>
      </c>
      <c r="AS249" s="74">
        <v>0.0</v>
      </c>
      <c r="AT249" s="74">
        <v>0.0</v>
      </c>
      <c r="AU249" s="74">
        <v>0.0</v>
      </c>
      <c r="AV249" s="74">
        <v>0.0</v>
      </c>
      <c r="AW249" s="74">
        <v>0.0</v>
      </c>
      <c r="AX249" s="74">
        <v>0.0</v>
      </c>
      <c r="AY249" s="74">
        <v>0.0</v>
      </c>
      <c r="AZ249" s="74">
        <v>0.0</v>
      </c>
      <c r="BA249" s="74">
        <v>0.0</v>
      </c>
      <c r="BB249" s="74">
        <v>0.0</v>
      </c>
      <c r="BC249" s="74">
        <v>0.0</v>
      </c>
      <c r="BD249" s="74">
        <v>0.0</v>
      </c>
      <c r="BE249" s="74">
        <v>0.0</v>
      </c>
      <c r="BF249" s="74">
        <v>0.0</v>
      </c>
      <c r="BG249" s="74">
        <v>0.0</v>
      </c>
      <c r="BH249" s="74">
        <v>0.0</v>
      </c>
      <c r="BI249" s="9">
        <f t="shared" si="56"/>
        <v>0</v>
      </c>
    </row>
    <row r="250" ht="15.75" customHeight="1">
      <c r="B250" s="65">
        <v>19.0</v>
      </c>
      <c r="C250" s="83">
        <v>0.0</v>
      </c>
      <c r="D250" s="83">
        <v>0.0</v>
      </c>
      <c r="E250" s="83">
        <v>0.0</v>
      </c>
      <c r="F250" s="83">
        <v>0.0</v>
      </c>
      <c r="G250" s="83">
        <v>0.0</v>
      </c>
      <c r="H250" s="83">
        <v>0.0</v>
      </c>
      <c r="I250" s="83">
        <v>0.0</v>
      </c>
      <c r="J250" s="83">
        <v>0.0</v>
      </c>
      <c r="K250" s="83">
        <v>0.0</v>
      </c>
      <c r="L250" s="83">
        <v>0.0</v>
      </c>
      <c r="M250" s="83">
        <v>0.0</v>
      </c>
      <c r="N250" s="83">
        <v>0.0</v>
      </c>
      <c r="O250" s="83">
        <v>0.0</v>
      </c>
      <c r="P250" s="83">
        <v>0.0</v>
      </c>
      <c r="Q250" s="83">
        <v>0.0</v>
      </c>
      <c r="R250" s="83">
        <v>0.0</v>
      </c>
      <c r="S250" s="83">
        <v>0.0</v>
      </c>
      <c r="T250" s="83">
        <v>0.0</v>
      </c>
      <c r="U250" s="83">
        <f>$AU21</f>
        <v>1642776.87</v>
      </c>
      <c r="V250" s="83">
        <v>0.0</v>
      </c>
      <c r="W250" s="83">
        <v>0.0</v>
      </c>
      <c r="X250" s="83">
        <v>0.0</v>
      </c>
      <c r="Y250" s="83">
        <v>0.0</v>
      </c>
      <c r="Z250" s="83">
        <v>0.0</v>
      </c>
      <c r="AA250" s="83">
        <v>0.0</v>
      </c>
      <c r="AB250" s="83">
        <v>0.0</v>
      </c>
      <c r="AC250" s="83">
        <v>0.0</v>
      </c>
      <c r="AD250" s="83">
        <v>0.0</v>
      </c>
      <c r="AF250" s="65">
        <v>13.0</v>
      </c>
      <c r="AG250" s="74">
        <v>0.0</v>
      </c>
      <c r="AH250" s="74">
        <v>0.0</v>
      </c>
      <c r="AI250" s="74">
        <v>0.0</v>
      </c>
      <c r="AJ250" s="74">
        <v>0.0</v>
      </c>
      <c r="AK250" s="74">
        <v>0.0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0.0</v>
      </c>
      <c r="AQ250" s="74">
        <v>0.0</v>
      </c>
      <c r="AR250" s="74">
        <v>0.0</v>
      </c>
      <c r="AS250" s="74">
        <v>0.0</v>
      </c>
      <c r="AT250" s="74">
        <v>0.0</v>
      </c>
      <c r="AU250" s="74">
        <v>0.0</v>
      </c>
      <c r="AV250" s="74">
        <v>0.0</v>
      </c>
      <c r="AW250" s="74">
        <v>0.0</v>
      </c>
      <c r="AX250" s="74">
        <v>0.0</v>
      </c>
      <c r="AY250" s="74">
        <v>0.0</v>
      </c>
      <c r="AZ250" s="74">
        <v>0.0</v>
      </c>
      <c r="BA250" s="74">
        <v>0.0</v>
      </c>
      <c r="BB250" s="74">
        <v>0.0</v>
      </c>
      <c r="BC250" s="74">
        <v>0.0</v>
      </c>
      <c r="BD250" s="74">
        <v>0.0</v>
      </c>
      <c r="BE250" s="74">
        <v>0.0</v>
      </c>
      <c r="BF250" s="74">
        <v>0.0</v>
      </c>
      <c r="BG250" s="74">
        <v>0.0</v>
      </c>
      <c r="BH250" s="74">
        <v>0.0</v>
      </c>
      <c r="BI250" s="9">
        <f t="shared" si="56"/>
        <v>0</v>
      </c>
    </row>
    <row r="251" ht="15.75" customHeight="1">
      <c r="B251" s="65">
        <v>20.0</v>
      </c>
      <c r="C251" s="83">
        <v>0.0</v>
      </c>
      <c r="D251" s="83">
        <v>0.0</v>
      </c>
      <c r="E251" s="83">
        <v>0.0</v>
      </c>
      <c r="F251" s="83">
        <v>0.0</v>
      </c>
      <c r="G251" s="83">
        <v>0.0</v>
      </c>
      <c r="H251" s="83">
        <v>0.0</v>
      </c>
      <c r="I251" s="83">
        <v>0.0</v>
      </c>
      <c r="J251" s="83">
        <v>0.0</v>
      </c>
      <c r="K251" s="83">
        <v>0.0</v>
      </c>
      <c r="L251" s="83">
        <v>0.0</v>
      </c>
      <c r="M251" s="83">
        <v>0.0</v>
      </c>
      <c r="N251" s="83">
        <v>0.0</v>
      </c>
      <c r="O251" s="83">
        <v>0.0</v>
      </c>
      <c r="P251" s="83">
        <v>0.0</v>
      </c>
      <c r="Q251" s="83">
        <v>0.0</v>
      </c>
      <c r="R251" s="83">
        <v>0.0</v>
      </c>
      <c r="S251" s="83">
        <v>0.0</v>
      </c>
      <c r="T251" s="83">
        <v>0.0</v>
      </c>
      <c r="U251" s="83">
        <v>0.0</v>
      </c>
      <c r="V251" s="83">
        <f>$AU22</f>
        <v>55883.31041</v>
      </c>
      <c r="W251" s="83">
        <v>0.0</v>
      </c>
      <c r="X251" s="83">
        <v>0.0</v>
      </c>
      <c r="Y251" s="83">
        <v>0.0</v>
      </c>
      <c r="Z251" s="83">
        <v>0.0</v>
      </c>
      <c r="AA251" s="83">
        <v>0.0</v>
      </c>
      <c r="AB251" s="83">
        <v>0.0</v>
      </c>
      <c r="AC251" s="83">
        <v>0.0</v>
      </c>
      <c r="AD251" s="83">
        <v>0.0</v>
      </c>
      <c r="AF251" s="65">
        <v>14.0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74">
        <v>0.0</v>
      </c>
      <c r="AV251" s="74">
        <v>0.0</v>
      </c>
      <c r="AW251" s="74">
        <v>0.0</v>
      </c>
      <c r="AX251" s="74">
        <v>0.0</v>
      </c>
      <c r="AY251" s="74">
        <v>0.0</v>
      </c>
      <c r="AZ251" s="74">
        <v>0.0</v>
      </c>
      <c r="BA251" s="74">
        <v>0.0</v>
      </c>
      <c r="BB251" s="74">
        <v>0.0</v>
      </c>
      <c r="BC251" s="74">
        <v>0.0</v>
      </c>
      <c r="BD251" s="74">
        <v>0.0</v>
      </c>
      <c r="BE251" s="74">
        <v>0.0</v>
      </c>
      <c r="BF251" s="74">
        <v>0.0</v>
      </c>
      <c r="BG251" s="74">
        <v>0.0</v>
      </c>
      <c r="BH251" s="74">
        <v>0.0</v>
      </c>
      <c r="BI251" s="9">
        <f t="shared" si="56"/>
        <v>0</v>
      </c>
    </row>
    <row r="252" ht="15.75" customHeight="1">
      <c r="B252" s="65">
        <v>21.0</v>
      </c>
      <c r="C252" s="83">
        <v>0.0</v>
      </c>
      <c r="D252" s="83">
        <v>0.0</v>
      </c>
      <c r="E252" s="83">
        <v>0.0</v>
      </c>
      <c r="F252" s="83">
        <v>0.0</v>
      </c>
      <c r="G252" s="83">
        <v>0.0</v>
      </c>
      <c r="H252" s="83">
        <v>0.0</v>
      </c>
      <c r="I252" s="83">
        <v>0.0</v>
      </c>
      <c r="J252" s="83">
        <v>0.0</v>
      </c>
      <c r="K252" s="83">
        <v>0.0</v>
      </c>
      <c r="L252" s="83">
        <v>0.0</v>
      </c>
      <c r="M252" s="83">
        <v>0.0</v>
      </c>
      <c r="N252" s="83">
        <v>0.0</v>
      </c>
      <c r="O252" s="83">
        <v>0.0</v>
      </c>
      <c r="P252" s="83">
        <v>0.0</v>
      </c>
      <c r="Q252" s="83">
        <v>0.0</v>
      </c>
      <c r="R252" s="83">
        <v>0.0</v>
      </c>
      <c r="S252" s="83">
        <v>0.0</v>
      </c>
      <c r="T252" s="83">
        <v>0.0</v>
      </c>
      <c r="U252" s="83">
        <v>0.0</v>
      </c>
      <c r="V252" s="83">
        <v>0.0</v>
      </c>
      <c r="W252" s="83">
        <f>$AU23</f>
        <v>285064.3713</v>
      </c>
      <c r="X252" s="83">
        <v>0.0</v>
      </c>
      <c r="Y252" s="83">
        <v>0.0</v>
      </c>
      <c r="Z252" s="83">
        <v>0.0</v>
      </c>
      <c r="AA252" s="83">
        <v>0.0</v>
      </c>
      <c r="AB252" s="83">
        <v>0.0</v>
      </c>
      <c r="AC252" s="83">
        <v>0.0</v>
      </c>
      <c r="AD252" s="83">
        <v>0.0</v>
      </c>
      <c r="AF252" s="65">
        <v>15.0</v>
      </c>
      <c r="AG252" s="74">
        <v>0.0</v>
      </c>
      <c r="AH252" s="74">
        <v>0.0</v>
      </c>
      <c r="AI252" s="74">
        <v>0.0</v>
      </c>
      <c r="AJ252" s="74">
        <v>0.0</v>
      </c>
      <c r="AK252" s="74">
        <v>0.0</v>
      </c>
      <c r="AL252" s="74">
        <v>0.0</v>
      </c>
      <c r="AM252" s="74">
        <v>0.0</v>
      </c>
      <c r="AN252" s="74">
        <v>0.0</v>
      </c>
      <c r="AO252" s="74">
        <v>0.0</v>
      </c>
      <c r="AP252" s="74">
        <v>0.0</v>
      </c>
      <c r="AQ252" s="74">
        <v>0.0</v>
      </c>
      <c r="AR252" s="74">
        <v>0.0</v>
      </c>
      <c r="AS252" s="74">
        <v>0.0</v>
      </c>
      <c r="AT252" s="74">
        <v>0.0</v>
      </c>
      <c r="AU252" s="74">
        <v>0.0</v>
      </c>
      <c r="AV252" s="74">
        <v>0.0</v>
      </c>
      <c r="AW252" s="74">
        <v>0.0</v>
      </c>
      <c r="AX252" s="74">
        <v>0.0</v>
      </c>
      <c r="AY252" s="74">
        <v>0.0</v>
      </c>
      <c r="AZ252" s="74">
        <v>0.0</v>
      </c>
      <c r="BA252" s="74">
        <v>0.0</v>
      </c>
      <c r="BB252" s="74">
        <v>0.0</v>
      </c>
      <c r="BC252" s="74">
        <v>0.0</v>
      </c>
      <c r="BD252" s="74">
        <v>0.0</v>
      </c>
      <c r="BE252" s="74">
        <v>0.0</v>
      </c>
      <c r="BF252" s="74">
        <v>0.0</v>
      </c>
      <c r="BG252" s="74">
        <v>0.0</v>
      </c>
      <c r="BH252" s="74">
        <v>0.0</v>
      </c>
      <c r="BI252" s="9">
        <f t="shared" si="56"/>
        <v>0</v>
      </c>
    </row>
    <row r="253" ht="15.75" customHeight="1">
      <c r="B253" s="65">
        <v>22.0</v>
      </c>
      <c r="C253" s="83">
        <v>0.0</v>
      </c>
      <c r="D253" s="83">
        <v>0.0</v>
      </c>
      <c r="E253" s="83">
        <v>0.0</v>
      </c>
      <c r="F253" s="83">
        <v>0.0</v>
      </c>
      <c r="G253" s="83">
        <v>0.0</v>
      </c>
      <c r="H253" s="83">
        <v>0.0</v>
      </c>
      <c r="I253" s="83">
        <v>0.0</v>
      </c>
      <c r="J253" s="83">
        <v>0.0</v>
      </c>
      <c r="K253" s="83">
        <v>0.0</v>
      </c>
      <c r="L253" s="83">
        <v>0.0</v>
      </c>
      <c r="M253" s="83">
        <v>0.0</v>
      </c>
      <c r="N253" s="83">
        <v>0.0</v>
      </c>
      <c r="O253" s="83">
        <v>0.0</v>
      </c>
      <c r="P253" s="83">
        <v>0.0</v>
      </c>
      <c r="Q253" s="83">
        <v>0.0</v>
      </c>
      <c r="R253" s="83">
        <v>0.0</v>
      </c>
      <c r="S253" s="83">
        <v>0.0</v>
      </c>
      <c r="T253" s="83">
        <v>0.0</v>
      </c>
      <c r="U253" s="83">
        <v>0.0</v>
      </c>
      <c r="V253" s="83">
        <v>0.0</v>
      </c>
      <c r="W253" s="83">
        <v>0.0</v>
      </c>
      <c r="X253" s="83">
        <f>$AU24</f>
        <v>21869543.43</v>
      </c>
      <c r="Y253" s="83">
        <v>0.0</v>
      </c>
      <c r="Z253" s="83">
        <v>0.0</v>
      </c>
      <c r="AA253" s="83">
        <v>0.0</v>
      </c>
      <c r="AB253" s="83">
        <v>0.0</v>
      </c>
      <c r="AC253" s="83">
        <v>0.0</v>
      </c>
      <c r="AD253" s="83">
        <v>0.0</v>
      </c>
      <c r="AF253" s="65">
        <v>16.0</v>
      </c>
      <c r="AG253" s="74">
        <v>0.0</v>
      </c>
      <c r="AH253" s="74">
        <v>0.0</v>
      </c>
      <c r="AI253" s="74">
        <v>0.0</v>
      </c>
      <c r="AJ253" s="74">
        <v>0.0</v>
      </c>
      <c r="AK253" s="74">
        <v>0.0</v>
      </c>
      <c r="AL253" s="74">
        <v>0.0</v>
      </c>
      <c r="AM253" s="74">
        <v>0.0</v>
      </c>
      <c r="AN253" s="74">
        <v>0.0</v>
      </c>
      <c r="AO253" s="74">
        <v>0.0</v>
      </c>
      <c r="AP253" s="74">
        <v>0.0</v>
      </c>
      <c r="AQ253" s="74">
        <v>0.0</v>
      </c>
      <c r="AR253" s="74">
        <v>0.0</v>
      </c>
      <c r="AS253" s="74">
        <v>0.0</v>
      </c>
      <c r="AT253" s="74">
        <v>0.0</v>
      </c>
      <c r="AU253" s="74">
        <v>0.0</v>
      </c>
      <c r="AV253" s="74">
        <v>0.0</v>
      </c>
      <c r="AW253" s="74">
        <v>0.0</v>
      </c>
      <c r="AX253" s="74">
        <v>0.0</v>
      </c>
      <c r="AY253" s="74">
        <v>0.0</v>
      </c>
      <c r="AZ253" s="74">
        <v>0.0</v>
      </c>
      <c r="BA253" s="74">
        <v>0.0</v>
      </c>
      <c r="BB253" s="74">
        <v>0.0</v>
      </c>
      <c r="BC253" s="74">
        <v>0.0</v>
      </c>
      <c r="BD253" s="74">
        <v>0.0</v>
      </c>
      <c r="BE253" s="74">
        <v>0.0</v>
      </c>
      <c r="BF253" s="74">
        <v>0.0</v>
      </c>
      <c r="BG253" s="74">
        <v>0.0</v>
      </c>
      <c r="BH253" s="74">
        <v>0.0</v>
      </c>
      <c r="BI253" s="9">
        <f t="shared" si="56"/>
        <v>0</v>
      </c>
    </row>
    <row r="254" ht="15.75" customHeight="1">
      <c r="B254" s="65">
        <v>23.0</v>
      </c>
      <c r="C254" s="83">
        <v>0.0</v>
      </c>
      <c r="D254" s="83">
        <v>0.0</v>
      </c>
      <c r="E254" s="83">
        <v>0.0</v>
      </c>
      <c r="F254" s="83">
        <v>0.0</v>
      </c>
      <c r="G254" s="83">
        <v>0.0</v>
      </c>
      <c r="H254" s="83">
        <v>0.0</v>
      </c>
      <c r="I254" s="83">
        <v>0.0</v>
      </c>
      <c r="J254" s="83">
        <v>0.0</v>
      </c>
      <c r="K254" s="83">
        <v>0.0</v>
      </c>
      <c r="L254" s="83">
        <v>0.0</v>
      </c>
      <c r="M254" s="83">
        <v>0.0</v>
      </c>
      <c r="N254" s="83">
        <v>0.0</v>
      </c>
      <c r="O254" s="83">
        <v>0.0</v>
      </c>
      <c r="P254" s="83">
        <v>0.0</v>
      </c>
      <c r="Q254" s="83">
        <v>0.0</v>
      </c>
      <c r="R254" s="83">
        <v>0.0</v>
      </c>
      <c r="S254" s="83">
        <v>0.0</v>
      </c>
      <c r="T254" s="83">
        <v>0.0</v>
      </c>
      <c r="U254" s="83">
        <v>0.0</v>
      </c>
      <c r="V254" s="83">
        <v>0.0</v>
      </c>
      <c r="W254" s="83">
        <v>0.0</v>
      </c>
      <c r="X254" s="83">
        <v>0.0</v>
      </c>
      <c r="Y254" s="83">
        <f>$AU25</f>
        <v>275994.4422</v>
      </c>
      <c r="Z254" s="83">
        <v>0.0</v>
      </c>
      <c r="AA254" s="83">
        <v>0.0</v>
      </c>
      <c r="AB254" s="83">
        <v>0.0</v>
      </c>
      <c r="AC254" s="83">
        <v>0.0</v>
      </c>
      <c r="AD254" s="83">
        <v>0.0</v>
      </c>
      <c r="AF254" s="65">
        <v>17.0</v>
      </c>
      <c r="AG254" s="74">
        <v>19.28575189453998</v>
      </c>
      <c r="AH254" s="74">
        <v>62.116285385900476</v>
      </c>
      <c r="AI254" s="74">
        <v>175.30458338161299</v>
      </c>
      <c r="AJ254" s="74">
        <v>1075.0111823650377</v>
      </c>
      <c r="AK254" s="74">
        <v>443.0349789088811</v>
      </c>
      <c r="AL254" s="74">
        <v>0.5627010647944036</v>
      </c>
      <c r="AM254" s="74">
        <v>13.80212869233041</v>
      </c>
      <c r="AN254" s="74">
        <v>1794.9934237636044</v>
      </c>
      <c r="AO254" s="74">
        <v>2.823282252577946</v>
      </c>
      <c r="AP254" s="74">
        <v>1683.2172678379573</v>
      </c>
      <c r="AQ254" s="74">
        <v>2788.1273312395133</v>
      </c>
      <c r="AR254" s="74">
        <v>0.7940575411147799</v>
      </c>
      <c r="AS254" s="74">
        <v>0.11079500615235645</v>
      </c>
      <c r="AT254" s="74">
        <v>465.4870411626076</v>
      </c>
      <c r="AU254" s="74">
        <v>42479.28112346829</v>
      </c>
      <c r="AV254" s="74">
        <v>34485.98719122318</v>
      </c>
      <c r="AW254" s="74">
        <v>7086477.673650933</v>
      </c>
      <c r="AX254" s="74">
        <v>3707669.148593667</v>
      </c>
      <c r="AY254" s="74">
        <v>356222.18570771336</v>
      </c>
      <c r="AZ254" s="74">
        <v>2630.9150110174996</v>
      </c>
      <c r="BA254" s="74">
        <v>7123.649958838208</v>
      </c>
      <c r="BB254" s="74">
        <v>885888.4298131838</v>
      </c>
      <c r="BC254" s="74">
        <v>43463.77256725666</v>
      </c>
      <c r="BD254" s="74">
        <v>283827.1538953685</v>
      </c>
      <c r="BE254" s="74">
        <v>880257.6598842646</v>
      </c>
      <c r="BF254" s="74">
        <v>3423.678138076837</v>
      </c>
      <c r="BG254" s="74">
        <v>5743.834060475614</v>
      </c>
      <c r="BH254" s="74">
        <v>679178.909510383</v>
      </c>
      <c r="BI254" s="9">
        <f t="shared" si="56"/>
        <v>14027396.95</v>
      </c>
    </row>
    <row r="255" ht="15.75" customHeight="1">
      <c r="B255" s="65">
        <v>24.0</v>
      </c>
      <c r="C255" s="83">
        <v>0.0</v>
      </c>
      <c r="D255" s="83">
        <v>0.0</v>
      </c>
      <c r="E255" s="83">
        <v>0.0</v>
      </c>
      <c r="F255" s="83">
        <v>0.0</v>
      </c>
      <c r="G255" s="83">
        <v>0.0</v>
      </c>
      <c r="H255" s="83">
        <v>0.0</v>
      </c>
      <c r="I255" s="83">
        <v>0.0</v>
      </c>
      <c r="J255" s="83">
        <v>0.0</v>
      </c>
      <c r="K255" s="83">
        <v>0.0</v>
      </c>
      <c r="L255" s="83">
        <v>0.0</v>
      </c>
      <c r="M255" s="83">
        <v>0.0</v>
      </c>
      <c r="N255" s="83">
        <v>0.0</v>
      </c>
      <c r="O255" s="83">
        <v>0.0</v>
      </c>
      <c r="P255" s="83">
        <v>0.0</v>
      </c>
      <c r="Q255" s="83">
        <v>0.0</v>
      </c>
      <c r="R255" s="83">
        <v>0.0</v>
      </c>
      <c r="S255" s="83">
        <v>0.0</v>
      </c>
      <c r="T255" s="83">
        <v>0.0</v>
      </c>
      <c r="U255" s="83">
        <v>0.0</v>
      </c>
      <c r="V255" s="83">
        <v>0.0</v>
      </c>
      <c r="W255" s="83">
        <v>0.0</v>
      </c>
      <c r="X255" s="83">
        <v>0.0</v>
      </c>
      <c r="Y255" s="83">
        <v>0.0</v>
      </c>
      <c r="Z255" s="83">
        <f>$AU26</f>
        <v>11384037.23</v>
      </c>
      <c r="AA255" s="83">
        <v>0.0</v>
      </c>
      <c r="AB255" s="83">
        <v>0.0</v>
      </c>
      <c r="AC255" s="83">
        <v>0.0</v>
      </c>
      <c r="AD255" s="83">
        <v>0.0</v>
      </c>
      <c r="AF255" s="65">
        <v>18.0</v>
      </c>
      <c r="AG255" s="74">
        <v>0.0</v>
      </c>
      <c r="AH255" s="74">
        <v>0.0</v>
      </c>
      <c r="AI255" s="74">
        <v>0.0</v>
      </c>
      <c r="AJ255" s="74">
        <v>0.0</v>
      </c>
      <c r="AK255" s="74">
        <v>0.0</v>
      </c>
      <c r="AL255" s="74">
        <v>0.0</v>
      </c>
      <c r="AM255" s="74">
        <v>0.0</v>
      </c>
      <c r="AN255" s="74">
        <v>0.0</v>
      </c>
      <c r="AO255" s="74">
        <v>0.0</v>
      </c>
      <c r="AP255" s="74">
        <v>0.0</v>
      </c>
      <c r="AQ255" s="74">
        <v>0.0</v>
      </c>
      <c r="AR255" s="74">
        <v>0.0</v>
      </c>
      <c r="AS255" s="74">
        <v>0.0</v>
      </c>
      <c r="AT255" s="74">
        <v>0.0</v>
      </c>
      <c r="AU255" s="74">
        <v>0.0</v>
      </c>
      <c r="AV255" s="74">
        <v>0.0</v>
      </c>
      <c r="AW255" s="74">
        <v>0.0</v>
      </c>
      <c r="AX255" s="74">
        <v>0.0</v>
      </c>
      <c r="AY255" s="74">
        <v>0.0</v>
      </c>
      <c r="AZ255" s="74">
        <v>0.0</v>
      </c>
      <c r="BA255" s="74">
        <v>0.0</v>
      </c>
      <c r="BB255" s="74">
        <v>0.0</v>
      </c>
      <c r="BC255" s="74">
        <v>0.0</v>
      </c>
      <c r="BD255" s="74">
        <v>0.0</v>
      </c>
      <c r="BE255" s="74">
        <v>0.0</v>
      </c>
      <c r="BF255" s="74">
        <v>0.0</v>
      </c>
      <c r="BG255" s="74">
        <v>0.0</v>
      </c>
      <c r="BH255" s="74">
        <v>0.0</v>
      </c>
      <c r="BI255" s="9">
        <f t="shared" si="56"/>
        <v>0</v>
      </c>
    </row>
    <row r="256" ht="15.75" customHeight="1">
      <c r="B256" s="65">
        <v>25.0</v>
      </c>
      <c r="C256" s="83">
        <v>0.0</v>
      </c>
      <c r="D256" s="83">
        <v>0.0</v>
      </c>
      <c r="E256" s="83">
        <v>0.0</v>
      </c>
      <c r="F256" s="83">
        <v>0.0</v>
      </c>
      <c r="G256" s="83">
        <v>0.0</v>
      </c>
      <c r="H256" s="83">
        <v>0.0</v>
      </c>
      <c r="I256" s="83">
        <v>0.0</v>
      </c>
      <c r="J256" s="83">
        <v>0.0</v>
      </c>
      <c r="K256" s="83">
        <v>0.0</v>
      </c>
      <c r="L256" s="83">
        <v>0.0</v>
      </c>
      <c r="M256" s="83">
        <v>0.0</v>
      </c>
      <c r="N256" s="83">
        <v>0.0</v>
      </c>
      <c r="O256" s="83">
        <v>0.0</v>
      </c>
      <c r="P256" s="83">
        <v>0.0</v>
      </c>
      <c r="Q256" s="83">
        <v>0.0</v>
      </c>
      <c r="R256" s="83">
        <v>0.0</v>
      </c>
      <c r="S256" s="83">
        <v>0.0</v>
      </c>
      <c r="T256" s="83">
        <v>0.0</v>
      </c>
      <c r="U256" s="83">
        <v>0.0</v>
      </c>
      <c r="V256" s="83">
        <v>0.0</v>
      </c>
      <c r="W256" s="83">
        <v>0.0</v>
      </c>
      <c r="X256" s="83">
        <v>0.0</v>
      </c>
      <c r="Y256" s="83">
        <v>0.0</v>
      </c>
      <c r="Z256" s="83">
        <v>0.0</v>
      </c>
      <c r="AA256" s="83">
        <f>$AU27</f>
        <v>35173516.17</v>
      </c>
      <c r="AB256" s="83">
        <v>0.0</v>
      </c>
      <c r="AC256" s="83">
        <v>0.0</v>
      </c>
      <c r="AD256" s="83">
        <v>0.0</v>
      </c>
      <c r="AF256" s="65">
        <v>19.0</v>
      </c>
      <c r="AG256" s="74">
        <v>0.0</v>
      </c>
      <c r="AH256" s="74">
        <v>0.0</v>
      </c>
      <c r="AI256" s="74">
        <v>0.0</v>
      </c>
      <c r="AJ256" s="74">
        <v>0.0</v>
      </c>
      <c r="AK256" s="74">
        <v>0.0</v>
      </c>
      <c r="AL256" s="74">
        <v>0.0</v>
      </c>
      <c r="AM256" s="74">
        <v>0.0</v>
      </c>
      <c r="AN256" s="74">
        <v>0.0</v>
      </c>
      <c r="AO256" s="74">
        <v>0.0</v>
      </c>
      <c r="AP256" s="74">
        <v>0.0</v>
      </c>
      <c r="AQ256" s="74">
        <v>0.0</v>
      </c>
      <c r="AR256" s="74">
        <v>0.0</v>
      </c>
      <c r="AS256" s="74">
        <v>0.0</v>
      </c>
      <c r="AT256" s="74">
        <v>0.0</v>
      </c>
      <c r="AU256" s="74">
        <v>0.0</v>
      </c>
      <c r="AV256" s="74">
        <v>0.0</v>
      </c>
      <c r="AW256" s="74">
        <v>0.0</v>
      </c>
      <c r="AX256" s="74">
        <v>0.0</v>
      </c>
      <c r="AY256" s="74">
        <v>0.0</v>
      </c>
      <c r="AZ256" s="74">
        <v>0.0</v>
      </c>
      <c r="BA256" s="74">
        <v>0.0</v>
      </c>
      <c r="BB256" s="74">
        <v>0.0</v>
      </c>
      <c r="BC256" s="74">
        <v>0.0</v>
      </c>
      <c r="BD256" s="74">
        <v>0.0</v>
      </c>
      <c r="BE256" s="74">
        <v>0.0</v>
      </c>
      <c r="BF256" s="74">
        <v>0.0</v>
      </c>
      <c r="BG256" s="74">
        <v>0.0</v>
      </c>
      <c r="BH256" s="74">
        <v>0.0</v>
      </c>
      <c r="BI256" s="9">
        <f t="shared" si="56"/>
        <v>0</v>
      </c>
    </row>
    <row r="257" ht="15.75" customHeight="1">
      <c r="B257" s="65">
        <v>26.0</v>
      </c>
      <c r="C257" s="83">
        <v>0.0</v>
      </c>
      <c r="D257" s="83">
        <v>0.0</v>
      </c>
      <c r="E257" s="83">
        <v>0.0</v>
      </c>
      <c r="F257" s="83">
        <v>0.0</v>
      </c>
      <c r="G257" s="83">
        <v>0.0</v>
      </c>
      <c r="H257" s="83">
        <v>0.0</v>
      </c>
      <c r="I257" s="83">
        <v>0.0</v>
      </c>
      <c r="J257" s="83">
        <v>0.0</v>
      </c>
      <c r="K257" s="83">
        <v>0.0</v>
      </c>
      <c r="L257" s="83">
        <v>0.0</v>
      </c>
      <c r="M257" s="83">
        <v>0.0</v>
      </c>
      <c r="N257" s="83">
        <v>0.0</v>
      </c>
      <c r="O257" s="83">
        <v>0.0</v>
      </c>
      <c r="P257" s="83">
        <v>0.0</v>
      </c>
      <c r="Q257" s="83">
        <v>0.0</v>
      </c>
      <c r="R257" s="83">
        <v>0.0</v>
      </c>
      <c r="S257" s="83">
        <v>0.0</v>
      </c>
      <c r="T257" s="83">
        <v>0.0</v>
      </c>
      <c r="U257" s="83">
        <v>0.0</v>
      </c>
      <c r="V257" s="83">
        <v>0.0</v>
      </c>
      <c r="W257" s="83">
        <v>0.0</v>
      </c>
      <c r="X257" s="83">
        <v>0.0</v>
      </c>
      <c r="Y257" s="83">
        <v>0.0</v>
      </c>
      <c r="Z257" s="83">
        <v>0.0</v>
      </c>
      <c r="AA257" s="83">
        <v>0.0</v>
      </c>
      <c r="AB257" s="83">
        <f>$AU28</f>
        <v>90446.78963</v>
      </c>
      <c r="AC257" s="83">
        <v>0.0</v>
      </c>
      <c r="AD257" s="83">
        <v>0.0</v>
      </c>
      <c r="AF257" s="65">
        <v>20.0</v>
      </c>
      <c r="AG257" s="74">
        <v>0.0</v>
      </c>
      <c r="AH257" s="74">
        <v>0.0</v>
      </c>
      <c r="AI257" s="74">
        <v>0.0</v>
      </c>
      <c r="AJ257" s="74">
        <v>0.0</v>
      </c>
      <c r="AK257" s="74">
        <v>0.0</v>
      </c>
      <c r="AL257" s="74">
        <v>0.0</v>
      </c>
      <c r="AM257" s="74">
        <v>0.0</v>
      </c>
      <c r="AN257" s="74">
        <v>0.0</v>
      </c>
      <c r="AO257" s="74">
        <v>0.0</v>
      </c>
      <c r="AP257" s="74">
        <v>0.0</v>
      </c>
      <c r="AQ257" s="74">
        <v>0.0</v>
      </c>
      <c r="AR257" s="74">
        <v>0.0</v>
      </c>
      <c r="AS257" s="74">
        <v>0.0</v>
      </c>
      <c r="AT257" s="74">
        <v>0.0</v>
      </c>
      <c r="AU257" s="74">
        <v>0.0</v>
      </c>
      <c r="AV257" s="74">
        <v>0.0</v>
      </c>
      <c r="AW257" s="74">
        <v>0.0</v>
      </c>
      <c r="AX257" s="74">
        <v>0.0</v>
      </c>
      <c r="AY257" s="74">
        <v>0.0</v>
      </c>
      <c r="AZ257" s="74">
        <v>0.0</v>
      </c>
      <c r="BA257" s="74">
        <v>0.0</v>
      </c>
      <c r="BB257" s="74">
        <v>0.0</v>
      </c>
      <c r="BC257" s="74">
        <v>0.0</v>
      </c>
      <c r="BD257" s="74">
        <v>0.0</v>
      </c>
      <c r="BE257" s="74">
        <v>0.0</v>
      </c>
      <c r="BF257" s="74">
        <v>0.0</v>
      </c>
      <c r="BG257" s="74">
        <v>0.0</v>
      </c>
      <c r="BH257" s="74">
        <v>0.0</v>
      </c>
      <c r="BI257" s="9">
        <f t="shared" si="56"/>
        <v>0</v>
      </c>
    </row>
    <row r="258" ht="15.75" customHeight="1">
      <c r="B258" s="65">
        <v>27.0</v>
      </c>
      <c r="C258" s="83">
        <v>0.0</v>
      </c>
      <c r="D258" s="83">
        <v>0.0</v>
      </c>
      <c r="E258" s="83">
        <v>0.0</v>
      </c>
      <c r="F258" s="83">
        <v>0.0</v>
      </c>
      <c r="G258" s="83">
        <v>0.0</v>
      </c>
      <c r="H258" s="83">
        <v>0.0</v>
      </c>
      <c r="I258" s="83">
        <v>0.0</v>
      </c>
      <c r="J258" s="83">
        <v>0.0</v>
      </c>
      <c r="K258" s="83">
        <v>0.0</v>
      </c>
      <c r="L258" s="83">
        <v>0.0</v>
      </c>
      <c r="M258" s="83">
        <v>0.0</v>
      </c>
      <c r="N258" s="83">
        <v>0.0</v>
      </c>
      <c r="O258" s="83">
        <v>0.0</v>
      </c>
      <c r="P258" s="83">
        <v>0.0</v>
      </c>
      <c r="Q258" s="83">
        <v>0.0</v>
      </c>
      <c r="R258" s="83">
        <v>0.0</v>
      </c>
      <c r="S258" s="83">
        <v>0.0</v>
      </c>
      <c r="T258" s="83">
        <v>0.0</v>
      </c>
      <c r="U258" s="83">
        <v>0.0</v>
      </c>
      <c r="V258" s="83">
        <v>0.0</v>
      </c>
      <c r="W258" s="83">
        <v>0.0</v>
      </c>
      <c r="X258" s="83">
        <v>0.0</v>
      </c>
      <c r="Y258" s="83">
        <v>0.0</v>
      </c>
      <c r="Z258" s="83">
        <v>0.0</v>
      </c>
      <c r="AA258" s="83">
        <v>0.0</v>
      </c>
      <c r="AB258" s="83">
        <v>0.0</v>
      </c>
      <c r="AC258" s="83">
        <f>$AU29</f>
        <v>118579.0856</v>
      </c>
      <c r="AD258" s="83">
        <v>0.0</v>
      </c>
      <c r="AF258" s="65">
        <v>21.0</v>
      </c>
      <c r="AG258" s="74">
        <v>0.0</v>
      </c>
      <c r="AH258" s="74">
        <v>0.0</v>
      </c>
      <c r="AI258" s="74">
        <v>0.0</v>
      </c>
      <c r="AJ258" s="74">
        <v>0.0</v>
      </c>
      <c r="AK258" s="74">
        <v>0.0</v>
      </c>
      <c r="AL258" s="74">
        <v>0.0</v>
      </c>
      <c r="AM258" s="74">
        <v>0.0</v>
      </c>
      <c r="AN258" s="74">
        <v>0.0</v>
      </c>
      <c r="AO258" s="74">
        <v>0.0</v>
      </c>
      <c r="AP258" s="74">
        <v>0.0</v>
      </c>
      <c r="AQ258" s="74">
        <v>0.0</v>
      </c>
      <c r="AR258" s="74">
        <v>0.0</v>
      </c>
      <c r="AS258" s="74">
        <v>0.0</v>
      </c>
      <c r="AT258" s="74">
        <v>0.0</v>
      </c>
      <c r="AU258" s="74">
        <v>0.0</v>
      </c>
      <c r="AV258" s="74">
        <v>0.0</v>
      </c>
      <c r="AW258" s="74">
        <v>0.0</v>
      </c>
      <c r="AX258" s="74">
        <v>0.0</v>
      </c>
      <c r="AY258" s="74">
        <v>0.0</v>
      </c>
      <c r="AZ258" s="74">
        <v>0.0</v>
      </c>
      <c r="BA258" s="74">
        <v>0.0</v>
      </c>
      <c r="BB258" s="74">
        <v>0.0</v>
      </c>
      <c r="BC258" s="74">
        <v>0.0</v>
      </c>
      <c r="BD258" s="74">
        <v>0.0</v>
      </c>
      <c r="BE258" s="74">
        <v>0.0</v>
      </c>
      <c r="BF258" s="74">
        <v>0.0</v>
      </c>
      <c r="BG258" s="74">
        <v>0.0</v>
      </c>
      <c r="BH258" s="74">
        <v>0.0</v>
      </c>
      <c r="BI258" s="9">
        <f t="shared" si="56"/>
        <v>0</v>
      </c>
    </row>
    <row r="259" ht="15.75" customHeight="1">
      <c r="B259" s="65">
        <v>28.0</v>
      </c>
      <c r="C259" s="83">
        <v>0.0</v>
      </c>
      <c r="D259" s="83">
        <v>0.0</v>
      </c>
      <c r="E259" s="83">
        <v>0.0</v>
      </c>
      <c r="F259" s="83">
        <v>0.0</v>
      </c>
      <c r="G259" s="83">
        <v>0.0</v>
      </c>
      <c r="H259" s="83">
        <v>0.0</v>
      </c>
      <c r="I259" s="83">
        <v>0.0</v>
      </c>
      <c r="J259" s="83">
        <v>0.0</v>
      </c>
      <c r="K259" s="83">
        <v>0.0</v>
      </c>
      <c r="L259" s="83">
        <v>0.0</v>
      </c>
      <c r="M259" s="83">
        <v>0.0</v>
      </c>
      <c r="N259" s="83">
        <v>0.0</v>
      </c>
      <c r="O259" s="83">
        <v>0.0</v>
      </c>
      <c r="P259" s="83">
        <v>0.0</v>
      </c>
      <c r="Q259" s="83">
        <v>0.0</v>
      </c>
      <c r="R259" s="83">
        <v>0.0</v>
      </c>
      <c r="S259" s="83">
        <v>0.0</v>
      </c>
      <c r="T259" s="83">
        <v>0.0</v>
      </c>
      <c r="U259" s="83">
        <v>0.0</v>
      </c>
      <c r="V259" s="83">
        <v>0.0</v>
      </c>
      <c r="W259" s="83">
        <v>0.0</v>
      </c>
      <c r="X259" s="83">
        <v>0.0</v>
      </c>
      <c r="Y259" s="83">
        <v>0.0</v>
      </c>
      <c r="Z259" s="83">
        <v>0.0</v>
      </c>
      <c r="AA259" s="83">
        <v>0.0</v>
      </c>
      <c r="AB259" s="83">
        <v>0.0</v>
      </c>
      <c r="AC259" s="83">
        <v>0.0</v>
      </c>
      <c r="AD259" s="83">
        <f>$AU30</f>
        <v>2870744.394</v>
      </c>
      <c r="AF259" s="65">
        <v>22.0</v>
      </c>
      <c r="AG259" s="74">
        <v>0.0</v>
      </c>
      <c r="AH259" s="74">
        <v>0.0</v>
      </c>
      <c r="AI259" s="74">
        <v>0.0</v>
      </c>
      <c r="AJ259" s="74">
        <v>0.0</v>
      </c>
      <c r="AK259" s="74">
        <v>0.0</v>
      </c>
      <c r="AL259" s="74">
        <v>0.0</v>
      </c>
      <c r="AM259" s="74">
        <v>0.0</v>
      </c>
      <c r="AN259" s="74">
        <v>0.0</v>
      </c>
      <c r="AO259" s="74">
        <v>0.0</v>
      </c>
      <c r="AP259" s="74">
        <v>0.0</v>
      </c>
      <c r="AQ259" s="74">
        <v>0.0</v>
      </c>
      <c r="AR259" s="74">
        <v>0.0</v>
      </c>
      <c r="AS259" s="74">
        <v>0.0</v>
      </c>
      <c r="AT259" s="74">
        <v>0.0</v>
      </c>
      <c r="AU259" s="74">
        <v>0.0</v>
      </c>
      <c r="AV259" s="74">
        <v>0.0</v>
      </c>
      <c r="AW259" s="74">
        <v>0.0</v>
      </c>
      <c r="AX259" s="74">
        <v>0.0</v>
      </c>
      <c r="AY259" s="74">
        <v>0.0</v>
      </c>
      <c r="AZ259" s="74">
        <v>0.0</v>
      </c>
      <c r="BA259" s="74">
        <v>0.0</v>
      </c>
      <c r="BB259" s="74">
        <v>0.0</v>
      </c>
      <c r="BC259" s="74">
        <v>0.0</v>
      </c>
      <c r="BD259" s="74">
        <v>0.0</v>
      </c>
      <c r="BE259" s="74">
        <v>0.0</v>
      </c>
      <c r="BF259" s="74">
        <v>0.0</v>
      </c>
      <c r="BG259" s="74">
        <v>0.0</v>
      </c>
      <c r="BH259" s="74">
        <v>0.0</v>
      </c>
      <c r="BI259" s="9">
        <f t="shared" si="56"/>
        <v>0</v>
      </c>
    </row>
    <row r="260" ht="15.75" customHeight="1">
      <c r="AF260" s="65">
        <v>23.0</v>
      </c>
      <c r="AG260" s="74">
        <v>0.0</v>
      </c>
      <c r="AH260" s="74">
        <v>0.0</v>
      </c>
      <c r="AI260" s="74">
        <v>0.0</v>
      </c>
      <c r="AJ260" s="74">
        <v>0.0</v>
      </c>
      <c r="AK260" s="74">
        <v>0.0</v>
      </c>
      <c r="AL260" s="74">
        <v>0.0</v>
      </c>
      <c r="AM260" s="74">
        <v>0.0</v>
      </c>
      <c r="AN260" s="74">
        <v>0.0</v>
      </c>
      <c r="AO260" s="74">
        <v>0.0</v>
      </c>
      <c r="AP260" s="74">
        <v>0.0</v>
      </c>
      <c r="AQ260" s="74">
        <v>0.0</v>
      </c>
      <c r="AR260" s="74">
        <v>0.0</v>
      </c>
      <c r="AS260" s="74">
        <v>0.0</v>
      </c>
      <c r="AT260" s="74">
        <v>0.0</v>
      </c>
      <c r="AU260" s="74">
        <v>0.0</v>
      </c>
      <c r="AV260" s="74">
        <v>0.0</v>
      </c>
      <c r="AW260" s="74">
        <v>0.0</v>
      </c>
      <c r="AX260" s="74">
        <v>0.0</v>
      </c>
      <c r="AY260" s="74">
        <v>0.0</v>
      </c>
      <c r="AZ260" s="74">
        <v>0.0</v>
      </c>
      <c r="BA260" s="74">
        <v>0.0</v>
      </c>
      <c r="BB260" s="74">
        <v>0.0</v>
      </c>
      <c r="BC260" s="74">
        <v>0.0</v>
      </c>
      <c r="BD260" s="74">
        <v>0.0</v>
      </c>
      <c r="BE260" s="74">
        <v>0.0</v>
      </c>
      <c r="BF260" s="74">
        <v>0.0</v>
      </c>
      <c r="BG260" s="74">
        <v>0.0</v>
      </c>
      <c r="BH260" s="74">
        <v>0.0</v>
      </c>
      <c r="BI260" s="9">
        <f t="shared" si="56"/>
        <v>0</v>
      </c>
    </row>
    <row r="261" ht="15.75" customHeight="1">
      <c r="AF261" s="65">
        <v>24.0</v>
      </c>
      <c r="AG261" s="74">
        <v>0.0</v>
      </c>
      <c r="AH261" s="74">
        <v>0.0</v>
      </c>
      <c r="AI261" s="74">
        <v>0.0</v>
      </c>
      <c r="AJ261" s="74">
        <v>0.0</v>
      </c>
      <c r="AK261" s="74">
        <v>0.0</v>
      </c>
      <c r="AL261" s="74">
        <v>0.0</v>
      </c>
      <c r="AM261" s="74">
        <v>0.0</v>
      </c>
      <c r="AN261" s="74">
        <v>0.0</v>
      </c>
      <c r="AO261" s="74">
        <v>0.0</v>
      </c>
      <c r="AP261" s="74">
        <v>0.0</v>
      </c>
      <c r="AQ261" s="74">
        <v>0.0</v>
      </c>
      <c r="AR261" s="74">
        <v>0.0</v>
      </c>
      <c r="AS261" s="74">
        <v>0.0</v>
      </c>
      <c r="AT261" s="74">
        <v>0.0</v>
      </c>
      <c r="AU261" s="74">
        <v>0.0</v>
      </c>
      <c r="AV261" s="74">
        <v>0.0</v>
      </c>
      <c r="AW261" s="74">
        <v>0.0</v>
      </c>
      <c r="AX261" s="74">
        <v>0.0</v>
      </c>
      <c r="AY261" s="74">
        <v>0.0</v>
      </c>
      <c r="AZ261" s="74">
        <v>0.0</v>
      </c>
      <c r="BA261" s="74">
        <v>0.0</v>
      </c>
      <c r="BB261" s="74">
        <v>0.0</v>
      </c>
      <c r="BC261" s="74">
        <v>0.0</v>
      </c>
      <c r="BD261" s="74">
        <v>0.0</v>
      </c>
      <c r="BE261" s="74">
        <v>0.0</v>
      </c>
      <c r="BF261" s="74">
        <v>0.0</v>
      </c>
      <c r="BG261" s="74">
        <v>0.0</v>
      </c>
      <c r="BH261" s="74">
        <v>0.0</v>
      </c>
      <c r="BI261" s="9">
        <f t="shared" si="56"/>
        <v>0</v>
      </c>
    </row>
    <row r="262" ht="15.75" customHeight="1">
      <c r="AF262" s="65">
        <v>25.0</v>
      </c>
      <c r="AG262" s="74">
        <v>0.0</v>
      </c>
      <c r="AH262" s="74">
        <v>0.0</v>
      </c>
      <c r="AI262" s="74">
        <v>0.0</v>
      </c>
      <c r="AJ262" s="74">
        <v>0.0</v>
      </c>
      <c r="AK262" s="74">
        <v>0.0</v>
      </c>
      <c r="AL262" s="74">
        <v>0.0</v>
      </c>
      <c r="AM262" s="74">
        <v>0.0</v>
      </c>
      <c r="AN262" s="74">
        <v>0.0</v>
      </c>
      <c r="AO262" s="74">
        <v>0.0</v>
      </c>
      <c r="AP262" s="74">
        <v>0.0</v>
      </c>
      <c r="AQ262" s="74">
        <v>0.0</v>
      </c>
      <c r="AR262" s="74">
        <v>0.0</v>
      </c>
      <c r="AS262" s="74">
        <v>0.0</v>
      </c>
      <c r="AT262" s="74">
        <v>0.0</v>
      </c>
      <c r="AU262" s="74">
        <v>0.0</v>
      </c>
      <c r="AV262" s="74">
        <v>0.0</v>
      </c>
      <c r="AW262" s="74">
        <v>0.0</v>
      </c>
      <c r="AX262" s="74">
        <v>0.0</v>
      </c>
      <c r="AY262" s="74">
        <v>0.0</v>
      </c>
      <c r="AZ262" s="74">
        <v>0.0</v>
      </c>
      <c r="BA262" s="74">
        <v>0.0</v>
      </c>
      <c r="BB262" s="74">
        <v>0.0</v>
      </c>
      <c r="BC262" s="74">
        <v>0.0</v>
      </c>
      <c r="BD262" s="74">
        <v>0.0</v>
      </c>
      <c r="BE262" s="74">
        <v>0.0</v>
      </c>
      <c r="BF262" s="74">
        <v>0.0</v>
      </c>
      <c r="BG262" s="74">
        <v>0.0</v>
      </c>
      <c r="BH262" s="74">
        <v>0.0</v>
      </c>
      <c r="BI262" s="9">
        <f t="shared" si="56"/>
        <v>0</v>
      </c>
    </row>
    <row r="263" ht="15.75" customHeight="1">
      <c r="AF263" s="65">
        <v>26.0</v>
      </c>
      <c r="AG263" s="74">
        <v>0.0</v>
      </c>
      <c r="AH263" s="74">
        <v>0.0</v>
      </c>
      <c r="AI263" s="74">
        <v>0.0</v>
      </c>
      <c r="AJ263" s="74">
        <v>0.0</v>
      </c>
      <c r="AK263" s="74">
        <v>0.0</v>
      </c>
      <c r="AL263" s="74">
        <v>0.0</v>
      </c>
      <c r="AM263" s="74">
        <v>0.0</v>
      </c>
      <c r="AN263" s="74">
        <v>0.0</v>
      </c>
      <c r="AO263" s="74">
        <v>0.0</v>
      </c>
      <c r="AP263" s="74">
        <v>0.0</v>
      </c>
      <c r="AQ263" s="74">
        <v>0.0</v>
      </c>
      <c r="AR263" s="74">
        <v>0.0</v>
      </c>
      <c r="AS263" s="74">
        <v>0.0</v>
      </c>
      <c r="AT263" s="74">
        <v>0.0</v>
      </c>
      <c r="AU263" s="74">
        <v>0.0</v>
      </c>
      <c r="AV263" s="74">
        <v>0.0</v>
      </c>
      <c r="AW263" s="74">
        <v>0.0</v>
      </c>
      <c r="AX263" s="74">
        <v>0.0</v>
      </c>
      <c r="AY263" s="74">
        <v>0.0</v>
      </c>
      <c r="AZ263" s="74">
        <v>0.0</v>
      </c>
      <c r="BA263" s="74">
        <v>0.0</v>
      </c>
      <c r="BB263" s="74">
        <v>0.0</v>
      </c>
      <c r="BC263" s="74">
        <v>0.0</v>
      </c>
      <c r="BD263" s="74">
        <v>0.0</v>
      </c>
      <c r="BE263" s="74">
        <v>0.0</v>
      </c>
      <c r="BF263" s="74">
        <v>0.0</v>
      </c>
      <c r="BG263" s="74">
        <v>0.0</v>
      </c>
      <c r="BH263" s="74">
        <v>0.0</v>
      </c>
      <c r="BI263" s="9">
        <f t="shared" si="56"/>
        <v>0</v>
      </c>
    </row>
    <row r="264" ht="15.75" customHeight="1">
      <c r="AF264" s="65">
        <v>27.0</v>
      </c>
      <c r="AG264" s="74">
        <v>0.0</v>
      </c>
      <c r="AH264" s="74">
        <v>0.0</v>
      </c>
      <c r="AI264" s="74">
        <v>0.0</v>
      </c>
      <c r="AJ264" s="74">
        <v>0.0</v>
      </c>
      <c r="AK264" s="74">
        <v>0.0</v>
      </c>
      <c r="AL264" s="74">
        <v>0.0</v>
      </c>
      <c r="AM264" s="74">
        <v>0.0</v>
      </c>
      <c r="AN264" s="74">
        <v>0.0</v>
      </c>
      <c r="AO264" s="74">
        <v>0.0</v>
      </c>
      <c r="AP264" s="74">
        <v>0.0</v>
      </c>
      <c r="AQ264" s="74">
        <v>0.0</v>
      </c>
      <c r="AR264" s="74">
        <v>0.0</v>
      </c>
      <c r="AS264" s="74">
        <v>0.0</v>
      </c>
      <c r="AT264" s="74">
        <v>0.0</v>
      </c>
      <c r="AU264" s="74">
        <v>0.0</v>
      </c>
      <c r="AV264" s="74">
        <v>0.0</v>
      </c>
      <c r="AW264" s="74">
        <v>0.0</v>
      </c>
      <c r="AX264" s="74">
        <v>0.0</v>
      </c>
      <c r="AY264" s="74">
        <v>0.0</v>
      </c>
      <c r="AZ264" s="74">
        <v>0.0</v>
      </c>
      <c r="BA264" s="74">
        <v>0.0</v>
      </c>
      <c r="BB264" s="74">
        <v>0.0</v>
      </c>
      <c r="BC264" s="74">
        <v>0.0</v>
      </c>
      <c r="BD264" s="74">
        <v>0.0</v>
      </c>
      <c r="BE264" s="74">
        <v>0.0</v>
      </c>
      <c r="BF264" s="74">
        <v>0.0</v>
      </c>
      <c r="BG264" s="74">
        <v>0.0</v>
      </c>
      <c r="BH264" s="74">
        <v>0.0</v>
      </c>
      <c r="BI264" s="9">
        <f t="shared" si="56"/>
        <v>0</v>
      </c>
    </row>
    <row r="265" ht="15.75" customHeight="1">
      <c r="AF265" s="75">
        <v>28.0</v>
      </c>
      <c r="AG265" s="74">
        <v>0.0</v>
      </c>
      <c r="AH265" s="74">
        <v>0.0</v>
      </c>
      <c r="AI265" s="74">
        <v>0.0</v>
      </c>
      <c r="AJ265" s="74">
        <v>0.0</v>
      </c>
      <c r="AK265" s="74">
        <v>0.0</v>
      </c>
      <c r="AL265" s="74">
        <v>0.0</v>
      </c>
      <c r="AM265" s="74">
        <v>0.0</v>
      </c>
      <c r="AN265" s="74">
        <v>0.0</v>
      </c>
      <c r="AO265" s="74">
        <v>0.0</v>
      </c>
      <c r="AP265" s="74">
        <v>0.0</v>
      </c>
      <c r="AQ265" s="74">
        <v>0.0</v>
      </c>
      <c r="AR265" s="74">
        <v>0.0</v>
      </c>
      <c r="AS265" s="74">
        <v>0.0</v>
      </c>
      <c r="AT265" s="74">
        <v>0.0</v>
      </c>
      <c r="AU265" s="74">
        <v>0.0</v>
      </c>
      <c r="AV265" s="74">
        <v>0.0</v>
      </c>
      <c r="AW265" s="74">
        <v>0.0</v>
      </c>
      <c r="AX265" s="74">
        <v>0.0</v>
      </c>
      <c r="AY265" s="74">
        <v>0.0</v>
      </c>
      <c r="AZ265" s="74">
        <v>0.0</v>
      </c>
      <c r="BA265" s="74">
        <v>0.0</v>
      </c>
      <c r="BB265" s="74">
        <v>0.0</v>
      </c>
      <c r="BC265" s="74">
        <v>0.0</v>
      </c>
      <c r="BD265" s="74">
        <v>0.0</v>
      </c>
      <c r="BE265" s="74">
        <v>0.0</v>
      </c>
      <c r="BF265" s="74">
        <v>0.0</v>
      </c>
      <c r="BG265" s="74">
        <v>0.0</v>
      </c>
      <c r="BH265" s="74">
        <v>0.0</v>
      </c>
      <c r="BI265" s="9">
        <f t="shared" si="56"/>
        <v>0</v>
      </c>
    </row>
    <row r="266" ht="15.75" customHeight="1">
      <c r="AF266" s="1" t="s">
        <v>0</v>
      </c>
      <c r="AG266" s="25" t="s">
        <v>1</v>
      </c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4"/>
      <c r="AU266" s="26" t="s">
        <v>2</v>
      </c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7"/>
    </row>
    <row r="267" ht="15.75" customHeight="1">
      <c r="AF267" s="1" t="s">
        <v>3</v>
      </c>
      <c r="AG267" s="15" t="s">
        <v>4</v>
      </c>
      <c r="AH267" s="1" t="s">
        <v>5</v>
      </c>
      <c r="AI267" s="1" t="s">
        <v>6</v>
      </c>
      <c r="AJ267" s="1" t="s">
        <v>7</v>
      </c>
      <c r="AK267" s="1" t="s">
        <v>8</v>
      </c>
      <c r="AL267" s="1" t="s">
        <v>9</v>
      </c>
      <c r="AM267" s="1" t="s">
        <v>10</v>
      </c>
      <c r="AN267" s="1" t="s">
        <v>11</v>
      </c>
      <c r="AO267" s="1" t="s">
        <v>12</v>
      </c>
      <c r="AP267" s="1" t="s">
        <v>13</v>
      </c>
      <c r="AQ267" s="1" t="s">
        <v>14</v>
      </c>
      <c r="AR267" s="1" t="s">
        <v>15</v>
      </c>
      <c r="AS267" s="1" t="s">
        <v>16</v>
      </c>
      <c r="AT267" s="2" t="s">
        <v>17</v>
      </c>
      <c r="AU267" s="1" t="s">
        <v>4</v>
      </c>
      <c r="AV267" s="1" t="s">
        <v>5</v>
      </c>
      <c r="AW267" s="1" t="s">
        <v>6</v>
      </c>
      <c r="AX267" s="1" t="s">
        <v>7</v>
      </c>
      <c r="AY267" s="1" t="s">
        <v>8</v>
      </c>
      <c r="AZ267" s="1" t="s">
        <v>9</v>
      </c>
      <c r="BA267" s="1" t="s">
        <v>10</v>
      </c>
      <c r="BB267" s="1" t="s">
        <v>11</v>
      </c>
      <c r="BC267" s="1" t="s">
        <v>12</v>
      </c>
      <c r="BD267" s="1" t="s">
        <v>13</v>
      </c>
      <c r="BE267" s="1" t="s">
        <v>14</v>
      </c>
      <c r="BF267" s="1" t="s">
        <v>15</v>
      </c>
      <c r="BG267" s="1" t="s">
        <v>16</v>
      </c>
      <c r="BH267" s="1" t="s">
        <v>17</v>
      </c>
    </row>
    <row r="268" ht="15.75" customHeight="1">
      <c r="AF268" s="73" t="s">
        <v>62</v>
      </c>
      <c r="AG268" s="9">
        <f t="shared" ref="AG268:BH268" si="57">SUM(AG238:AG265)</f>
        <v>21.6684803</v>
      </c>
      <c r="AH268" s="9">
        <f t="shared" si="57"/>
        <v>75.68987183</v>
      </c>
      <c r="AI268" s="9">
        <f t="shared" si="57"/>
        <v>8639.883494</v>
      </c>
      <c r="AJ268" s="9">
        <f t="shared" si="57"/>
        <v>2805.520799</v>
      </c>
      <c r="AK268" s="9">
        <f t="shared" si="57"/>
        <v>1248.627118</v>
      </c>
      <c r="AL268" s="9">
        <f t="shared" si="57"/>
        <v>0.730207114</v>
      </c>
      <c r="AM268" s="9">
        <f t="shared" si="57"/>
        <v>16.26635582</v>
      </c>
      <c r="AN268" s="9">
        <f t="shared" si="57"/>
        <v>1977.083284</v>
      </c>
      <c r="AO268" s="9">
        <f t="shared" si="57"/>
        <v>6.641956091</v>
      </c>
      <c r="AP268" s="9">
        <f t="shared" si="57"/>
        <v>2588.050864</v>
      </c>
      <c r="AQ268" s="9">
        <f t="shared" si="57"/>
        <v>3181.179004</v>
      </c>
      <c r="AR268" s="9">
        <f t="shared" si="57"/>
        <v>1.028245623</v>
      </c>
      <c r="AS268" s="9">
        <f t="shared" si="57"/>
        <v>0.1375976265</v>
      </c>
      <c r="AT268" s="9">
        <f t="shared" si="57"/>
        <v>649.8801691</v>
      </c>
      <c r="AU268" s="9">
        <f t="shared" si="57"/>
        <v>42506.76573</v>
      </c>
      <c r="AV268" s="9">
        <f t="shared" si="57"/>
        <v>34523.35846</v>
      </c>
      <c r="AW268" s="9">
        <f t="shared" si="57"/>
        <v>7086548.813</v>
      </c>
      <c r="AX268" s="9">
        <f t="shared" si="57"/>
        <v>3708135.942</v>
      </c>
      <c r="AY268" s="9">
        <f t="shared" si="57"/>
        <v>356475.8539</v>
      </c>
      <c r="AZ268" s="9">
        <f t="shared" si="57"/>
        <v>2634.397089</v>
      </c>
      <c r="BA268" s="9">
        <f t="shared" si="57"/>
        <v>7129.398607</v>
      </c>
      <c r="BB268" s="9">
        <f t="shared" si="57"/>
        <v>886824.4861</v>
      </c>
      <c r="BC268" s="9">
        <f t="shared" si="57"/>
        <v>43489.62513</v>
      </c>
      <c r="BD268" s="9">
        <f t="shared" si="57"/>
        <v>284247.7423</v>
      </c>
      <c r="BE268" s="9">
        <f t="shared" si="57"/>
        <v>881009.6902</v>
      </c>
      <c r="BF268" s="9">
        <f t="shared" si="57"/>
        <v>3429.95173</v>
      </c>
      <c r="BG268" s="9">
        <f t="shared" si="57"/>
        <v>5746.211306</v>
      </c>
      <c r="BH268" s="9">
        <f t="shared" si="57"/>
        <v>679425.651</v>
      </c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</sheetData>
  <mergeCells count="22">
    <mergeCell ref="C1:P1"/>
    <mergeCell ref="Q1:AD1"/>
    <mergeCell ref="AE1:AK1"/>
    <mergeCell ref="AL1:AR1"/>
    <mergeCell ref="A3:A16"/>
    <mergeCell ref="AX3:AX16"/>
    <mergeCell ref="AX17:AX30"/>
    <mergeCell ref="C64:P64"/>
    <mergeCell ref="Q64:AD64"/>
    <mergeCell ref="AG198:AT198"/>
    <mergeCell ref="AU198:BH198"/>
    <mergeCell ref="AG232:AT232"/>
    <mergeCell ref="AU232:BH232"/>
    <mergeCell ref="AG266:AT266"/>
    <mergeCell ref="AU266:BH266"/>
    <mergeCell ref="A17:A30"/>
    <mergeCell ref="C56:P56"/>
    <mergeCell ref="Q56:AD56"/>
    <mergeCell ref="Q44:AD44"/>
    <mergeCell ref="C44:P44"/>
    <mergeCell ref="Q36:AD36"/>
    <mergeCell ref="C36:P36"/>
  </mergeCells>
  <conditionalFormatting sqref="AE32:AK33 AF31 AH31:AK31">
    <cfRule type="colorScale" priority="1">
      <colorScale>
        <cfvo type="formula" val="0"/>
        <cfvo type="formula" val="500"/>
        <cfvo type="formula" val="12000"/>
        <color rgb="FFEAD1DC"/>
        <color rgb="FF88AAE6"/>
        <color rgb="FF1155CC"/>
      </colorScale>
    </cfRule>
  </conditionalFormatting>
  <conditionalFormatting sqref="AL31:AR33">
    <cfRule type="colorScale" priority="2">
      <colorScale>
        <cfvo type="formula" val="0"/>
        <cfvo type="formula" val="5000"/>
        <cfvo type="formula" val="100000"/>
        <color rgb="FFF4CCCC"/>
        <color rgb="FFEA9999"/>
        <color rgb="FF990000"/>
      </colorScale>
    </cfRule>
  </conditionalFormatting>
  <conditionalFormatting sqref="AS31:AS33">
    <cfRule type="colorScale" priority="3">
      <colorScale>
        <cfvo type="min"/>
        <cfvo type="percentile" val="50"/>
        <cfvo type="max"/>
        <color rgb="FFF4CCCC"/>
        <color rgb="FFEA9999"/>
        <color rgb="FF990000"/>
      </colorScale>
    </cfRule>
  </conditionalFormatting>
  <conditionalFormatting sqref="AT31:AT33">
    <cfRule type="colorScale" priority="4">
      <colorScale>
        <cfvo type="min"/>
        <cfvo type="percentile" val="50"/>
        <cfvo type="max"/>
        <color rgb="FFEAD1DC"/>
        <color rgb="FF88AAE6"/>
        <color rgb="FF1155CC"/>
      </colorScale>
    </cfRule>
  </conditionalFormatting>
  <conditionalFormatting sqref="AV32:AV33">
    <cfRule type="colorScale" priority="5">
      <colorScale>
        <cfvo type="min"/>
        <cfvo type="percentile" val="50"/>
        <cfvo type="max"/>
        <color rgb="FFF4CCCC"/>
        <color rgb="FFEA9999"/>
        <color rgb="FF990000"/>
      </colorScale>
    </cfRule>
  </conditionalFormatting>
  <conditionalFormatting sqref="C3:P16">
    <cfRule type="colorScale" priority="6">
      <colorScale>
        <cfvo type="formula" val="0"/>
        <cfvo type="formula" val="100"/>
        <cfvo type="formula" val="10000"/>
        <color rgb="FFFFFFFF"/>
        <color rgb="FFABDDC5"/>
        <color rgb="FF57BB8A"/>
      </colorScale>
    </cfRule>
  </conditionalFormatting>
  <conditionalFormatting sqref="C17:P30 Q3:AD16">
    <cfRule type="colorScale" priority="7">
      <colorScale>
        <cfvo type="formula" val="0"/>
        <cfvo type="formula" val="100"/>
        <cfvo type="formula" val="10000"/>
        <color rgb="FFFFFFFF"/>
        <color rgb="FFCFE2F3"/>
        <color rgb="FF3D85C6"/>
      </colorScale>
    </cfRule>
  </conditionalFormatting>
  <conditionalFormatting sqref="Q17:AD30">
    <cfRule type="colorScale" priority="8">
      <colorScale>
        <cfvo type="formula" val="0"/>
        <cfvo type="formula" val="50000"/>
        <cfvo type="formula" val="500000"/>
        <color rgb="FFFFFFFF"/>
        <color rgb="FFF4CCCC"/>
        <color rgb="FFE06666"/>
      </colorScale>
    </cfRule>
  </conditionalFormatting>
  <conditionalFormatting sqref="AE3:AK16">
    <cfRule type="colorScale" priority="9">
      <colorScale>
        <cfvo type="formula" val="0"/>
        <cfvo type="formula" val="100"/>
        <cfvo type="formula" val="10000"/>
        <color rgb="FFFFFFFF"/>
        <color rgb="FFABDDC5"/>
        <color rgb="FF57BB8A"/>
      </colorScale>
    </cfRule>
  </conditionalFormatting>
  <conditionalFormatting sqref="AL17:AR30">
    <cfRule type="colorScale" priority="10">
      <colorScale>
        <cfvo type="formula" val="0"/>
        <cfvo type="formula" val="10000"/>
        <cfvo type="formula" val="1000000"/>
        <color rgb="FFFFFFFF"/>
        <color rgb="FFF3BEB9"/>
        <color rgb="FFE67C73"/>
      </colorScale>
    </cfRule>
  </conditionalFormatting>
  <conditionalFormatting sqref="AE17:AK30 AL3:AR16">
    <cfRule type="colorScale" priority="11">
      <colorScale>
        <cfvo type="formula" val="0"/>
        <cfvo type="formula" val="100"/>
        <cfvo type="formula" val="10000"/>
        <color theme="0"/>
        <color rgb="FFCFE2F3"/>
        <color rgb="FF3D85C6"/>
      </colorScale>
    </cfRule>
  </conditionalFormatting>
  <conditionalFormatting sqref="AS3:AS16">
    <cfRule type="colorScale" priority="12">
      <colorScale>
        <cfvo type="formula" val="0"/>
        <cfvo type="formula" val="100"/>
        <cfvo type="formula" val="10000"/>
        <color rgb="FFFFFFFF"/>
        <color rgb="FFABDDC5"/>
        <color rgb="FF57BB8A"/>
      </colorScale>
    </cfRule>
  </conditionalFormatting>
  <conditionalFormatting sqref="AS17:AS30">
    <cfRule type="colorScale" priority="13">
      <colorScale>
        <cfvo type="formula" val="0"/>
        <cfvo type="formula" val="10000"/>
        <cfvo type="formula" val="1000000"/>
        <color rgb="FFFFFFFF"/>
        <color rgb="FFF3BEB9"/>
        <color rgb="FFE67C73"/>
      </colorScale>
    </cfRule>
  </conditionalFormatting>
  <conditionalFormatting sqref="AT3:AT30">
    <cfRule type="colorScale" priority="14">
      <colorScale>
        <cfvo type="formula" val="0"/>
        <cfvo type="formula" val="100"/>
        <cfvo type="formula" val="10000"/>
        <color theme="0"/>
        <color rgb="FFCFE2F3"/>
        <color rgb="FF3D85C6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5.43"/>
    <col customWidth="1" min="3" max="3" width="13.57"/>
    <col customWidth="1" min="4" max="4" width="13.86"/>
    <col customWidth="1" min="5" max="6" width="14.14"/>
    <col customWidth="1" min="7" max="7" width="15.43"/>
    <col customWidth="1" min="9" max="9" width="14.14"/>
    <col customWidth="1" min="10" max="10" width="13.43"/>
    <col customWidth="1" min="11" max="11" width="14.14"/>
    <col customWidth="1" min="12" max="12" width="14.71"/>
    <col customWidth="1" min="13" max="13" width="14.14"/>
    <col customWidth="1" min="14" max="14" width="13.86"/>
    <col customWidth="1" min="15" max="15" width="13.43"/>
    <col customWidth="1" min="16" max="16" width="14.14"/>
    <col customWidth="1" min="17" max="17" width="15.43"/>
    <col customWidth="1" min="18" max="19" width="13.86"/>
    <col customWidth="1" min="20" max="20" width="13.0"/>
    <col customWidth="1" min="21" max="21" width="14.57"/>
    <col customWidth="1" min="22" max="22" width="11.86"/>
    <col customWidth="1" min="23" max="23" width="13.0"/>
    <col customWidth="1" min="24" max="24" width="12.86"/>
    <col customWidth="1" min="25" max="25" width="12.29"/>
    <col customWidth="1" min="26" max="26" width="12.71"/>
    <col customWidth="1" min="27" max="27" width="13.29"/>
    <col customWidth="1" min="28" max="28" width="13.57"/>
    <col customWidth="1" min="29" max="29" width="12.43"/>
  </cols>
  <sheetData>
    <row r="1" ht="14.25" customHeight="1">
      <c r="B1" s="1" t="s">
        <v>0</v>
      </c>
      <c r="C1" s="25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R1" s="2" t="s">
        <v>2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ht="14.25" customHeight="1">
      <c r="A2" s="9" t="s">
        <v>66</v>
      </c>
      <c r="B2" s="1" t="s">
        <v>3</v>
      </c>
      <c r="C2" s="15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2" t="s">
        <v>17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67</v>
      </c>
    </row>
    <row r="3" ht="14.25" customHeight="1">
      <c r="B3" s="64" t="s">
        <v>62</v>
      </c>
      <c r="C3" s="9">
        <f>Model!AG200</f>
        <v>884712933.4</v>
      </c>
      <c r="D3" s="9">
        <f>Model!AH200</f>
        <v>1259476715</v>
      </c>
      <c r="E3" s="9">
        <f>Model!AI200</f>
        <v>4518129502</v>
      </c>
      <c r="F3" s="9">
        <f>Model!AJ200</f>
        <v>2461614424</v>
      </c>
      <c r="G3" s="9">
        <f>Model!AK200</f>
        <v>2685320394</v>
      </c>
      <c r="H3" s="9">
        <f>Model!AL200</f>
        <v>69023017.7</v>
      </c>
      <c r="I3" s="9">
        <f>Model!AM200</f>
        <v>617714516.6</v>
      </c>
      <c r="J3" s="9">
        <f>Model!AN200</f>
        <v>36753265098</v>
      </c>
      <c r="K3" s="9">
        <f>Model!AO200</f>
        <v>64670534.21</v>
      </c>
      <c r="L3" s="9">
        <f>Model!AP200</f>
        <v>23960686509</v>
      </c>
      <c r="M3" s="9">
        <f>Model!AQ200</f>
        <v>23683992822</v>
      </c>
      <c r="N3" s="9">
        <f>Model!AR200</f>
        <v>85064068.67</v>
      </c>
      <c r="O3" s="9">
        <f>Model!AS200</f>
        <v>1995955.063</v>
      </c>
      <c r="P3" s="9">
        <f>Model!AT200</f>
        <v>1788105630</v>
      </c>
      <c r="Q3" s="64" t="s">
        <v>62</v>
      </c>
      <c r="R3" s="9">
        <f>Model!AU200</f>
        <v>1036687414803</v>
      </c>
      <c r="S3" s="9">
        <f>Model!AV200</f>
        <v>442279434505</v>
      </c>
      <c r="T3" s="9">
        <f>Model!AW200</f>
        <v>1967867515855</v>
      </c>
      <c r="U3" s="9">
        <f>Model!AX200</f>
        <v>1787399433217</v>
      </c>
      <c r="V3" s="9">
        <f>Model!AY200</f>
        <v>1088933440650</v>
      </c>
      <c r="W3" s="9">
        <f>Model!AZ200</f>
        <v>646405309465</v>
      </c>
      <c r="X3" s="9">
        <f>Model!BA200</f>
        <v>158324844457</v>
      </c>
      <c r="Y3" s="9">
        <f>Model!BB200</f>
        <v>14171840262290</v>
      </c>
      <c r="Z3" s="9">
        <f>Model!BC200</f>
        <v>314558010590</v>
      </c>
      <c r="AA3" s="9">
        <f>Model!BD200</f>
        <v>9764128054766</v>
      </c>
      <c r="AB3" s="9">
        <f>Model!BE200</f>
        <v>6966286652687</v>
      </c>
      <c r="AC3" s="9">
        <f>Model!BF200</f>
        <v>347414480593</v>
      </c>
      <c r="AD3" s="9">
        <f>Model!BG200</f>
        <v>51328258587</v>
      </c>
      <c r="AE3" s="9">
        <f>Model!BH200</f>
        <v>952462234246</v>
      </c>
      <c r="AF3" s="51">
        <f t="shared" ref="AF3:AF4" si="1">SUM(C3:AE3)</f>
        <v>39794749118832</v>
      </c>
    </row>
    <row r="4" ht="14.25" customHeight="1">
      <c r="B4" s="64" t="s">
        <v>60</v>
      </c>
      <c r="C4" s="9">
        <f>Model!$BI170</f>
        <v>1668962085</v>
      </c>
      <c r="D4" s="9">
        <f>Model!$BI171</f>
        <v>370000297</v>
      </c>
      <c r="E4" s="9">
        <f>Model!$BI172</f>
        <v>7044877391</v>
      </c>
      <c r="F4" s="9">
        <f>Model!$BI173</f>
        <v>457618028</v>
      </c>
      <c r="G4" s="9">
        <f>Model!$BI174</f>
        <v>564298930.8</v>
      </c>
      <c r="H4" s="9">
        <f>Model!$BI175</f>
        <v>1396399359</v>
      </c>
      <c r="I4" s="9">
        <f>Model!$BI176</f>
        <v>1506131437</v>
      </c>
      <c r="J4" s="9">
        <f>Model!$BI177</f>
        <v>27267304167</v>
      </c>
      <c r="K4" s="9">
        <f>Model!$BI178</f>
        <v>26905618.4</v>
      </c>
      <c r="L4" s="9">
        <f>Model!$BI179</f>
        <v>25203443673</v>
      </c>
      <c r="M4" s="9">
        <f>Model!$BI180</f>
        <v>5876150331</v>
      </c>
      <c r="N4" s="9">
        <f>Model!$BI181</f>
        <v>2042925110</v>
      </c>
      <c r="O4" s="9">
        <f>Model!$BI182</f>
        <v>6288396.08</v>
      </c>
      <c r="P4" s="9">
        <f>Model!$BI183</f>
        <v>1296726455</v>
      </c>
      <c r="Q4" s="64" t="s">
        <v>60</v>
      </c>
      <c r="R4" s="9">
        <f>Model!$BI184</f>
        <v>1910194029437</v>
      </c>
      <c r="S4" s="9">
        <f>Model!$BI185</f>
        <v>206513585997</v>
      </c>
      <c r="T4" s="9">
        <f>Model!$BI186</f>
        <v>3329657548812</v>
      </c>
      <c r="U4" s="9">
        <f>Model!$BI187</f>
        <v>548309594788</v>
      </c>
      <c r="V4" s="9">
        <f>Model!$BI188</f>
        <v>262725579656</v>
      </c>
      <c r="W4" s="9">
        <f>Model!$BI189</f>
        <v>1578397521288</v>
      </c>
      <c r="X4" s="9">
        <f>Model!$BI190</f>
        <v>1338026025116</v>
      </c>
      <c r="Y4" s="9">
        <f>Model!$BI191</f>
        <v>10877317349473</v>
      </c>
      <c r="Z4" s="9">
        <f>Model!$BI192</f>
        <v>375720391672</v>
      </c>
      <c r="AA4" s="9">
        <f>Model!$BI193</f>
        <v>16443494755885</v>
      </c>
      <c r="AB4" s="9">
        <f>Model!$BI194</f>
        <v>1729622271248</v>
      </c>
      <c r="AC4" s="9">
        <f>Model!$BI195</f>
        <v>972425901650</v>
      </c>
      <c r="AD4" s="9">
        <f>Model!$BI196</f>
        <v>24033987911</v>
      </c>
      <c r="AE4" s="9">
        <f>Model!$BI197</f>
        <v>123582544622</v>
      </c>
      <c r="AF4" s="51">
        <f t="shared" si="1"/>
        <v>39794749118832</v>
      </c>
    </row>
    <row r="5" ht="14.25" customHeight="1"/>
    <row r="6" ht="14.25" customHeight="1"/>
    <row r="7" ht="14.25" customHeight="1">
      <c r="AF7" s="51">
        <v>4.2053078065905695E13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B35" s="1" t="s">
        <v>0</v>
      </c>
      <c r="C35" s="25" t="s">
        <v>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R35" s="2" t="s">
        <v>2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4"/>
    </row>
    <row r="36" ht="14.25" customHeight="1">
      <c r="B36" s="1" t="s">
        <v>3</v>
      </c>
      <c r="C36" s="15" t="s">
        <v>4</v>
      </c>
      <c r="D36" s="1" t="s">
        <v>5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10</v>
      </c>
      <c r="J36" s="1" t="s">
        <v>11</v>
      </c>
      <c r="K36" s="1" t="s">
        <v>12</v>
      </c>
      <c r="L36" s="1" t="s">
        <v>13</v>
      </c>
      <c r="M36" s="1" t="s">
        <v>14</v>
      </c>
      <c r="N36" s="1" t="s">
        <v>15</v>
      </c>
      <c r="O36" s="1" t="s">
        <v>16</v>
      </c>
      <c r="P36" s="2" t="s">
        <v>17</v>
      </c>
      <c r="R36" s="1" t="s">
        <v>4</v>
      </c>
      <c r="S36" s="1" t="s">
        <v>5</v>
      </c>
      <c r="T36" s="1" t="s">
        <v>6</v>
      </c>
      <c r="U36" s="1" t="s">
        <v>7</v>
      </c>
      <c r="V36" s="1" t="s">
        <v>8</v>
      </c>
      <c r="W36" s="1" t="s">
        <v>9</v>
      </c>
      <c r="X36" s="1" t="s">
        <v>10</v>
      </c>
      <c r="Y36" s="1" t="s">
        <v>11</v>
      </c>
      <c r="Z36" s="1" t="s">
        <v>12</v>
      </c>
      <c r="AA36" s="1" t="s">
        <v>13</v>
      </c>
      <c r="AB36" s="1" t="s">
        <v>14</v>
      </c>
      <c r="AC36" s="1" t="s">
        <v>15</v>
      </c>
      <c r="AD36" s="1" t="s">
        <v>16</v>
      </c>
      <c r="AE36" s="1" t="s">
        <v>17</v>
      </c>
      <c r="AF36" s="1" t="s">
        <v>67</v>
      </c>
    </row>
    <row r="37" ht="14.25" customHeight="1">
      <c r="A37" s="9" t="s">
        <v>68</v>
      </c>
      <c r="B37" s="64" t="s">
        <v>62</v>
      </c>
      <c r="C37" s="9">
        <f>Model!AG234</f>
        <v>3493.968877</v>
      </c>
      <c r="D37" s="9">
        <f>Model!AH234</f>
        <v>1505.266618</v>
      </c>
      <c r="E37" s="9">
        <f>Model!AI234</f>
        <v>1400.772173</v>
      </c>
      <c r="F37" s="9">
        <f>Model!AJ234</f>
        <v>426.6284916</v>
      </c>
      <c r="G37" s="9">
        <f>Model!AK234</f>
        <v>2293.274579</v>
      </c>
      <c r="H37" s="9">
        <f>Model!AL234</f>
        <v>0.5651940568</v>
      </c>
      <c r="I37" s="9">
        <f>Model!AM234</f>
        <v>13.43201511</v>
      </c>
      <c r="J37" s="9">
        <f>Model!AN234</f>
        <v>2450.307891</v>
      </c>
      <c r="K37" s="9">
        <f>Model!AO234</f>
        <v>4.073036179</v>
      </c>
      <c r="L37" s="9">
        <f>Model!AP234</f>
        <v>998.3278765</v>
      </c>
      <c r="M37" s="9">
        <f>Model!AQ234</f>
        <v>2179.629829</v>
      </c>
      <c r="N37" s="9">
        <f>Model!AR234</f>
        <v>0.7911143146</v>
      </c>
      <c r="O37" s="9">
        <f>Model!AS234</f>
        <v>0.1264243817</v>
      </c>
      <c r="P37" s="9">
        <f>Model!AT234</f>
        <v>626.2735478</v>
      </c>
      <c r="Q37" s="64" t="s">
        <v>62</v>
      </c>
      <c r="R37" s="9">
        <f>Model!AU234</f>
        <v>3702270.353</v>
      </c>
      <c r="S37" s="9">
        <f>Model!AV234</f>
        <v>372550.4782</v>
      </c>
      <c r="T37" s="9">
        <f>Model!AW234</f>
        <v>240053.1721</v>
      </c>
      <c r="U37" s="9">
        <f>Model!AX234</f>
        <v>215544.4181</v>
      </c>
      <c r="V37" s="9">
        <f>Model!AY234</f>
        <v>1718315.34</v>
      </c>
      <c r="W37" s="9">
        <f>Model!AZ234</f>
        <v>1575.958551</v>
      </c>
      <c r="X37" s="9">
        <f>Model!BA234</f>
        <v>10237.61069</v>
      </c>
      <c r="Y37" s="9">
        <f>Model!BB234</f>
        <v>1489517.887</v>
      </c>
      <c r="Z37" s="9">
        <f>Model!BC234</f>
        <v>57540.72033</v>
      </c>
      <c r="AA37" s="9">
        <f>Model!BD234</f>
        <v>271824.292</v>
      </c>
      <c r="AB37" s="9">
        <f>Model!BE234</f>
        <v>924394.4947</v>
      </c>
      <c r="AC37" s="9">
        <f>Model!BF234</f>
        <v>2946.142519</v>
      </c>
      <c r="AD37" s="9">
        <f>Model!BG234</f>
        <v>3511.70688</v>
      </c>
      <c r="AE37" s="9">
        <f>Model!BH234</f>
        <v>344403.9715</v>
      </c>
      <c r="AF37" s="51">
        <f t="shared" ref="AF37:AF38" si="2">SUM(C37:AE37)</f>
        <v>9370079.983</v>
      </c>
    </row>
    <row r="38" ht="14.25" customHeight="1">
      <c r="B38" s="64" t="s">
        <v>60</v>
      </c>
      <c r="C38" s="9">
        <f>Model!$BI204</f>
        <v>9814.9808</v>
      </c>
      <c r="D38" s="9">
        <f>Model!$BI205</f>
        <v>0</v>
      </c>
      <c r="E38" s="9">
        <f>Model!$BI206</f>
        <v>0</v>
      </c>
      <c r="F38" s="9">
        <f>Model!$BI207</f>
        <v>0</v>
      </c>
      <c r="G38" s="9">
        <f>Model!$BI208</f>
        <v>0</v>
      </c>
      <c r="H38" s="9">
        <f>Model!$BI209</f>
        <v>0</v>
      </c>
      <c r="I38" s="9">
        <f>Model!$BI210</f>
        <v>0</v>
      </c>
      <c r="J38" s="9">
        <f>Model!$BI211</f>
        <v>0</v>
      </c>
      <c r="K38" s="9">
        <f>Model!$BI212</f>
        <v>0</v>
      </c>
      <c r="L38" s="9">
        <f>Model!$BI213</f>
        <v>0</v>
      </c>
      <c r="M38" s="9">
        <f>Model!$BI214</f>
        <v>0</v>
      </c>
      <c r="N38" s="9">
        <f>Model!$BI215</f>
        <v>0</v>
      </c>
      <c r="O38" s="9">
        <f>Model!$BI216</f>
        <v>0</v>
      </c>
      <c r="P38" s="9">
        <f>Model!$BI217</f>
        <v>0</v>
      </c>
      <c r="Q38" s="64" t="s">
        <v>60</v>
      </c>
      <c r="R38" s="9">
        <f>Model!$BI218</f>
        <v>9360265.002</v>
      </c>
      <c r="S38" s="9">
        <f>Model!$BI219</f>
        <v>0</v>
      </c>
      <c r="T38" s="9">
        <f>Model!$BI220</f>
        <v>0</v>
      </c>
      <c r="U38" s="9">
        <f>Model!$BI221</f>
        <v>0</v>
      </c>
      <c r="V38" s="9">
        <f>Model!$BI222</f>
        <v>0</v>
      </c>
      <c r="W38" s="9">
        <f>Model!$BI223</f>
        <v>0</v>
      </c>
      <c r="X38" s="9">
        <f>Model!$BI224</f>
        <v>0</v>
      </c>
      <c r="Y38" s="9">
        <f>Model!$BI225</f>
        <v>0</v>
      </c>
      <c r="Z38" s="9">
        <f>Model!$BI226</f>
        <v>0</v>
      </c>
      <c r="AA38" s="9">
        <f>Model!$BI227</f>
        <v>0</v>
      </c>
      <c r="AB38" s="9">
        <f>Model!$BI228</f>
        <v>0</v>
      </c>
      <c r="AC38" s="9">
        <f>Model!$BI229</f>
        <v>0</v>
      </c>
      <c r="AD38" s="9">
        <f>Model!$BI230</f>
        <v>0</v>
      </c>
      <c r="AE38" s="9">
        <f>Model!$BI231</f>
        <v>0</v>
      </c>
      <c r="AF38" s="51">
        <f t="shared" si="2"/>
        <v>9370079.983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>
      <c r="B69" s="1" t="s">
        <v>0</v>
      </c>
      <c r="C69" s="25" t="s">
        <v>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R69" s="2" t="s">
        <v>2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</row>
    <row r="70" ht="14.25" customHeight="1">
      <c r="B70" s="1" t="s">
        <v>3</v>
      </c>
      <c r="C70" s="15" t="s">
        <v>4</v>
      </c>
      <c r="D70" s="1" t="s">
        <v>5</v>
      </c>
      <c r="E70" s="1" t="s">
        <v>6</v>
      </c>
      <c r="F70" s="1" t="s">
        <v>7</v>
      </c>
      <c r="G70" s="1" t="s">
        <v>8</v>
      </c>
      <c r="H70" s="1" t="s">
        <v>9</v>
      </c>
      <c r="I70" s="1" t="s">
        <v>10</v>
      </c>
      <c r="J70" s="1" t="s">
        <v>11</v>
      </c>
      <c r="K70" s="1" t="s">
        <v>12</v>
      </c>
      <c r="L70" s="1" t="s">
        <v>13</v>
      </c>
      <c r="M70" s="1" t="s">
        <v>14</v>
      </c>
      <c r="N70" s="1" t="s">
        <v>15</v>
      </c>
      <c r="O70" s="1" t="s">
        <v>16</v>
      </c>
      <c r="P70" s="2" t="s">
        <v>17</v>
      </c>
      <c r="R70" s="1" t="s">
        <v>4</v>
      </c>
      <c r="S70" s="1" t="s">
        <v>5</v>
      </c>
      <c r="T70" s="1" t="s">
        <v>6</v>
      </c>
      <c r="U70" s="1" t="s">
        <v>7</v>
      </c>
      <c r="V70" s="1" t="s">
        <v>8</v>
      </c>
      <c r="W70" s="1" t="s">
        <v>9</v>
      </c>
      <c r="X70" s="1" t="s">
        <v>10</v>
      </c>
      <c r="Y70" s="1" t="s">
        <v>11</v>
      </c>
      <c r="Z70" s="1" t="s">
        <v>12</v>
      </c>
      <c r="AA70" s="1" t="s">
        <v>13</v>
      </c>
      <c r="AB70" s="1" t="s">
        <v>14</v>
      </c>
      <c r="AC70" s="1" t="s">
        <v>15</v>
      </c>
      <c r="AD70" s="1" t="s">
        <v>16</v>
      </c>
      <c r="AE70" s="1" t="s">
        <v>17</v>
      </c>
      <c r="AF70" s="1" t="s">
        <v>67</v>
      </c>
    </row>
    <row r="71" ht="14.25" customHeight="1">
      <c r="A71" s="9" t="s">
        <v>69</v>
      </c>
      <c r="B71" s="64" t="s">
        <v>62</v>
      </c>
      <c r="C71" s="9">
        <f>Model!AG268</f>
        <v>21.6684803</v>
      </c>
      <c r="D71" s="9">
        <f>Model!AH268</f>
        <v>75.68987183</v>
      </c>
      <c r="E71" s="9">
        <f>Model!AI268</f>
        <v>8639.883494</v>
      </c>
      <c r="F71" s="9">
        <f>Model!AJ268</f>
        <v>2805.520799</v>
      </c>
      <c r="G71" s="9">
        <f>Model!AK268</f>
        <v>1248.627118</v>
      </c>
      <c r="H71" s="9">
        <f>Model!AL268</f>
        <v>0.730207114</v>
      </c>
      <c r="I71" s="9">
        <f>Model!AM268</f>
        <v>16.26635582</v>
      </c>
      <c r="J71" s="9">
        <f>Model!AN268</f>
        <v>1977.083284</v>
      </c>
      <c r="K71" s="9">
        <f>Model!AO268</f>
        <v>6.641956091</v>
      </c>
      <c r="L71" s="9">
        <f>Model!AP268</f>
        <v>2588.050864</v>
      </c>
      <c r="M71" s="9">
        <f>Model!AQ268</f>
        <v>3181.179004</v>
      </c>
      <c r="N71" s="9">
        <f>Model!AR268</f>
        <v>1.028245623</v>
      </c>
      <c r="O71" s="9">
        <f>Model!AS268</f>
        <v>0.1375976265</v>
      </c>
      <c r="P71" s="9">
        <f>Model!AT268</f>
        <v>649.8801691</v>
      </c>
      <c r="Q71" s="64" t="s">
        <v>62</v>
      </c>
      <c r="R71" s="9">
        <f>Model!AU268</f>
        <v>42506.76573</v>
      </c>
      <c r="S71" s="9">
        <f>Model!AV268</f>
        <v>34523.35846</v>
      </c>
      <c r="T71" s="9">
        <f>Model!AW268</f>
        <v>7086548.813</v>
      </c>
      <c r="U71" s="9">
        <f>Model!AX268</f>
        <v>3708135.942</v>
      </c>
      <c r="V71" s="9">
        <f>Model!AY268</f>
        <v>356475.8539</v>
      </c>
      <c r="W71" s="9">
        <f>Model!AZ268</f>
        <v>2634.397089</v>
      </c>
      <c r="X71" s="9">
        <f>Model!BA268</f>
        <v>7129.398607</v>
      </c>
      <c r="Y71" s="9">
        <f>Model!BB268</f>
        <v>886824.4861</v>
      </c>
      <c r="Z71" s="9">
        <f>Model!BC268</f>
        <v>43489.62513</v>
      </c>
      <c r="AA71" s="9">
        <f>Model!BD268</f>
        <v>284247.7423</v>
      </c>
      <c r="AB71" s="9">
        <f>Model!BE268</f>
        <v>881009.6902</v>
      </c>
      <c r="AC71" s="9">
        <f>Model!BF268</f>
        <v>3429.95173</v>
      </c>
      <c r="AD71" s="9">
        <f>Model!BG268</f>
        <v>5746.211306</v>
      </c>
      <c r="AE71" s="9">
        <f>Model!BH268</f>
        <v>679425.651</v>
      </c>
      <c r="AF71" s="51">
        <f t="shared" ref="AF71:AF72" si="3">SUM(C71:AE71)</f>
        <v>14043340.28</v>
      </c>
    </row>
    <row r="72" ht="14.25" customHeight="1">
      <c r="B72" s="64" t="s">
        <v>60</v>
      </c>
      <c r="C72" s="9">
        <f>Model!$BI238</f>
        <v>0</v>
      </c>
      <c r="D72" s="9">
        <f>Model!$BI239</f>
        <v>0</v>
      </c>
      <c r="E72" s="9">
        <f>Model!$BI240</f>
        <v>15943.32516</v>
      </c>
      <c r="F72" s="9">
        <f>Model!$BI241</f>
        <v>0</v>
      </c>
      <c r="G72" s="9">
        <f>Model!$BI242</f>
        <v>0</v>
      </c>
      <c r="H72" s="9">
        <f>Model!$BI243</f>
        <v>0</v>
      </c>
      <c r="I72" s="9">
        <f>Model!$BI244</f>
        <v>0</v>
      </c>
      <c r="J72" s="9">
        <f>Model!$BI245</f>
        <v>0</v>
      </c>
      <c r="K72" s="9">
        <f>Model!$BI246</f>
        <v>0</v>
      </c>
      <c r="L72" s="9">
        <f>Model!$BI247</f>
        <v>0</v>
      </c>
      <c r="M72" s="9">
        <f>Model!$BI248</f>
        <v>0</v>
      </c>
      <c r="N72" s="9">
        <f>Model!$BI249</f>
        <v>0</v>
      </c>
      <c r="O72" s="9">
        <f>Model!$BI250</f>
        <v>0</v>
      </c>
      <c r="P72" s="9">
        <f>Model!$BI251</f>
        <v>0</v>
      </c>
      <c r="Q72" s="64" t="s">
        <v>60</v>
      </c>
      <c r="R72" s="9">
        <f>Model!$BI252</f>
        <v>0</v>
      </c>
      <c r="S72" s="9">
        <f>Model!$BI253</f>
        <v>0</v>
      </c>
      <c r="T72" s="9">
        <f>Model!$BI254</f>
        <v>14027396.95</v>
      </c>
      <c r="U72" s="9">
        <f>Model!$BI255</f>
        <v>0</v>
      </c>
      <c r="V72" s="9">
        <f>Model!$BI256</f>
        <v>0</v>
      </c>
      <c r="W72" s="9">
        <f>Model!$BI257</f>
        <v>0</v>
      </c>
      <c r="X72" s="9">
        <f>Model!$BI258</f>
        <v>0</v>
      </c>
      <c r="Y72" s="9">
        <f>Model!$BI259</f>
        <v>0</v>
      </c>
      <c r="Z72" s="9">
        <f>Model!$BI260</f>
        <v>0</v>
      </c>
      <c r="AA72" s="9">
        <f>Model!$BI261</f>
        <v>0</v>
      </c>
      <c r="AB72" s="9">
        <f>Model!$BI262</f>
        <v>0</v>
      </c>
      <c r="AC72" s="9">
        <f>Model!$BI263</f>
        <v>0</v>
      </c>
      <c r="AD72" s="9">
        <f>Model!$BI264</f>
        <v>0</v>
      </c>
      <c r="AE72" s="9">
        <f>Model!$BI265</f>
        <v>0</v>
      </c>
      <c r="AF72" s="51">
        <f t="shared" si="3"/>
        <v>14043340.28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1:P1"/>
    <mergeCell ref="R1:AE1"/>
    <mergeCell ref="C35:P35"/>
    <mergeCell ref="R35:AE35"/>
    <mergeCell ref="C69:P69"/>
    <mergeCell ref="R69:AE6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2025-05-26T17:52:13Z</dcterms:created>
  <dc:creator>openpyxl</dc:creator>
</cp:coreProperties>
</file>