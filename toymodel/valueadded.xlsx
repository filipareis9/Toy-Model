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QmEShevqZfE0aE5Pfuo9Z/sCmmGWWryZ5BVUewu83zQ="/>
    </ext>
  </extLst>
</workbook>
</file>

<file path=xl/sharedStrings.xml><?xml version="1.0" encoding="utf-8"?>
<sst xmlns="http://schemas.openxmlformats.org/spreadsheetml/2006/main" count="75" uniqueCount="41">
  <si>
    <t xml:space="preserve"> </t>
  </si>
  <si>
    <t>Input-Output Table</t>
  </si>
  <si>
    <t>1990 [Mio $]</t>
  </si>
  <si>
    <t>Soy Agriculture</t>
  </si>
  <si>
    <t>Tofu Production</t>
  </si>
  <si>
    <t>Cow Farming</t>
  </si>
  <si>
    <t>Beef Processing</t>
  </si>
  <si>
    <t>Y_Houshold</t>
  </si>
  <si>
    <t>Y_Government</t>
  </si>
  <si>
    <t>Y_Total_Demand</t>
  </si>
  <si>
    <t xml:space="preserve">X_Total Output </t>
  </si>
  <si>
    <t>Value Added</t>
  </si>
  <si>
    <t>GDP</t>
  </si>
  <si>
    <t>Sum Inter Industry Input</t>
  </si>
  <si>
    <t>X_Total_Industry_Input (Output)</t>
  </si>
  <si>
    <t>Environmental Multiplyers</t>
  </si>
  <si>
    <t>Mass Multiplyer [$/kg]</t>
  </si>
  <si>
    <t>GHG Multiplyer [CO2e kg /kg]</t>
  </si>
  <si>
    <t>Land Use Multiplyer [m^2*year/kg]</t>
  </si>
  <si>
    <t>Environmental Extensions (scope 1) - M Matrix</t>
  </si>
  <si>
    <t>Mass [Mio t]</t>
  </si>
  <si>
    <t>GHG Emmisons [Mio t]</t>
  </si>
  <si>
    <t>Land Use [Mio m^2*year]</t>
  </si>
  <si>
    <t>1/x hat Matrix [1/ Mio $]</t>
  </si>
  <si>
    <t>Technical Coeficient Matrix A [no dim]</t>
  </si>
  <si>
    <t>Leonthief Inverse Matrix L [no dim]</t>
  </si>
  <si>
    <t>Identity Matrix 1</t>
  </si>
  <si>
    <t>Environmental Coeficient Matrix F [mio (t,t,m^2)/ mio $]</t>
  </si>
  <si>
    <t>Mass [Mio t/ mio $]</t>
  </si>
  <si>
    <t>GHG Emmisons [Mio t/ mio$]</t>
  </si>
  <si>
    <t>Land Use [Mio m^2*year/ mio$]</t>
  </si>
  <si>
    <t>Environmental Footprint (F*L*y-hat)</t>
  </si>
  <si>
    <t>1-A</t>
  </si>
  <si>
    <t>y-hat Matrix [Mio $]</t>
  </si>
  <si>
    <t>v-hat Matrix [Mio $]</t>
  </si>
  <si>
    <t>V= (v) hat * (1/x) hat * L * (y) hat</t>
  </si>
  <si>
    <t>Value Added Matrix V</t>
  </si>
  <si>
    <t>Sum</t>
  </si>
  <si>
    <t>Value Added Footprint (sum column)</t>
  </si>
  <si>
    <t>V= (v) hat/x * L * (y) hat</t>
  </si>
  <si>
    <t xml:space="preserve">v-hat/x  Matrix 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</si>
</sst>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ptos Narrow"/>
      <scheme val="minor"/>
    </font>
    <font>
      <b/>
      <sz val="10.0"/>
      <color theme="1"/>
      <name val="Arial"/>
    </font>
    <font>
      <b/>
      <sz val="10.0"/>
      <color theme="1"/>
      <name val="Aptos Narrow"/>
    </font>
    <font>
      <sz val="10.0"/>
      <color theme="1"/>
      <name val="Arial"/>
    </font>
    <font>
      <sz val="10.0"/>
      <color theme="1"/>
      <name val="Aptos Narrow"/>
    </font>
    <font>
      <sz val="10.0"/>
      <color rgb="FF000000"/>
      <name val="Arial"/>
    </font>
    <font>
      <b/>
      <sz val="10.0"/>
      <color rgb="FF000000"/>
      <name val="Arial"/>
    </font>
    <font/>
    <font>
      <color theme="1"/>
      <name val="Arial"/>
    </font>
    <font>
      <color theme="1"/>
      <name val="Aptos Narrow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  <fill>
      <patternFill patternType="solid">
        <fgColor theme="7"/>
        <bgColor theme="7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/>
    </xf>
    <xf borderId="1" fillId="2" fontId="3" numFmtId="0" xfId="0" applyBorder="1" applyFill="1" applyFont="1"/>
    <xf borderId="1" fillId="3" fontId="3" numFmtId="0" xfId="0" applyBorder="1" applyFill="1" applyFont="1"/>
    <xf borderId="1" fillId="4" fontId="4" numFmtId="0" xfId="0" applyBorder="1" applyFill="1" applyFont="1"/>
    <xf borderId="1" fillId="5" fontId="3" numFmtId="0" xfId="0" applyBorder="1" applyFill="1" applyFont="1"/>
    <xf borderId="1" fillId="6" fontId="3" numFmtId="0" xfId="0" applyAlignment="1" applyBorder="1" applyFill="1" applyFont="1">
      <alignment horizontal="right"/>
    </xf>
    <xf borderId="1" fillId="7" fontId="3" numFmtId="0" xfId="0" applyAlignment="1" applyBorder="1" applyFill="1" applyFont="1">
      <alignment horizontal="right"/>
    </xf>
    <xf borderId="1" fillId="3" fontId="4" numFmtId="0" xfId="0" applyBorder="1" applyFont="1"/>
    <xf borderId="1" fillId="8" fontId="3" numFmtId="0" xfId="0" applyAlignment="1" applyBorder="1" applyFill="1" applyFont="1">
      <alignment horizontal="right"/>
    </xf>
    <xf borderId="1" fillId="9" fontId="3" numFmtId="0" xfId="0" applyBorder="1" applyFill="1" applyFont="1"/>
    <xf borderId="1" fillId="10" fontId="3" numFmtId="0" xfId="0" applyAlignment="1" applyBorder="1" applyFill="1" applyFont="1">
      <alignment horizontal="right"/>
    </xf>
    <xf borderId="1" fillId="9" fontId="3" numFmtId="0" xfId="0" applyAlignment="1" applyBorder="1" applyFont="1">
      <alignment horizontal="right"/>
    </xf>
    <xf borderId="0" fillId="0" fontId="3" numFmtId="0" xfId="0" applyFont="1"/>
    <xf borderId="1" fillId="11" fontId="3" numFmtId="0" xfId="0" applyBorder="1" applyFill="1" applyFont="1"/>
    <xf borderId="1" fillId="12" fontId="3" numFmtId="0" xfId="0" applyAlignment="1" applyBorder="1" applyFill="1" applyFont="1">
      <alignment horizontal="right"/>
    </xf>
    <xf borderId="1" fillId="5" fontId="4" numFmtId="0" xfId="0" applyBorder="1" applyFont="1"/>
    <xf borderId="1" fillId="8" fontId="4" numFmtId="0" xfId="0" applyBorder="1" applyFont="1"/>
    <xf borderId="1" fillId="13" fontId="4" numFmtId="0" xfId="0" applyBorder="1" applyFill="1" applyFont="1"/>
    <xf borderId="1" fillId="14" fontId="4" numFmtId="0" xfId="0" applyBorder="1" applyFill="1" applyFont="1"/>
    <xf borderId="1" fillId="15" fontId="4" numFmtId="0" xfId="0" applyBorder="1" applyFill="1" applyFont="1"/>
    <xf borderId="1" fillId="15" fontId="4" numFmtId="0" xfId="0" applyAlignment="1" applyBorder="1" applyFont="1">
      <alignment horizontal="right"/>
    </xf>
    <xf borderId="1" fillId="14" fontId="5" numFmtId="0" xfId="0" applyAlignment="1" applyBorder="1" applyFont="1">
      <alignment horizontal="left" shrinkToFit="0" wrapText="1"/>
    </xf>
    <xf borderId="1" fillId="15" fontId="5" numFmtId="0" xfId="0" applyAlignment="1" applyBorder="1" applyFont="1">
      <alignment horizontal="right" shrinkToFit="0" wrapText="1"/>
    </xf>
    <xf borderId="1" fillId="14" fontId="3" numFmtId="0" xfId="0" applyBorder="1" applyFont="1"/>
    <xf borderId="2" fillId="16" fontId="6" numFmtId="0" xfId="0" applyAlignment="1" applyBorder="1" applyFill="1" applyFont="1">
      <alignment horizontal="center" shrinkToFit="0" wrapText="1"/>
    </xf>
    <xf borderId="3" fillId="0" fontId="7" numFmtId="0" xfId="0" applyBorder="1" applyFont="1"/>
    <xf borderId="4" fillId="0" fontId="7" numFmtId="0" xfId="0" applyBorder="1" applyFont="1"/>
    <xf borderId="1" fillId="17" fontId="4" numFmtId="0" xfId="0" applyBorder="1" applyFill="1" applyFont="1"/>
    <xf borderId="1" fillId="13" fontId="2" numFmtId="0" xfId="0" applyBorder="1" applyFont="1"/>
    <xf borderId="2" fillId="13" fontId="2" numFmtId="0" xfId="0" applyAlignment="1" applyBorder="1" applyFont="1">
      <alignment horizontal="center"/>
    </xf>
    <xf borderId="1" fillId="18" fontId="4" numFmtId="0" xfId="0" applyBorder="1" applyFill="1" applyFont="1"/>
    <xf borderId="2" fillId="16" fontId="2" numFmtId="0" xfId="0" applyAlignment="1" applyBorder="1" applyFont="1">
      <alignment horizontal="center"/>
    </xf>
    <xf borderId="1" fillId="19" fontId="4" numFmtId="0" xfId="0" applyBorder="1" applyFill="1" applyFont="1"/>
    <xf borderId="1" fillId="7" fontId="4" numFmtId="0" xfId="0" applyBorder="1" applyFont="1"/>
    <xf borderId="1" fillId="3" fontId="5" numFmtId="0" xfId="0" applyAlignment="1" applyBorder="1" applyFont="1">
      <alignment horizontal="left" shrinkToFit="0" wrapText="1"/>
    </xf>
    <xf borderId="2" fillId="16" fontId="6" numFmtId="0" xfId="0" applyAlignment="1" applyBorder="1" applyFont="1">
      <alignment horizontal="center" readingOrder="0" shrinkToFit="0" wrapText="1"/>
    </xf>
    <xf borderId="1" fillId="16" fontId="3" numFmtId="0" xfId="0" applyAlignment="1" applyBorder="1" applyFont="1">
      <alignment readingOrder="0"/>
    </xf>
    <xf borderId="2" fillId="16" fontId="1" numFmtId="0" xfId="0" applyAlignment="1" applyBorder="1" applyFont="1">
      <alignment horizontal="center" readingOrder="0"/>
    </xf>
    <xf borderId="1" fillId="20" fontId="3" numFmtId="0" xfId="0" applyBorder="1" applyFill="1" applyFont="1"/>
    <xf borderId="0" fillId="0" fontId="8" numFmtId="0" xfId="0" applyAlignment="1" applyFont="1">
      <alignment readingOrder="0"/>
    </xf>
    <xf borderId="1" fillId="21" fontId="3" numFmtId="0" xfId="0" applyAlignment="1" applyBorder="1" applyFill="1" applyFont="1">
      <alignment horizontal="right"/>
    </xf>
    <xf borderId="0" fillId="0" fontId="9" numFmtId="0" xfId="0" applyFont="1"/>
    <xf borderId="1" fillId="22" fontId="3" numFmtId="0" xfId="0" applyAlignment="1" applyBorder="1" applyFill="1" applyFont="1">
      <alignment readingOrder="0"/>
    </xf>
    <xf borderId="1" fillId="22" fontId="3" numFmtId="0" xfId="0" applyAlignment="1" applyBorder="1" applyFont="1">
      <alignment horizontal="right"/>
    </xf>
    <xf borderId="1" fillId="2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VA!$A$14:$A$18</c:f>
            </c:strRef>
          </c:cat>
          <c:val>
            <c:numRef>
              <c:f>VA!$B$14:$B$18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VA!$A$14:$A$18</c:f>
            </c:strRef>
          </c:cat>
          <c:val>
            <c:numRef>
              <c:f>VA!$C$14:$C$18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VA!$A$14:$A$18</c:f>
            </c:strRef>
          </c:cat>
          <c:val>
            <c:numRef>
              <c:f>VA!$D$14:$D$18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VA!$A$14:$A$18</c:f>
            </c:strRef>
          </c:cat>
          <c:val>
            <c:numRef>
              <c:f>VA!$E$14:$E$18</c:f>
              <c:numCache/>
            </c:numRef>
          </c:val>
        </c:ser>
        <c:axId val="578840955"/>
        <c:axId val="183422466"/>
      </c:barChart>
      <c:catAx>
        <c:axId val="578840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3422466"/>
      </c:catAx>
      <c:valAx>
        <c:axId val="183422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884095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VA!$A$42:$A$45</c:f>
            </c:strRef>
          </c:cat>
          <c:val>
            <c:numRef>
              <c:f>VA!$B$42:$B$45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VA!$A$42:$A$45</c:f>
            </c:strRef>
          </c:cat>
          <c:val>
            <c:numRef>
              <c:f>VA!$C$42:$C$45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VA!$A$42:$A$45</c:f>
            </c:strRef>
          </c:cat>
          <c:val>
            <c:numRef>
              <c:f>VA!$D$42:$D$45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VA!$A$42:$A$45</c:f>
            </c:strRef>
          </c:cat>
          <c:val>
            <c:numRef>
              <c:f>VA!$E$42:$E$45</c:f>
              <c:numCache/>
            </c:numRef>
          </c:val>
        </c:ser>
        <c:axId val="1771739232"/>
        <c:axId val="444577422"/>
      </c:barChart>
      <c:catAx>
        <c:axId val="177173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4577422"/>
      </c:catAx>
      <c:valAx>
        <c:axId val="444577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717392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VA!$A$14:$A$18</c:f>
            </c:strRef>
          </c:cat>
          <c:val>
            <c:numRef>
              <c:f>VA!$B$14:$B$18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VA!$A$14:$A$18</c:f>
            </c:strRef>
          </c:cat>
          <c:val>
            <c:numRef>
              <c:f>VA!$C$14:$C$18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VA!$A$14:$A$18</c:f>
            </c:strRef>
          </c:cat>
          <c:val>
            <c:numRef>
              <c:f>VA!$D$14:$D$18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VA!$A$14:$A$18</c:f>
            </c:strRef>
          </c:cat>
          <c:val>
            <c:numRef>
              <c:f>VA!$E$14:$E$18</c:f>
              <c:numCache/>
            </c:numRef>
          </c:val>
        </c:ser>
        <c:overlap val="100"/>
        <c:axId val="386067347"/>
        <c:axId val="244524403"/>
      </c:barChart>
      <c:catAx>
        <c:axId val="386067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44524403"/>
      </c:catAx>
      <c:valAx>
        <c:axId val="244524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8606734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VA!$A$42:$A$45</c:f>
            </c:strRef>
          </c:cat>
          <c:val>
            <c:numRef>
              <c:f>VA!$B$42:$B$45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VA!$A$42:$A$45</c:f>
            </c:strRef>
          </c:cat>
          <c:val>
            <c:numRef>
              <c:f>VA!$C$42:$C$45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VA!$A$42:$A$45</c:f>
            </c:strRef>
          </c:cat>
          <c:val>
            <c:numRef>
              <c:f>VA!$D$42:$D$45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VA!$A$42:$A$45</c:f>
            </c:strRef>
          </c:cat>
          <c:val>
            <c:numRef>
              <c:f>VA!$E$42:$E$45</c:f>
              <c:numCache/>
            </c:numRef>
          </c:val>
        </c:ser>
        <c:overlap val="100"/>
        <c:axId val="1139018062"/>
        <c:axId val="826090233"/>
      </c:barChart>
      <c:catAx>
        <c:axId val="1139018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6090233"/>
      </c:catAx>
      <c:valAx>
        <c:axId val="826090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901806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2047570588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265620530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824175896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213368737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Example_Footprint_Calculation_1990_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7" width="15.14"/>
    <col customWidth="1" min="8" max="8" width="18.0"/>
    <col customWidth="1" min="9" max="26" width="15.14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  <c r="H2" s="6" t="s">
        <v>9</v>
      </c>
      <c r="I2" s="7" t="s">
        <v>10</v>
      </c>
    </row>
    <row r="3" ht="15.75" customHeight="1">
      <c r="A3" s="4" t="s">
        <v>3</v>
      </c>
      <c r="B3" s="8">
        <v>3.0</v>
      </c>
      <c r="C3" s="8">
        <v>4.0</v>
      </c>
      <c r="D3" s="8">
        <v>8.0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15</v>
      </c>
    </row>
    <row r="4" ht="15.75" customHeight="1">
      <c r="A4" s="4" t="s">
        <v>4</v>
      </c>
      <c r="B4" s="8">
        <v>0.0</v>
      </c>
      <c r="C4" s="8">
        <v>1.0</v>
      </c>
      <c r="D4" s="8">
        <v>1.0</v>
      </c>
      <c r="E4" s="8">
        <v>1.0</v>
      </c>
      <c r="F4" s="9">
        <v>3.0</v>
      </c>
      <c r="G4" s="9">
        <v>0.0</v>
      </c>
      <c r="H4" s="10">
        <f t="shared" si="1"/>
        <v>3</v>
      </c>
      <c r="I4" s="11">
        <f t="shared" si="2"/>
        <v>6</v>
      </c>
    </row>
    <row r="5" ht="15.75" customHeight="1">
      <c r="A5" s="4" t="s">
        <v>5</v>
      </c>
      <c r="B5" s="8">
        <v>1.0</v>
      </c>
      <c r="C5" s="8">
        <v>0.0</v>
      </c>
      <c r="D5" s="8">
        <v>2.0</v>
      </c>
      <c r="E5" s="8">
        <v>7.0</v>
      </c>
      <c r="F5" s="9">
        <v>0.0</v>
      </c>
      <c r="G5" s="9">
        <v>2.0</v>
      </c>
      <c r="H5" s="10">
        <f t="shared" si="1"/>
        <v>2</v>
      </c>
      <c r="I5" s="11">
        <f t="shared" si="2"/>
        <v>12</v>
      </c>
    </row>
    <row r="6" ht="15.75" customHeight="1">
      <c r="A6" s="4" t="s">
        <v>6</v>
      </c>
      <c r="B6" s="8">
        <v>0.0</v>
      </c>
      <c r="C6" s="8">
        <v>0.0</v>
      </c>
      <c r="D6" s="8">
        <v>0.0</v>
      </c>
      <c r="E6" s="8">
        <v>3.0</v>
      </c>
      <c r="F6" s="9">
        <v>11.0</v>
      </c>
      <c r="G6" s="9">
        <v>0.0</v>
      </c>
      <c r="H6" s="10">
        <f t="shared" si="1"/>
        <v>11</v>
      </c>
      <c r="I6" s="11">
        <f t="shared" si="2"/>
        <v>14</v>
      </c>
    </row>
    <row r="7" ht="15.75" customHeight="1">
      <c r="A7" s="12" t="s">
        <v>11</v>
      </c>
      <c r="B7" s="13">
        <f>I3-B8</f>
        <v>11</v>
      </c>
      <c r="C7" s="13">
        <f>I4-C8</f>
        <v>1</v>
      </c>
      <c r="D7" s="13">
        <f>I5-D8</f>
        <v>1</v>
      </c>
      <c r="E7" s="13">
        <f>I6-E8</f>
        <v>3</v>
      </c>
      <c r="F7" s="14">
        <f>SUM(B7:E7)</f>
        <v>16</v>
      </c>
      <c r="G7" s="12" t="s">
        <v>12</v>
      </c>
      <c r="H7" s="15"/>
    </row>
    <row r="8" ht="15.75" customHeight="1">
      <c r="A8" s="16" t="s">
        <v>13</v>
      </c>
      <c r="B8" s="17">
        <f t="shared" ref="B8:E8" si="3">SUM(B2:B6)</f>
        <v>4</v>
      </c>
      <c r="C8" s="17">
        <f t="shared" si="3"/>
        <v>5</v>
      </c>
      <c r="D8" s="17">
        <f t="shared" si="3"/>
        <v>11</v>
      </c>
      <c r="E8" s="17">
        <f t="shared" si="3"/>
        <v>11</v>
      </c>
      <c r="F8" s="3"/>
      <c r="G8" s="15"/>
      <c r="H8" s="15"/>
    </row>
    <row r="9" ht="15.75" customHeight="1">
      <c r="A9" s="18" t="s">
        <v>14</v>
      </c>
      <c r="B9" s="19">
        <f t="shared" ref="B9:E9" si="4">SUM(B3:B7)</f>
        <v>15</v>
      </c>
      <c r="C9" s="19">
        <f t="shared" si="4"/>
        <v>6</v>
      </c>
      <c r="D9" s="19">
        <f t="shared" si="4"/>
        <v>12</v>
      </c>
      <c r="E9" s="19">
        <f t="shared" si="4"/>
        <v>14</v>
      </c>
    </row>
    <row r="10" ht="15.75" customHeight="1">
      <c r="A10" s="2"/>
      <c r="B10" s="2" t="s">
        <v>15</v>
      </c>
      <c r="F10" s="20"/>
    </row>
    <row r="11" ht="15.75" customHeight="1">
      <c r="A11" s="21" t="s">
        <v>16</v>
      </c>
      <c r="B11" s="22">
        <v>0.7</v>
      </c>
      <c r="C11" s="22">
        <v>3.0</v>
      </c>
      <c r="D11" s="22">
        <v>5.0</v>
      </c>
      <c r="E11" s="22">
        <v>16.0</v>
      </c>
      <c r="F11" s="20"/>
    </row>
    <row r="12" ht="15.75" customHeight="1">
      <c r="A12" s="21" t="s">
        <v>17</v>
      </c>
      <c r="B12" s="22">
        <v>0.3</v>
      </c>
      <c r="C12" s="22">
        <v>0.2</v>
      </c>
      <c r="D12" s="22">
        <v>19.0</v>
      </c>
      <c r="E12" s="22">
        <v>1.0</v>
      </c>
      <c r="F12" s="20"/>
    </row>
    <row r="13" ht="15.75" customHeight="1">
      <c r="A13" s="21" t="s">
        <v>18</v>
      </c>
      <c r="B13" s="22">
        <v>0.9</v>
      </c>
      <c r="C13" s="22">
        <v>2.6</v>
      </c>
      <c r="D13" s="22">
        <v>35.0</v>
      </c>
      <c r="E13" s="22">
        <v>57.0</v>
      </c>
      <c r="F13" s="20"/>
    </row>
    <row r="14" ht="15.75" customHeight="1">
      <c r="B14" s="2" t="s">
        <v>19</v>
      </c>
      <c r="F14" s="20"/>
    </row>
    <row r="15" ht="15.75" customHeight="1">
      <c r="A15" s="21" t="s">
        <v>20</v>
      </c>
      <c r="B15" s="23">
        <f t="shared" ref="B15:E15" si="5">B9/B11</f>
        <v>21.42857143</v>
      </c>
      <c r="C15" s="23">
        <f t="shared" si="5"/>
        <v>2</v>
      </c>
      <c r="D15" s="23">
        <f t="shared" si="5"/>
        <v>2.4</v>
      </c>
      <c r="E15" s="23">
        <f t="shared" si="5"/>
        <v>0.875</v>
      </c>
      <c r="F15" s="20"/>
    </row>
    <row r="16" ht="15.75" customHeight="1">
      <c r="A16" s="21" t="s">
        <v>21</v>
      </c>
      <c r="B16" s="23">
        <f t="shared" ref="B16:E16" si="6">B15*B12</f>
        <v>6.428571429</v>
      </c>
      <c r="C16" s="23">
        <f t="shared" si="6"/>
        <v>0.4</v>
      </c>
      <c r="D16" s="23">
        <f t="shared" si="6"/>
        <v>45.6</v>
      </c>
      <c r="E16" s="23">
        <f t="shared" si="6"/>
        <v>0.875</v>
      </c>
      <c r="F16" s="20"/>
    </row>
    <row r="17" ht="15.75" customHeight="1">
      <c r="A17" s="24" t="s">
        <v>22</v>
      </c>
      <c r="B17" s="25">
        <f t="shared" ref="B17:E17" si="7">B15*B13</f>
        <v>19.28571429</v>
      </c>
      <c r="C17" s="25">
        <f t="shared" si="7"/>
        <v>5.2</v>
      </c>
      <c r="D17" s="25">
        <f t="shared" si="7"/>
        <v>84</v>
      </c>
      <c r="E17" s="25">
        <f t="shared" si="7"/>
        <v>49.875</v>
      </c>
      <c r="F17" s="20"/>
    </row>
    <row r="18" ht="15.75" customHeight="1">
      <c r="B18" s="26" t="s">
        <v>3</v>
      </c>
      <c r="C18" s="26" t="s">
        <v>4</v>
      </c>
      <c r="D18" s="26" t="s">
        <v>5</v>
      </c>
      <c r="E18" s="26" t="s">
        <v>6</v>
      </c>
    </row>
    <row r="19" ht="15.75" customHeight="1"/>
    <row r="20" ht="15.75" customHeight="1">
      <c r="K20" s="20"/>
      <c r="L20" s="20"/>
      <c r="M20" s="20"/>
    </row>
    <row r="21" ht="15.75" customHeight="1"/>
    <row r="22" ht="15.75" customHeight="1">
      <c r="B22" s="27" t="s">
        <v>23</v>
      </c>
      <c r="C22" s="28"/>
      <c r="D22" s="28"/>
      <c r="E22" s="29"/>
    </row>
    <row r="23" ht="15.75" customHeight="1">
      <c r="B23" s="30">
        <f>1/I3</f>
        <v>0.06666666667</v>
      </c>
      <c r="C23" s="30">
        <v>0.0</v>
      </c>
      <c r="D23" s="30">
        <v>0.0</v>
      </c>
      <c r="E23" s="30">
        <v>0.0</v>
      </c>
    </row>
    <row r="24" ht="15.75" customHeight="1">
      <c r="B24" s="30">
        <v>0.0</v>
      </c>
      <c r="C24" s="30">
        <f>1/I4</f>
        <v>0.1666666667</v>
      </c>
      <c r="D24" s="30">
        <v>0.0</v>
      </c>
      <c r="E24" s="30">
        <v>0.0</v>
      </c>
    </row>
    <row r="25" ht="15.75" customHeight="1">
      <c r="A25" s="31" t="s">
        <v>0</v>
      </c>
      <c r="B25" s="30">
        <v>0.0</v>
      </c>
      <c r="C25" s="30">
        <v>0.0</v>
      </c>
      <c r="D25" s="30">
        <f>1/I5</f>
        <v>0.08333333333</v>
      </c>
      <c r="E25" s="30">
        <v>0.0</v>
      </c>
    </row>
    <row r="26" ht="15.75" customHeight="1">
      <c r="A26" s="20"/>
      <c r="B26" s="30">
        <v>0.0</v>
      </c>
      <c r="C26" s="30">
        <v>0.0</v>
      </c>
      <c r="D26" s="30">
        <v>0.0</v>
      </c>
      <c r="E26" s="30">
        <f>1/I6</f>
        <v>0.07142857143</v>
      </c>
    </row>
    <row r="27" ht="15.75" customHeight="1">
      <c r="A27" s="20"/>
      <c r="B27" s="32" t="s">
        <v>24</v>
      </c>
      <c r="C27" s="28"/>
      <c r="D27" s="28"/>
      <c r="E27" s="29"/>
    </row>
    <row r="28" ht="15.75" customHeight="1">
      <c r="A28" s="20"/>
      <c r="B28" s="33">
        <f t="array" ref="B28:E31">MMULT(B3:E6, B23:E26)</f>
        <v>0.2</v>
      </c>
      <c r="C28" s="33">
        <v>0.6666666666666666</v>
      </c>
      <c r="D28" s="33">
        <v>0.6666666666666666</v>
      </c>
      <c r="E28" s="33">
        <v>0.0</v>
      </c>
    </row>
    <row r="29" ht="15.75" customHeight="1">
      <c r="B29" s="33">
        <v>0.0</v>
      </c>
      <c r="C29" s="33">
        <v>0.16666666666666666</v>
      </c>
      <c r="D29" s="33">
        <v>0.08333333333333333</v>
      </c>
      <c r="E29" s="33">
        <v>0.07142857142857142</v>
      </c>
    </row>
    <row r="30" ht="15.75" customHeight="1">
      <c r="B30" s="33">
        <v>0.06666666666666667</v>
      </c>
      <c r="C30" s="33">
        <v>0.0</v>
      </c>
      <c r="D30" s="33">
        <v>0.16666666666666666</v>
      </c>
      <c r="E30" s="33">
        <v>0.5</v>
      </c>
    </row>
    <row r="31" ht="15.75" customHeight="1">
      <c r="B31" s="33">
        <v>0.0</v>
      </c>
      <c r="C31" s="33">
        <v>0.0</v>
      </c>
      <c r="D31" s="33">
        <v>0.0</v>
      </c>
      <c r="E31" s="33">
        <v>0.21428571428571427</v>
      </c>
    </row>
    <row r="32" ht="15.75" customHeight="1">
      <c r="B32" s="34" t="s">
        <v>25</v>
      </c>
      <c r="C32" s="28"/>
      <c r="D32" s="28"/>
      <c r="E32" s="29"/>
      <c r="G32" s="2"/>
      <c r="H32" s="2"/>
      <c r="I32" s="2"/>
      <c r="J32" s="2"/>
    </row>
    <row r="33" ht="15.75" customHeight="1">
      <c r="B33" s="35">
        <f t="array" ref="B33:E36">MINVERSE(G42:J45)</f>
        <v>1.348920863</v>
      </c>
      <c r="C33" s="35">
        <v>1.0791366906474817</v>
      </c>
      <c r="D33" s="35">
        <v>1.1870503597122302</v>
      </c>
      <c r="E33" s="35">
        <v>0.8534990189666447</v>
      </c>
    </row>
    <row r="34" ht="15.75" customHeight="1">
      <c r="B34" s="35">
        <v>0.010791366906474819</v>
      </c>
      <c r="C34" s="35">
        <v>1.2086330935251797</v>
      </c>
      <c r="D34" s="35">
        <v>0.12949640287769784</v>
      </c>
      <c r="E34" s="35">
        <v>0.19228253760627856</v>
      </c>
    </row>
    <row r="35" ht="15.75" customHeight="1">
      <c r="B35" s="35">
        <v>0.1079136690647482</v>
      </c>
      <c r="C35" s="35">
        <v>0.08633093525179855</v>
      </c>
      <c r="D35" s="35">
        <v>1.2949640287769784</v>
      </c>
      <c r="E35" s="35">
        <v>0.8319162851536951</v>
      </c>
    </row>
    <row r="36" ht="15.75" customHeight="1">
      <c r="B36" s="35">
        <v>0.0</v>
      </c>
      <c r="C36" s="35">
        <v>0.0</v>
      </c>
      <c r="D36" s="35">
        <v>0.0</v>
      </c>
      <c r="E36" s="35">
        <v>1.2727272727272727</v>
      </c>
      <c r="G36" s="2" t="s">
        <v>26</v>
      </c>
    </row>
    <row r="37" ht="15.75" customHeight="1">
      <c r="B37" s="32" t="s">
        <v>27</v>
      </c>
      <c r="C37" s="28"/>
      <c r="D37" s="28"/>
      <c r="E37" s="29"/>
      <c r="G37" s="30">
        <v>1.0</v>
      </c>
      <c r="H37" s="30">
        <v>0.0</v>
      </c>
      <c r="I37" s="30">
        <v>0.0</v>
      </c>
      <c r="J37" s="30">
        <v>0.0</v>
      </c>
    </row>
    <row r="38" ht="15.75" customHeight="1">
      <c r="A38" s="21" t="s">
        <v>28</v>
      </c>
      <c r="B38" s="22">
        <f t="array" ref="B38:E40">MMULT(B15:E17, B23:E26)</f>
        <v>1.428571429</v>
      </c>
      <c r="C38" s="22">
        <v>0.3333333333333333</v>
      </c>
      <c r="D38" s="22">
        <v>0.19999999999999998</v>
      </c>
      <c r="E38" s="22">
        <v>0.0625</v>
      </c>
      <c r="G38" s="30">
        <v>0.0</v>
      </c>
      <c r="H38" s="30">
        <v>1.0</v>
      </c>
      <c r="I38" s="30">
        <v>0.0</v>
      </c>
      <c r="J38" s="30">
        <v>0.0</v>
      </c>
    </row>
    <row r="39" ht="15.75" customHeight="1">
      <c r="A39" s="21" t="s">
        <v>29</v>
      </c>
      <c r="B39" s="22">
        <v>0.4285714285714286</v>
      </c>
      <c r="C39" s="22">
        <v>0.06666666666666667</v>
      </c>
      <c r="D39" s="22">
        <v>3.8</v>
      </c>
      <c r="E39" s="22">
        <v>0.0625</v>
      </c>
      <c r="G39" s="30">
        <v>0.0</v>
      </c>
      <c r="H39" s="30">
        <v>0.0</v>
      </c>
      <c r="I39" s="30">
        <v>1.0</v>
      </c>
      <c r="J39" s="30">
        <v>0.0</v>
      </c>
    </row>
    <row r="40" ht="15.75" customHeight="1">
      <c r="A40" s="24" t="s">
        <v>30</v>
      </c>
      <c r="B40" s="22">
        <v>1.2857142857142858</v>
      </c>
      <c r="C40" s="22">
        <v>0.8666666666666667</v>
      </c>
      <c r="D40" s="22">
        <v>7.0</v>
      </c>
      <c r="E40" s="22">
        <v>3.5625</v>
      </c>
      <c r="G40" s="30">
        <v>0.0</v>
      </c>
      <c r="H40" s="30">
        <v>0.0</v>
      </c>
      <c r="I40" s="30">
        <v>0.0</v>
      </c>
      <c r="J40" s="30">
        <v>1.0</v>
      </c>
    </row>
    <row r="41" ht="15.75" customHeight="1">
      <c r="B41" s="2" t="s">
        <v>31</v>
      </c>
      <c r="G41" s="2" t="s">
        <v>32</v>
      </c>
    </row>
    <row r="42" ht="15.75" customHeight="1">
      <c r="A42" s="10" t="s">
        <v>20</v>
      </c>
      <c r="B42" s="36">
        <f t="array" ref="B42:E44">MMULT(MMULT(B38:E40, B33:E36),G47:J50)</f>
        <v>0</v>
      </c>
      <c r="C42" s="36">
        <v>5.885303186022609</v>
      </c>
      <c r="D42" s="36">
        <v>3.9958890030832475</v>
      </c>
      <c r="E42" s="36">
        <v>16.82237923946557</v>
      </c>
      <c r="G42" s="30">
        <f t="shared" ref="G42:J42" si="8">G37-B28</f>
        <v>0.8</v>
      </c>
      <c r="H42" s="30">
        <f t="shared" si="8"/>
        <v>-0.6666666667</v>
      </c>
      <c r="I42" s="30">
        <f t="shared" si="8"/>
        <v>-0.6666666667</v>
      </c>
      <c r="J42" s="30">
        <f t="shared" si="8"/>
        <v>0</v>
      </c>
    </row>
    <row r="43" ht="15.75" customHeight="1">
      <c r="A43" s="10" t="s">
        <v>21</v>
      </c>
      <c r="B43" s="36">
        <v>0.0</v>
      </c>
      <c r="C43" s="36">
        <v>2.613360739979445</v>
      </c>
      <c r="D43" s="36">
        <v>10.876464542651592</v>
      </c>
      <c r="E43" s="36">
        <v>39.813746145940385</v>
      </c>
      <c r="G43" s="30">
        <f t="shared" ref="G43:J43" si="9">G38-B29</f>
        <v>0</v>
      </c>
      <c r="H43" s="30">
        <f t="shared" si="9"/>
        <v>0.8333333333</v>
      </c>
      <c r="I43" s="30">
        <f t="shared" si="9"/>
        <v>-0.08333333333</v>
      </c>
      <c r="J43" s="30">
        <f t="shared" si="9"/>
        <v>-0.07142857143</v>
      </c>
    </row>
    <row r="44" ht="15.75" customHeight="1">
      <c r="A44" s="37" t="s">
        <v>22</v>
      </c>
      <c r="B44" s="36">
        <v>0.0</v>
      </c>
      <c r="C44" s="36">
        <v>9.117780061664952</v>
      </c>
      <c r="D44" s="36">
        <v>21.406372045220966</v>
      </c>
      <c r="E44" s="36">
        <v>127.83656217882834</v>
      </c>
      <c r="G44" s="30">
        <f t="shared" ref="G44:J44" si="10">G39-B30</f>
        <v>-0.06666666667</v>
      </c>
      <c r="H44" s="30">
        <f t="shared" si="10"/>
        <v>0</v>
      </c>
      <c r="I44" s="30">
        <f t="shared" si="10"/>
        <v>0.8333333333</v>
      </c>
      <c r="J44" s="30">
        <f t="shared" si="10"/>
        <v>-0.5</v>
      </c>
    </row>
    <row r="45" ht="15.75" customHeight="1">
      <c r="B45" s="5" t="s">
        <v>3</v>
      </c>
      <c r="C45" s="5" t="s">
        <v>4</v>
      </c>
      <c r="D45" s="5" t="s">
        <v>5</v>
      </c>
      <c r="E45" s="5" t="s">
        <v>6</v>
      </c>
      <c r="G45" s="30">
        <f t="shared" ref="G45:J45" si="11">G40-B31</f>
        <v>0</v>
      </c>
      <c r="H45" s="30">
        <f t="shared" si="11"/>
        <v>0</v>
      </c>
      <c r="I45" s="30">
        <f t="shared" si="11"/>
        <v>0</v>
      </c>
      <c r="J45" s="30">
        <f t="shared" si="11"/>
        <v>0.7857142857</v>
      </c>
    </row>
    <row r="46" ht="15.75" customHeight="1">
      <c r="G46" s="38" t="s">
        <v>33</v>
      </c>
      <c r="H46" s="28"/>
      <c r="I46" s="28"/>
      <c r="J46" s="29"/>
    </row>
    <row r="47" ht="15.75" customHeight="1">
      <c r="G47" s="30">
        <f>H3</f>
        <v>0</v>
      </c>
      <c r="H47" s="30">
        <v>0.0</v>
      </c>
      <c r="I47" s="30">
        <v>0.0</v>
      </c>
      <c r="J47" s="30">
        <v>0.0</v>
      </c>
    </row>
    <row r="48" ht="15.75" customHeight="1">
      <c r="G48" s="30">
        <v>0.0</v>
      </c>
      <c r="H48" s="30">
        <f>H4</f>
        <v>3</v>
      </c>
      <c r="I48" s="30">
        <v>0.0</v>
      </c>
      <c r="J48" s="30">
        <v>0.0</v>
      </c>
    </row>
    <row r="49" ht="15.75" customHeight="1">
      <c r="G49" s="30">
        <v>0.0</v>
      </c>
      <c r="H49" s="30">
        <v>0.0</v>
      </c>
      <c r="I49" s="30">
        <f>H5</f>
        <v>2</v>
      </c>
      <c r="J49" s="30">
        <v>0.0</v>
      </c>
    </row>
    <row r="50" ht="15.75" customHeight="1">
      <c r="G50" s="30">
        <v>0.0</v>
      </c>
      <c r="H50" s="30">
        <v>0.0</v>
      </c>
      <c r="I50" s="30">
        <v>0.0</v>
      </c>
      <c r="J50" s="30">
        <f>H6</f>
        <v>11</v>
      </c>
    </row>
    <row r="51" ht="15.75" customHeight="1">
      <c r="G51" s="38" t="s">
        <v>34</v>
      </c>
      <c r="H51" s="28"/>
      <c r="I51" s="28"/>
      <c r="J51" s="29"/>
    </row>
    <row r="52" ht="15.75" customHeight="1">
      <c r="G52" s="30">
        <f>B7</f>
        <v>11</v>
      </c>
      <c r="H52" s="30">
        <v>0.0</v>
      </c>
      <c r="I52" s="30">
        <v>0.0</v>
      </c>
      <c r="J52" s="30">
        <v>0.0</v>
      </c>
    </row>
    <row r="53" ht="15.75" customHeight="1">
      <c r="A53" s="39" t="s">
        <v>35</v>
      </c>
      <c r="B53" s="40" t="s">
        <v>36</v>
      </c>
      <c r="C53" s="28"/>
      <c r="D53" s="28"/>
      <c r="E53" s="29"/>
      <c r="G53" s="30">
        <v>0.0</v>
      </c>
      <c r="H53" s="30">
        <f>C7</f>
        <v>1</v>
      </c>
      <c r="I53" s="30">
        <v>0.0</v>
      </c>
      <c r="J53" s="30">
        <v>0.0</v>
      </c>
    </row>
    <row r="54" ht="15.75" customHeight="1">
      <c r="A54" s="3"/>
      <c r="B54" s="41" t="s">
        <v>3</v>
      </c>
      <c r="C54" s="41" t="s">
        <v>4</v>
      </c>
      <c r="D54" s="41" t="s">
        <v>5</v>
      </c>
      <c r="E54" s="41" t="s">
        <v>6</v>
      </c>
      <c r="F54" s="42" t="s">
        <v>37</v>
      </c>
      <c r="G54" s="30">
        <v>0.0</v>
      </c>
      <c r="H54" s="30">
        <v>0.0</v>
      </c>
      <c r="I54" s="30">
        <f>D7</f>
        <v>1</v>
      </c>
      <c r="J54" s="30">
        <v>0.0</v>
      </c>
    </row>
    <row r="55" ht="15.75" customHeight="1">
      <c r="A55" s="41" t="s">
        <v>3</v>
      </c>
      <c r="B55" s="43">
        <f t="array" ref="B55:E58">MMULT(MMULT(G52:J55,B23:E26), MMULT(B33:E36, G47:J50))</f>
        <v>0</v>
      </c>
      <c r="C55" s="43">
        <v>2.37410071942446</v>
      </c>
      <c r="D55" s="43">
        <v>1.7410071942446042</v>
      </c>
      <c r="E55" s="43">
        <v>6.884892086330933</v>
      </c>
      <c r="F55" s="44">
        <f t="shared" ref="F55:F58" si="12">Sum(B55:E55)</f>
        <v>11</v>
      </c>
      <c r="G55" s="30">
        <v>0.0</v>
      </c>
      <c r="H55" s="30">
        <v>0.0</v>
      </c>
      <c r="I55" s="30">
        <v>0.0</v>
      </c>
      <c r="J55" s="30">
        <f>E7</f>
        <v>3</v>
      </c>
    </row>
    <row r="56" ht="15.75" customHeight="1">
      <c r="A56" s="41" t="s">
        <v>4</v>
      </c>
      <c r="B56" s="43">
        <v>0.0</v>
      </c>
      <c r="C56" s="43">
        <v>0.6043165467625898</v>
      </c>
      <c r="D56" s="43">
        <v>0.043165467625899276</v>
      </c>
      <c r="E56" s="43">
        <v>0.35251798561151065</v>
      </c>
      <c r="F56" s="44">
        <f t="shared" si="12"/>
        <v>1</v>
      </c>
    </row>
    <row r="57" ht="15.75" customHeight="1">
      <c r="A57" s="41" t="s">
        <v>5</v>
      </c>
      <c r="B57" s="43">
        <v>0.0</v>
      </c>
      <c r="C57" s="43">
        <v>0.021582733812949634</v>
      </c>
      <c r="D57" s="43">
        <v>0.2158273381294964</v>
      </c>
      <c r="E57" s="43">
        <v>0.7625899280575538</v>
      </c>
      <c r="F57" s="44">
        <f t="shared" si="12"/>
        <v>1</v>
      </c>
    </row>
    <row r="58" ht="15.75" customHeight="1">
      <c r="A58" s="41" t="s">
        <v>6</v>
      </c>
      <c r="B58" s="43">
        <v>0.0</v>
      </c>
      <c r="C58" s="43">
        <v>0.0</v>
      </c>
      <c r="D58" s="43">
        <v>0.0</v>
      </c>
      <c r="E58" s="43">
        <v>3.0</v>
      </c>
      <c r="F58" s="44">
        <f t="shared" si="12"/>
        <v>3</v>
      </c>
    </row>
    <row r="59" ht="15.75" customHeight="1">
      <c r="A59" s="45" t="s">
        <v>38</v>
      </c>
      <c r="B59" s="46">
        <f t="shared" ref="B59:E59" si="13">SUM(B55:B58)</f>
        <v>0</v>
      </c>
      <c r="C59" s="46">
        <f t="shared" si="13"/>
        <v>3</v>
      </c>
      <c r="D59" s="46">
        <f t="shared" si="13"/>
        <v>2</v>
      </c>
      <c r="E59" s="46">
        <f t="shared" si="13"/>
        <v>11</v>
      </c>
      <c r="F59" s="46">
        <f>SUM(B59:E59)</f>
        <v>16</v>
      </c>
    </row>
    <row r="60" ht="15.75" customHeight="1">
      <c r="F60" s="44" t="b">
        <f>F59=F7</f>
        <v>1</v>
      </c>
    </row>
    <row r="61" ht="15.75" customHeight="1">
      <c r="A61" s="39" t="s">
        <v>39</v>
      </c>
      <c r="B61" s="40" t="s">
        <v>36</v>
      </c>
      <c r="C61" s="28"/>
      <c r="D61" s="28"/>
      <c r="E61" s="29"/>
      <c r="G61" s="38" t="s">
        <v>40</v>
      </c>
      <c r="H61" s="28"/>
      <c r="I61" s="28"/>
      <c r="J61" s="29"/>
    </row>
    <row r="62" ht="15.75" customHeight="1">
      <c r="A62" s="3"/>
      <c r="B62" s="41" t="s">
        <v>3</v>
      </c>
      <c r="C62" s="41" t="s">
        <v>4</v>
      </c>
      <c r="D62" s="41" t="s">
        <v>5</v>
      </c>
      <c r="E62" s="41" t="s">
        <v>6</v>
      </c>
      <c r="G62" s="30">
        <f>B7/I3</f>
        <v>0.7333333333</v>
      </c>
      <c r="H62" s="30">
        <v>0.0</v>
      </c>
      <c r="I62" s="30">
        <v>0.0</v>
      </c>
      <c r="J62" s="30">
        <v>0.0</v>
      </c>
    </row>
    <row r="63" ht="15.75" customHeight="1">
      <c r="A63" s="41" t="s">
        <v>3</v>
      </c>
      <c r="B63" s="43">
        <f t="array" ref="B63:E66">MMULT(MMULT(G62:J65,B33:E36), G47:J50)</f>
        <v>0</v>
      </c>
      <c r="C63" s="43">
        <v>2.37410071942446</v>
      </c>
      <c r="D63" s="43">
        <v>1.7410071942446042</v>
      </c>
      <c r="E63" s="43">
        <v>6.884892086330934</v>
      </c>
      <c r="F63" s="44">
        <f t="shared" ref="F63:F66" si="14">sum(B63:E63)</f>
        <v>11</v>
      </c>
      <c r="G63" s="30">
        <v>0.0</v>
      </c>
      <c r="H63" s="30">
        <f>C7/I4</f>
        <v>0.1666666667</v>
      </c>
      <c r="I63" s="30">
        <v>0.0</v>
      </c>
      <c r="J63" s="30">
        <v>0.0</v>
      </c>
    </row>
    <row r="64" ht="15.75" customHeight="1">
      <c r="A64" s="41" t="s">
        <v>4</v>
      </c>
      <c r="B64" s="43">
        <v>0.0</v>
      </c>
      <c r="C64" s="43">
        <v>0.6043165467625898</v>
      </c>
      <c r="D64" s="43">
        <v>0.043165467625899276</v>
      </c>
      <c r="E64" s="43">
        <v>0.35251798561151065</v>
      </c>
      <c r="F64" s="44">
        <f t="shared" si="14"/>
        <v>1</v>
      </c>
      <c r="G64" s="30">
        <v>0.0</v>
      </c>
      <c r="H64" s="30">
        <v>0.0</v>
      </c>
      <c r="I64" s="30">
        <f>D7/I5</f>
        <v>0.08333333333</v>
      </c>
      <c r="J64" s="30">
        <v>0.0</v>
      </c>
    </row>
    <row r="65" ht="15.75" customHeight="1">
      <c r="A65" s="41" t="s">
        <v>5</v>
      </c>
      <c r="B65" s="43">
        <v>0.0</v>
      </c>
      <c r="C65" s="43">
        <v>0.021582733812949638</v>
      </c>
      <c r="D65" s="43">
        <v>0.2158273381294964</v>
      </c>
      <c r="E65" s="43">
        <v>0.7625899280575538</v>
      </c>
      <c r="F65" s="44">
        <f t="shared" si="14"/>
        <v>1</v>
      </c>
      <c r="G65" s="30">
        <v>0.0</v>
      </c>
      <c r="H65" s="30">
        <v>0.0</v>
      </c>
      <c r="I65" s="30">
        <v>0.0</v>
      </c>
      <c r="J65" s="30">
        <f>E7/I6</f>
        <v>0.2142857143</v>
      </c>
    </row>
    <row r="66" ht="15.75" customHeight="1">
      <c r="A66" s="41" t="s">
        <v>6</v>
      </c>
      <c r="B66" s="43">
        <v>0.0</v>
      </c>
      <c r="C66" s="43">
        <v>0.0</v>
      </c>
      <c r="D66" s="43">
        <v>0.0</v>
      </c>
      <c r="E66" s="43">
        <v>3.0</v>
      </c>
      <c r="F66" s="44">
        <f t="shared" si="14"/>
        <v>3</v>
      </c>
    </row>
    <row r="67" ht="15.75" customHeight="1">
      <c r="A67" s="47" t="s">
        <v>11</v>
      </c>
      <c r="B67" s="46">
        <f t="shared" ref="B67:E67" si="15">SUM(B63:B66)</f>
        <v>0</v>
      </c>
      <c r="C67" s="46">
        <f t="shared" si="15"/>
        <v>3</v>
      </c>
      <c r="D67" s="46">
        <f t="shared" si="15"/>
        <v>2</v>
      </c>
      <c r="E67" s="46">
        <f t="shared" si="15"/>
        <v>11</v>
      </c>
      <c r="F67" s="46">
        <f>SUM(B67:E67)</f>
        <v>16</v>
      </c>
    </row>
    <row r="68" ht="15.75" customHeight="1">
      <c r="F68" s="44" t="b">
        <f>F67=F7</f>
        <v>1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37:E37"/>
    <mergeCell ref="B41:E41"/>
    <mergeCell ref="G41:J41"/>
    <mergeCell ref="G46:J46"/>
    <mergeCell ref="G51:J51"/>
    <mergeCell ref="B53:E53"/>
    <mergeCell ref="B61:E61"/>
    <mergeCell ref="G61:J61"/>
    <mergeCell ref="B1:E1"/>
    <mergeCell ref="B10:E10"/>
    <mergeCell ref="B14:E14"/>
    <mergeCell ref="B22:E22"/>
    <mergeCell ref="B27:E27"/>
    <mergeCell ref="B32:E32"/>
    <mergeCell ref="G36:J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2025-04-10T15:49:11Z</dcterms:created>
  <dc:creator>Lanceiro Couto Da Silva Reis, Ana Filipa</dc:creator>
</cp:coreProperties>
</file>